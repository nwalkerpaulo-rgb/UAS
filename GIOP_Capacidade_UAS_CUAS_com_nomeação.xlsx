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rone-manager\"/>
    </mc:Choice>
  </mc:AlternateContent>
  <bookViews>
    <workbookView xWindow="0" yWindow="0" windowWidth="28800" windowHeight="12315" tabRatio="500" firstSheet="4" activeTab="2"/>
  </bookViews>
  <sheets>
    <sheet name="Capacidade UAS-CUAS" sheetId="1" r:id="rId1"/>
    <sheet name="Análise" sheetId="2" r:id="rId2"/>
    <sheet name="Serviços" sheetId="3" r:id="rId3"/>
    <sheet name="Análise Serviços" sheetId="4" r:id="rId4"/>
    <sheet name="Nomeação UAS-CUAS" sheetId="6" r:id="rId5"/>
    <sheet name="EscalaPelotoes" sheetId="5" r:id="rId6"/>
  </sheets>
  <externalReferences>
    <externalReference r:id="rId7"/>
  </externalReference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83" i="6" l="1"/>
  <c r="O83" i="6"/>
  <c r="N83" i="6"/>
  <c r="M83" i="6"/>
  <c r="L83" i="6"/>
  <c r="K83" i="6"/>
  <c r="V82" i="6"/>
  <c r="O82" i="6"/>
  <c r="P82" i="6" s="1"/>
  <c r="Q82" i="6" s="1"/>
  <c r="R82" i="6" s="1"/>
  <c r="N82" i="6"/>
  <c r="M82" i="6"/>
  <c r="L82" i="6"/>
  <c r="K82" i="6"/>
  <c r="S82" i="6" s="1"/>
  <c r="T82" i="6" s="1"/>
  <c r="U82" i="6" s="1"/>
  <c r="V81" i="6"/>
  <c r="O81" i="6"/>
  <c r="N81" i="6"/>
  <c r="M81" i="6"/>
  <c r="L81" i="6"/>
  <c r="K81" i="6"/>
  <c r="V80" i="6"/>
  <c r="O80" i="6"/>
  <c r="N80" i="6"/>
  <c r="M80" i="6"/>
  <c r="L80" i="6"/>
  <c r="K80" i="6"/>
  <c r="V79" i="6"/>
  <c r="O79" i="6"/>
  <c r="N79" i="6"/>
  <c r="M79" i="6"/>
  <c r="L79" i="6"/>
  <c r="K79" i="6"/>
  <c r="V78" i="6"/>
  <c r="O78" i="6"/>
  <c r="N78" i="6"/>
  <c r="M78" i="6"/>
  <c r="L78" i="6"/>
  <c r="K78" i="6"/>
  <c r="V77" i="6"/>
  <c r="O77" i="6"/>
  <c r="N77" i="6"/>
  <c r="M77" i="6"/>
  <c r="L77" i="6"/>
  <c r="K77" i="6"/>
  <c r="V76" i="6"/>
  <c r="O76" i="6"/>
  <c r="N76" i="6"/>
  <c r="M76" i="6"/>
  <c r="L76" i="6"/>
  <c r="K76" i="6"/>
  <c r="V75" i="6"/>
  <c r="O75" i="6"/>
  <c r="P75" i="6" s="1"/>
  <c r="Q75" i="6" s="1"/>
  <c r="R75" i="6" s="1"/>
  <c r="N75" i="6"/>
  <c r="M75" i="6"/>
  <c r="L75" i="6"/>
  <c r="K75" i="6"/>
  <c r="S75" i="6" s="1"/>
  <c r="T75" i="6" s="1"/>
  <c r="U75" i="6" s="1"/>
  <c r="V74" i="6"/>
  <c r="O74" i="6"/>
  <c r="N74" i="6"/>
  <c r="M74" i="6"/>
  <c r="L74" i="6"/>
  <c r="K74" i="6"/>
  <c r="V73" i="6"/>
  <c r="O73" i="6"/>
  <c r="N73" i="6"/>
  <c r="M73" i="6"/>
  <c r="L73" i="6"/>
  <c r="K73" i="6"/>
  <c r="S73" i="6" s="1"/>
  <c r="V72" i="6"/>
  <c r="O72" i="6"/>
  <c r="N72" i="6"/>
  <c r="M72" i="6"/>
  <c r="L72" i="6"/>
  <c r="K72" i="6"/>
  <c r="V71" i="6"/>
  <c r="O71" i="6"/>
  <c r="N71" i="6"/>
  <c r="M71" i="6"/>
  <c r="L71" i="6"/>
  <c r="K71" i="6"/>
  <c r="V70" i="6"/>
  <c r="O70" i="6"/>
  <c r="P70" i="6" s="1"/>
  <c r="Q70" i="6" s="1"/>
  <c r="N70" i="6"/>
  <c r="M70" i="6"/>
  <c r="L70" i="6"/>
  <c r="K70" i="6"/>
  <c r="V69" i="6"/>
  <c r="O69" i="6"/>
  <c r="P69" i="6" s="1"/>
  <c r="Q69" i="6" s="1"/>
  <c r="N69" i="6"/>
  <c r="M69" i="6"/>
  <c r="L69" i="6"/>
  <c r="K69" i="6"/>
  <c r="V68" i="6"/>
  <c r="O68" i="6"/>
  <c r="P68" i="6" s="1"/>
  <c r="Q68" i="6" s="1"/>
  <c r="N68" i="6"/>
  <c r="M68" i="6"/>
  <c r="L68" i="6"/>
  <c r="K68" i="6"/>
  <c r="S68" i="6" s="1"/>
  <c r="V67" i="6"/>
  <c r="O67" i="6"/>
  <c r="N67" i="6"/>
  <c r="M67" i="6"/>
  <c r="L67" i="6"/>
  <c r="K67" i="6"/>
  <c r="V66" i="6"/>
  <c r="O66" i="6"/>
  <c r="N66" i="6"/>
  <c r="M66" i="6"/>
  <c r="L66" i="6"/>
  <c r="K66" i="6"/>
  <c r="V65" i="6"/>
  <c r="O65" i="6"/>
  <c r="N65" i="6"/>
  <c r="M65" i="6"/>
  <c r="L65" i="6"/>
  <c r="K65" i="6"/>
  <c r="V64" i="6"/>
  <c r="O64" i="6"/>
  <c r="N64" i="6"/>
  <c r="M64" i="6"/>
  <c r="L64" i="6"/>
  <c r="K64" i="6"/>
  <c r="V63" i="6"/>
  <c r="O63" i="6"/>
  <c r="N63" i="6"/>
  <c r="M63" i="6"/>
  <c r="L63" i="6"/>
  <c r="K63" i="6"/>
  <c r="V62" i="6"/>
  <c r="O62" i="6"/>
  <c r="N62" i="6"/>
  <c r="M62" i="6"/>
  <c r="L62" i="6"/>
  <c r="K62" i="6"/>
  <c r="V61" i="6"/>
  <c r="O61" i="6"/>
  <c r="N61" i="6"/>
  <c r="M61" i="6"/>
  <c r="L61" i="6"/>
  <c r="K61" i="6"/>
  <c r="V60" i="6"/>
  <c r="O60" i="6"/>
  <c r="P60" i="6" s="1"/>
  <c r="Q60" i="6" s="1"/>
  <c r="R60" i="6" s="1"/>
  <c r="N60" i="6"/>
  <c r="M60" i="6"/>
  <c r="L60" i="6"/>
  <c r="K60" i="6"/>
  <c r="S60" i="6" s="1"/>
  <c r="V59" i="6"/>
  <c r="O59" i="6"/>
  <c r="N59" i="6"/>
  <c r="M59" i="6"/>
  <c r="L59" i="6"/>
  <c r="K59" i="6"/>
  <c r="V58" i="6"/>
  <c r="O58" i="6"/>
  <c r="N58" i="6"/>
  <c r="M58" i="6"/>
  <c r="L58" i="6"/>
  <c r="K58" i="6"/>
  <c r="V57" i="6"/>
  <c r="O57" i="6"/>
  <c r="P57" i="6" s="1"/>
  <c r="Q57" i="6" s="1"/>
  <c r="N57" i="6"/>
  <c r="M57" i="6"/>
  <c r="L57" i="6"/>
  <c r="K57" i="6"/>
  <c r="S57" i="6" s="1"/>
  <c r="V56" i="6"/>
  <c r="O56" i="6"/>
  <c r="N56" i="6"/>
  <c r="M56" i="6"/>
  <c r="L56" i="6"/>
  <c r="K56" i="6"/>
  <c r="V55" i="6"/>
  <c r="O55" i="6"/>
  <c r="N55" i="6"/>
  <c r="M55" i="6"/>
  <c r="L55" i="6"/>
  <c r="K55" i="6"/>
  <c r="V54" i="6"/>
  <c r="O54" i="6"/>
  <c r="N54" i="6"/>
  <c r="M54" i="6"/>
  <c r="L54" i="6"/>
  <c r="K54" i="6"/>
  <c r="V53" i="6"/>
  <c r="O53" i="6"/>
  <c r="N53" i="6"/>
  <c r="M53" i="6"/>
  <c r="L53" i="6"/>
  <c r="K53" i="6"/>
  <c r="V52" i="6"/>
  <c r="O52" i="6"/>
  <c r="N52" i="6"/>
  <c r="M52" i="6"/>
  <c r="L52" i="6"/>
  <c r="K52" i="6"/>
  <c r="V51" i="6"/>
  <c r="O51" i="6"/>
  <c r="N51" i="6"/>
  <c r="M51" i="6"/>
  <c r="L51" i="6"/>
  <c r="K51" i="6"/>
  <c r="V50" i="6"/>
  <c r="O50" i="6"/>
  <c r="N50" i="6"/>
  <c r="M50" i="6"/>
  <c r="L50" i="6"/>
  <c r="K50" i="6"/>
  <c r="V49" i="6"/>
  <c r="O49" i="6"/>
  <c r="N49" i="6"/>
  <c r="M49" i="6"/>
  <c r="L49" i="6"/>
  <c r="K49" i="6"/>
  <c r="V48" i="6"/>
  <c r="O48" i="6"/>
  <c r="N48" i="6"/>
  <c r="M48" i="6"/>
  <c r="L48" i="6"/>
  <c r="K48" i="6"/>
  <c r="V47" i="6"/>
  <c r="O47" i="6"/>
  <c r="N47" i="6"/>
  <c r="M47" i="6"/>
  <c r="L47" i="6"/>
  <c r="K47" i="6"/>
  <c r="V46" i="6"/>
  <c r="O46" i="6"/>
  <c r="N46" i="6"/>
  <c r="M46" i="6"/>
  <c r="L46" i="6"/>
  <c r="K46" i="6"/>
  <c r="V45" i="6"/>
  <c r="O45" i="6"/>
  <c r="N45" i="6"/>
  <c r="M45" i="6"/>
  <c r="L45" i="6"/>
  <c r="K45" i="6"/>
  <c r="V44" i="6"/>
  <c r="O44" i="6"/>
  <c r="N44" i="6"/>
  <c r="M44" i="6"/>
  <c r="L44" i="6"/>
  <c r="K44" i="6"/>
  <c r="V43" i="6"/>
  <c r="O43" i="6"/>
  <c r="N43" i="6"/>
  <c r="M43" i="6"/>
  <c r="L43" i="6"/>
  <c r="K43" i="6"/>
  <c r="V42" i="6"/>
  <c r="O42" i="6"/>
  <c r="N42" i="6"/>
  <c r="M42" i="6"/>
  <c r="L42" i="6"/>
  <c r="K42" i="6"/>
  <c r="V41" i="6"/>
  <c r="O41" i="6"/>
  <c r="N41" i="6"/>
  <c r="M41" i="6"/>
  <c r="L41" i="6"/>
  <c r="K41" i="6"/>
  <c r="V40" i="6"/>
  <c r="O40" i="6"/>
  <c r="P40" i="6" s="1"/>
  <c r="Q40" i="6" s="1"/>
  <c r="N40" i="6"/>
  <c r="M40" i="6"/>
  <c r="L40" i="6"/>
  <c r="K40" i="6"/>
  <c r="V39" i="6"/>
  <c r="O39" i="6"/>
  <c r="N39" i="6"/>
  <c r="M39" i="6"/>
  <c r="L39" i="6"/>
  <c r="K39" i="6"/>
  <c r="V38" i="6"/>
  <c r="O38" i="6"/>
  <c r="N38" i="6"/>
  <c r="M38" i="6"/>
  <c r="L38" i="6"/>
  <c r="K38" i="6"/>
  <c r="V37" i="6"/>
  <c r="O37" i="6"/>
  <c r="N37" i="6"/>
  <c r="M37" i="6"/>
  <c r="L37" i="6"/>
  <c r="K37" i="6"/>
  <c r="V36" i="6"/>
  <c r="O36" i="6"/>
  <c r="N36" i="6"/>
  <c r="M36" i="6"/>
  <c r="L36" i="6"/>
  <c r="K36" i="6"/>
  <c r="V35" i="6"/>
  <c r="O35" i="6"/>
  <c r="N35" i="6"/>
  <c r="M35" i="6"/>
  <c r="L35" i="6"/>
  <c r="K35" i="6"/>
  <c r="V34" i="6"/>
  <c r="O34" i="6"/>
  <c r="N34" i="6"/>
  <c r="M34" i="6"/>
  <c r="L34" i="6"/>
  <c r="K34" i="6"/>
  <c r="V33" i="6"/>
  <c r="O33" i="6"/>
  <c r="N33" i="6"/>
  <c r="M33" i="6"/>
  <c r="L33" i="6"/>
  <c r="K33" i="6"/>
  <c r="V32" i="6"/>
  <c r="O32" i="6"/>
  <c r="N32" i="6"/>
  <c r="M32" i="6"/>
  <c r="L32" i="6"/>
  <c r="K32" i="6"/>
  <c r="V31" i="6"/>
  <c r="O31" i="6"/>
  <c r="P31" i="6" s="1"/>
  <c r="Q31" i="6" s="1"/>
  <c r="N31" i="6"/>
  <c r="M31" i="6"/>
  <c r="L31" i="6"/>
  <c r="K31" i="6"/>
  <c r="V30" i="6"/>
  <c r="O30" i="6"/>
  <c r="N30" i="6"/>
  <c r="M30" i="6"/>
  <c r="L30" i="6"/>
  <c r="K30" i="6"/>
  <c r="V29" i="6"/>
  <c r="O29" i="6"/>
  <c r="N29" i="6"/>
  <c r="M29" i="6"/>
  <c r="L29" i="6"/>
  <c r="K29" i="6"/>
  <c r="V28" i="6"/>
  <c r="O28" i="6"/>
  <c r="N28" i="6"/>
  <c r="M28" i="6"/>
  <c r="L28" i="6"/>
  <c r="K28" i="6"/>
  <c r="V27" i="6"/>
  <c r="O27" i="6"/>
  <c r="N27" i="6"/>
  <c r="M27" i="6"/>
  <c r="L27" i="6"/>
  <c r="K27" i="6"/>
  <c r="S27" i="6" s="1"/>
  <c r="V26" i="6"/>
  <c r="O26" i="6"/>
  <c r="N26" i="6"/>
  <c r="M26" i="6"/>
  <c r="L26" i="6"/>
  <c r="K26" i="6"/>
  <c r="V25" i="6"/>
  <c r="O25" i="6"/>
  <c r="N25" i="6"/>
  <c r="M25" i="6"/>
  <c r="L25" i="6"/>
  <c r="K25" i="6"/>
  <c r="V24" i="6"/>
  <c r="O24" i="6"/>
  <c r="P24" i="6" s="1"/>
  <c r="Q24" i="6" s="1"/>
  <c r="Y24" i="6" s="1"/>
  <c r="N24" i="6"/>
  <c r="M24" i="6"/>
  <c r="L24" i="6"/>
  <c r="K24" i="6"/>
  <c r="V23" i="6"/>
  <c r="O23" i="6"/>
  <c r="N23" i="6"/>
  <c r="M23" i="6"/>
  <c r="L23" i="6"/>
  <c r="K23" i="6"/>
  <c r="V22" i="6"/>
  <c r="O22" i="6"/>
  <c r="N22" i="6"/>
  <c r="M22" i="6"/>
  <c r="L22" i="6"/>
  <c r="K22" i="6"/>
  <c r="V21" i="6"/>
  <c r="O21" i="6"/>
  <c r="P21" i="6" s="1"/>
  <c r="Q21" i="6" s="1"/>
  <c r="R21" i="6" s="1"/>
  <c r="N21" i="6"/>
  <c r="M21" i="6"/>
  <c r="L21" i="6"/>
  <c r="K21" i="6"/>
  <c r="S21" i="6" s="1"/>
  <c r="V20" i="6"/>
  <c r="O20" i="6"/>
  <c r="N20" i="6"/>
  <c r="M20" i="6"/>
  <c r="L20" i="6"/>
  <c r="K20" i="6"/>
  <c r="V19" i="6"/>
  <c r="O19" i="6"/>
  <c r="N19" i="6"/>
  <c r="M19" i="6"/>
  <c r="L19" i="6"/>
  <c r="K19" i="6"/>
  <c r="V18" i="6"/>
  <c r="O18" i="6"/>
  <c r="R18" i="6" s="1"/>
  <c r="N18" i="6"/>
  <c r="M18" i="6"/>
  <c r="L18" i="6"/>
  <c r="K18" i="6"/>
  <c r="V17" i="6"/>
  <c r="O17" i="6"/>
  <c r="N17" i="6"/>
  <c r="M17" i="6"/>
  <c r="L17" i="6"/>
  <c r="K17" i="6"/>
  <c r="V16" i="6"/>
  <c r="O16" i="6"/>
  <c r="N16" i="6"/>
  <c r="M16" i="6"/>
  <c r="L16" i="6"/>
  <c r="K16" i="6"/>
  <c r="V15" i="6"/>
  <c r="O15" i="6"/>
  <c r="N15" i="6"/>
  <c r="M15" i="6"/>
  <c r="L15" i="6"/>
  <c r="K15" i="6"/>
  <c r="V14" i="6"/>
  <c r="O14" i="6"/>
  <c r="N14" i="6"/>
  <c r="M14" i="6"/>
  <c r="L14" i="6"/>
  <c r="K14" i="6"/>
  <c r="V13" i="6"/>
  <c r="O13" i="6"/>
  <c r="N13" i="6"/>
  <c r="M13" i="6"/>
  <c r="L13" i="6"/>
  <c r="K13" i="6"/>
  <c r="V12" i="6"/>
  <c r="O12" i="6"/>
  <c r="P12" i="6" s="1"/>
  <c r="Q12" i="6" s="1"/>
  <c r="N12" i="6"/>
  <c r="M12" i="6"/>
  <c r="L12" i="6"/>
  <c r="K12" i="6"/>
  <c r="V11" i="6"/>
  <c r="O11" i="6"/>
  <c r="N11" i="6"/>
  <c r="M11" i="6"/>
  <c r="L11" i="6"/>
  <c r="K11" i="6"/>
  <c r="V10" i="6"/>
  <c r="O10" i="6"/>
  <c r="N10" i="6"/>
  <c r="M10" i="6"/>
  <c r="L10" i="6"/>
  <c r="K10" i="6"/>
  <c r="V9" i="6"/>
  <c r="O9" i="6"/>
  <c r="N9" i="6"/>
  <c r="M9" i="6"/>
  <c r="L9" i="6"/>
  <c r="K9" i="6"/>
  <c r="V8" i="6"/>
  <c r="O8" i="6"/>
  <c r="N8" i="6"/>
  <c r="M8" i="6"/>
  <c r="L8" i="6"/>
  <c r="K8" i="6"/>
  <c r="Y8" i="6" l="1"/>
  <c r="X8" i="6"/>
  <c r="U8" i="6"/>
  <c r="R8" i="6"/>
  <c r="P8" i="6"/>
  <c r="Q8" i="6" s="1"/>
  <c r="R9" i="6"/>
  <c r="Y9" i="6"/>
  <c r="X9" i="6"/>
  <c r="U9" i="6"/>
  <c r="T9" i="6"/>
  <c r="S9" i="6"/>
  <c r="P9" i="6"/>
  <c r="Q9" i="6" s="1"/>
  <c r="U10" i="6"/>
  <c r="Y10" i="6"/>
  <c r="X10" i="6"/>
  <c r="T10" i="6"/>
  <c r="S10" i="6"/>
  <c r="R10" i="6"/>
  <c r="P10" i="6"/>
  <c r="Q10" i="6" s="1"/>
  <c r="Y11" i="6"/>
  <c r="X11" i="6"/>
  <c r="U11" i="6"/>
  <c r="T11" i="6"/>
  <c r="S11" i="6"/>
  <c r="R11" i="6"/>
  <c r="P11" i="6"/>
  <c r="Q11" i="6" s="1"/>
  <c r="P13" i="6"/>
  <c r="Q13" i="6" s="1"/>
  <c r="X13" i="6"/>
  <c r="U13" i="6"/>
  <c r="T13" i="6"/>
  <c r="S13" i="6"/>
  <c r="U14" i="6"/>
  <c r="X14" i="6"/>
  <c r="T14" i="6"/>
  <c r="S14" i="6"/>
  <c r="P15" i="6"/>
  <c r="Q15" i="6" s="1"/>
  <c r="Y15" i="6"/>
  <c r="X16" i="6"/>
  <c r="Y16" i="6"/>
  <c r="U16" i="6"/>
  <c r="T16" i="6"/>
  <c r="S16" i="6"/>
  <c r="R16" i="6"/>
  <c r="P16" i="6"/>
  <c r="Q16" i="6" s="1"/>
  <c r="Y17" i="6"/>
  <c r="X17" i="6"/>
  <c r="R17" i="6"/>
  <c r="P20" i="6"/>
  <c r="Q20" i="6" s="1"/>
  <c r="S20" i="6"/>
  <c r="P22" i="6"/>
  <c r="Q22" i="6" s="1"/>
  <c r="Y22" i="6" s="1"/>
  <c r="S23" i="6"/>
  <c r="P23" i="6"/>
  <c r="Q23" i="6" s="1"/>
  <c r="R23" i="6" s="1"/>
  <c r="S26" i="6"/>
  <c r="P26" i="6"/>
  <c r="Q26" i="6" s="1"/>
  <c r="P27" i="6"/>
  <c r="Q27" i="6" s="1"/>
  <c r="R27" i="6" s="1"/>
  <c r="T27" i="6" s="1"/>
  <c r="U27" i="6" s="1"/>
  <c r="P29" i="6"/>
  <c r="Q29" i="6" s="1"/>
  <c r="S29" i="6"/>
  <c r="R29" i="6"/>
  <c r="S30" i="6"/>
  <c r="P30" i="6"/>
  <c r="Q30" i="6" s="1"/>
  <c r="R30" i="6" s="1"/>
  <c r="S32" i="6"/>
  <c r="S33" i="6"/>
  <c r="S34" i="6"/>
  <c r="S35" i="6"/>
  <c r="P35" i="6"/>
  <c r="Q35" i="6" s="1"/>
  <c r="P36" i="6"/>
  <c r="Q36" i="6" s="1"/>
  <c r="S36" i="6"/>
  <c r="S38" i="6"/>
  <c r="S39" i="6"/>
  <c r="S41" i="6"/>
  <c r="P41" i="6"/>
  <c r="Q41" i="6" s="1"/>
  <c r="S42" i="6"/>
  <c r="P42" i="6"/>
  <c r="Q42" i="6" s="1"/>
  <c r="Y42" i="6" s="1"/>
  <c r="S43" i="6"/>
  <c r="P43" i="6"/>
  <c r="Q43" i="6" s="1"/>
  <c r="Y43" i="6" s="1"/>
  <c r="S49" i="6"/>
  <c r="S50" i="6"/>
  <c r="S51" i="6"/>
  <c r="P52" i="6"/>
  <c r="Q52" i="6" s="1"/>
  <c r="S52" i="6"/>
  <c r="P54" i="6"/>
  <c r="Q54" i="6" s="1"/>
  <c r="Y54" i="6" s="1"/>
  <c r="S55" i="6"/>
  <c r="P55" i="6"/>
  <c r="Q55" i="6" s="1"/>
  <c r="S59" i="6"/>
  <c r="P59" i="6"/>
  <c r="Q59" i="6" s="1"/>
  <c r="Y59" i="6" s="1"/>
  <c r="S62" i="6"/>
  <c r="S64" i="6"/>
  <c r="P66" i="6"/>
  <c r="Q66" i="6" s="1"/>
  <c r="Y66" i="6" s="1"/>
  <c r="S66" i="6"/>
  <c r="R66" i="6"/>
  <c r="P73" i="6"/>
  <c r="Q73" i="6" s="1"/>
  <c r="R73" i="6" s="1"/>
  <c r="T73" i="6" s="1"/>
  <c r="U73" i="6" s="1"/>
  <c r="S74" i="6"/>
  <c r="P74" i="6"/>
  <c r="Q74" i="6" s="1"/>
  <c r="S80" i="6"/>
  <c r="P80" i="6"/>
  <c r="Q80" i="6" s="1"/>
  <c r="S83" i="6"/>
  <c r="P83" i="6"/>
  <c r="Q83" i="6" s="1"/>
  <c r="R83" i="6" s="1"/>
  <c r="Y35" i="6"/>
  <c r="S53" i="6"/>
  <c r="P53" i="6"/>
  <c r="Q53" i="6" s="1"/>
  <c r="Y53" i="6" s="1"/>
  <c r="T29" i="6"/>
  <c r="U29" i="6" s="1"/>
  <c r="S28" i="6"/>
  <c r="P28" i="6"/>
  <c r="Q28" i="6" s="1"/>
  <c r="Y28" i="6" s="1"/>
  <c r="P32" i="6"/>
  <c r="Q32" i="6" s="1"/>
  <c r="R32" i="6" s="1"/>
  <c r="T32" i="6" s="1"/>
  <c r="U32" i="6" s="1"/>
  <c r="P38" i="6"/>
  <c r="Q38" i="6" s="1"/>
  <c r="Y38" i="6"/>
  <c r="T21" i="6"/>
  <c r="U21" i="6" s="1"/>
  <c r="R57" i="6"/>
  <c r="T57" i="6" s="1"/>
  <c r="U57" i="6" s="1"/>
  <c r="X57" i="6"/>
  <c r="R41" i="6"/>
  <c r="T41" i="6" s="1"/>
  <c r="U41" i="6" s="1"/>
  <c r="Y41" i="6"/>
  <c r="U17" i="6"/>
  <c r="T17" i="6"/>
  <c r="S17" i="6"/>
  <c r="P18" i="6"/>
  <c r="Q18" i="6" s="1"/>
  <c r="T23" i="6"/>
  <c r="U23" i="6" s="1"/>
  <c r="P17" i="6"/>
  <c r="Q17" i="6" s="1"/>
  <c r="Y57" i="6"/>
  <c r="Y36" i="6"/>
  <c r="R36" i="6"/>
  <c r="T36" i="6" s="1"/>
  <c r="P19" i="6"/>
  <c r="Q19" i="6" s="1"/>
  <c r="S19" i="6"/>
  <c r="S15" i="6"/>
  <c r="R15" i="6"/>
  <c r="U15" i="6"/>
  <c r="T15" i="6"/>
  <c r="U18" i="6"/>
  <c r="T18" i="6"/>
  <c r="X15" i="6"/>
  <c r="S18" i="6"/>
  <c r="Y27" i="6"/>
  <c r="X27" i="6"/>
  <c r="Y31" i="6"/>
  <c r="P34" i="6"/>
  <c r="Q34" i="6" s="1"/>
  <c r="Y34" i="6" s="1"/>
  <c r="S40" i="6"/>
  <c r="Y40" i="6"/>
  <c r="P37" i="6"/>
  <c r="Q37" i="6" s="1"/>
  <c r="R37" i="6" s="1"/>
  <c r="Y18" i="6"/>
  <c r="Y30" i="6"/>
  <c r="T30" i="6"/>
  <c r="U30" i="6" s="1"/>
  <c r="R40" i="6"/>
  <c r="X12" i="6"/>
  <c r="R12" i="6"/>
  <c r="T12" i="6"/>
  <c r="S12" i="6"/>
  <c r="X18" i="6"/>
  <c r="Y23" i="6"/>
  <c r="U12" i="6"/>
  <c r="R20" i="6"/>
  <c r="Y20" i="6"/>
  <c r="X23" i="6"/>
  <c r="Y37" i="6"/>
  <c r="S37" i="6"/>
  <c r="T37" i="6" s="1"/>
  <c r="U37" i="6" s="1"/>
  <c r="T20" i="6"/>
  <c r="U20" i="6" s="1"/>
  <c r="Y12" i="6"/>
  <c r="P33" i="6"/>
  <c r="Q33" i="6" s="1"/>
  <c r="R33" i="6" s="1"/>
  <c r="T33" i="6" s="1"/>
  <c r="U33" i="6" s="1"/>
  <c r="P67" i="6"/>
  <c r="Q67" i="6" s="1"/>
  <c r="Y67" i="6" s="1"/>
  <c r="S67" i="6"/>
  <c r="S25" i="6"/>
  <c r="P25" i="6"/>
  <c r="Q25" i="6" s="1"/>
  <c r="S45" i="6"/>
  <c r="P45" i="6"/>
  <c r="Q45" i="6" s="1"/>
  <c r="Y45" i="6" s="1"/>
  <c r="R45" i="6"/>
  <c r="R68" i="6"/>
  <c r="T68" i="6" s="1"/>
  <c r="U68" i="6" s="1"/>
  <c r="Y68" i="6"/>
  <c r="S24" i="6"/>
  <c r="R24" i="6"/>
  <c r="Y13" i="6"/>
  <c r="P44" i="6"/>
  <c r="Q44" i="6" s="1"/>
  <c r="R44" i="6" s="1"/>
  <c r="R52" i="6"/>
  <c r="T52" i="6" s="1"/>
  <c r="S61" i="6"/>
  <c r="P61" i="6"/>
  <c r="Q61" i="6" s="1"/>
  <c r="R61" i="6" s="1"/>
  <c r="R42" i="6"/>
  <c r="R43" i="6"/>
  <c r="T43" i="6" s="1"/>
  <c r="S44" i="6"/>
  <c r="P51" i="6"/>
  <c r="Q51" i="6" s="1"/>
  <c r="Y51" i="6" s="1"/>
  <c r="S70" i="6"/>
  <c r="R70" i="6"/>
  <c r="Y70" i="6"/>
  <c r="S56" i="6"/>
  <c r="P56" i="6"/>
  <c r="Q56" i="6" s="1"/>
  <c r="S72" i="6"/>
  <c r="P72" i="6"/>
  <c r="Q72" i="6" s="1"/>
  <c r="T42" i="6"/>
  <c r="Y44" i="6"/>
  <c r="P50" i="6"/>
  <c r="Q50" i="6" s="1"/>
  <c r="Y50" i="6"/>
  <c r="Y52" i="6"/>
  <c r="R72" i="6"/>
  <c r="S63" i="6"/>
  <c r="P63" i="6"/>
  <c r="Q63" i="6" s="1"/>
  <c r="R63" i="6" s="1"/>
  <c r="Y69" i="6"/>
  <c r="S69" i="6"/>
  <c r="R69" i="6"/>
  <c r="S48" i="6"/>
  <c r="P48" i="6"/>
  <c r="Q48" i="6" s="1"/>
  <c r="Y48" i="6" s="1"/>
  <c r="Y14" i="6"/>
  <c r="R14" i="6"/>
  <c r="R13" i="6"/>
  <c r="P14" i="6"/>
  <c r="Q14" i="6" s="1"/>
  <c r="R59" i="6"/>
  <c r="T66" i="6"/>
  <c r="U66" i="6" s="1"/>
  <c r="R22" i="6"/>
  <c r="S22" i="6"/>
  <c r="T22" i="6" s="1"/>
  <c r="U22" i="6" s="1"/>
  <c r="S46" i="6"/>
  <c r="P46" i="6"/>
  <c r="Q46" i="6" s="1"/>
  <c r="T59" i="6"/>
  <c r="U59" i="6" s="1"/>
  <c r="S71" i="6"/>
  <c r="T83" i="6"/>
  <c r="U83" i="6" s="1"/>
  <c r="P71" i="6"/>
  <c r="Q71" i="6" s="1"/>
  <c r="S81" i="6"/>
  <c r="Y60" i="6"/>
  <c r="X75" i="6"/>
  <c r="P81" i="6"/>
  <c r="Q81" i="6" s="1"/>
  <c r="X82" i="6"/>
  <c r="S65" i="6"/>
  <c r="Y75" i="6"/>
  <c r="Y82" i="6"/>
  <c r="X73" i="6"/>
  <c r="R81" i="6"/>
  <c r="Y73" i="6"/>
  <c r="S79" i="6"/>
  <c r="P79" i="6"/>
  <c r="Q79" i="6" s="1"/>
  <c r="R35" i="6"/>
  <c r="T35" i="6" s="1"/>
  <c r="U35" i="6" s="1"/>
  <c r="S47" i="6"/>
  <c r="T60" i="6"/>
  <c r="X60" i="6" s="1"/>
  <c r="P62" i="6"/>
  <c r="Q62" i="6" s="1"/>
  <c r="Y62" i="6" s="1"/>
  <c r="P78" i="6"/>
  <c r="Q78" i="6" s="1"/>
  <c r="P39" i="6"/>
  <c r="Q39" i="6" s="1"/>
  <c r="P47" i="6"/>
  <c r="Q47" i="6" s="1"/>
  <c r="R47" i="6" s="1"/>
  <c r="S78" i="6"/>
  <c r="S77" i="6"/>
  <c r="P77" i="6"/>
  <c r="Q77" i="6" s="1"/>
  <c r="Y83" i="6"/>
  <c r="P76" i="6"/>
  <c r="Q76" i="6" s="1"/>
  <c r="P58" i="6"/>
  <c r="Q58" i="6" s="1"/>
  <c r="P64" i="6"/>
  <c r="Q64" i="6" s="1"/>
  <c r="Y74" i="6"/>
  <c r="S76" i="6"/>
  <c r="T8" i="6"/>
  <c r="S8" i="6"/>
  <c r="Y21" i="6"/>
  <c r="X21" i="6"/>
  <c r="Y29" i="6"/>
  <c r="S31" i="6"/>
  <c r="R31" i="6"/>
  <c r="P49" i="6"/>
  <c r="Q49" i="6" s="1"/>
  <c r="S54" i="6"/>
  <c r="R54" i="6"/>
  <c r="S58" i="6"/>
  <c r="P65" i="6"/>
  <c r="Q65" i="6" s="1"/>
  <c r="R65" i="6" s="1"/>
  <c r="R74" i="6"/>
  <c r="T74" i="6" s="1"/>
  <c r="X83" i="6"/>
  <c r="C21" i="3"/>
  <c r="C22" i="3"/>
  <c r="C23" i="3"/>
  <c r="C24" i="3"/>
  <c r="C25" i="3"/>
  <c r="C26" i="3"/>
  <c r="C27" i="3"/>
  <c r="C28" i="3"/>
  <c r="C29" i="3"/>
  <c r="E20" i="3"/>
  <c r="E21" i="3"/>
  <c r="E22" i="3"/>
  <c r="E23" i="3"/>
  <c r="E24" i="3"/>
  <c r="E25" i="3"/>
  <c r="E26" i="3"/>
  <c r="E27" i="3"/>
  <c r="E28" i="3"/>
  <c r="E29" i="3"/>
  <c r="E30" i="3"/>
  <c r="D20" i="3"/>
  <c r="D21" i="3"/>
  <c r="D22" i="3"/>
  <c r="D23" i="3"/>
  <c r="D24" i="3"/>
  <c r="D25" i="3"/>
  <c r="D26" i="3"/>
  <c r="D27" i="3"/>
  <c r="D28" i="3"/>
  <c r="D29" i="3"/>
  <c r="D30" i="3"/>
  <c r="D31" i="3"/>
  <c r="C20" i="3"/>
  <c r="E17" i="3"/>
  <c r="D17" i="3"/>
  <c r="C17" i="3"/>
  <c r="E16" i="3"/>
  <c r="D16" i="3"/>
  <c r="C16" i="3"/>
  <c r="E7" i="3"/>
  <c r="D7" i="3"/>
  <c r="C7" i="3"/>
  <c r="E6" i="3"/>
  <c r="D6" i="3"/>
  <c r="C6" i="3"/>
  <c r="E5" i="3"/>
  <c r="D5" i="3"/>
  <c r="C5" i="3"/>
  <c r="E4" i="3"/>
  <c r="D4" i="3"/>
  <c r="C4" i="3"/>
  <c r="C9" i="3"/>
  <c r="B90" i="4"/>
  <c r="B89" i="4"/>
  <c r="B88" i="4"/>
  <c r="B87" i="4"/>
  <c r="B86" i="4"/>
  <c r="B85" i="4"/>
  <c r="B84" i="4"/>
  <c r="C80" i="4"/>
  <c r="B80" i="4"/>
  <c r="A80" i="4"/>
  <c r="C79" i="4"/>
  <c r="B79" i="4"/>
  <c r="A79" i="4"/>
  <c r="C78" i="4"/>
  <c r="B78" i="4"/>
  <c r="A78" i="4"/>
  <c r="C77" i="4"/>
  <c r="B77" i="4"/>
  <c r="A77" i="4"/>
  <c r="C76" i="4"/>
  <c r="B76" i="4"/>
  <c r="A76" i="4"/>
  <c r="C75" i="4"/>
  <c r="B75" i="4"/>
  <c r="A75" i="4"/>
  <c r="C74" i="4"/>
  <c r="B74" i="4"/>
  <c r="A74" i="4"/>
  <c r="C73" i="4"/>
  <c r="B73" i="4"/>
  <c r="A73" i="4"/>
  <c r="C72" i="4"/>
  <c r="B72" i="4"/>
  <c r="A72" i="4"/>
  <c r="C71" i="4"/>
  <c r="B71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B65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56" i="4"/>
  <c r="B56" i="4"/>
  <c r="A56" i="4"/>
  <c r="C55" i="4"/>
  <c r="B55" i="4"/>
  <c r="A55" i="4"/>
  <c r="C54" i="4"/>
  <c r="B54" i="4"/>
  <c r="A54" i="4"/>
  <c r="C53" i="4"/>
  <c r="B53" i="4"/>
  <c r="A53" i="4"/>
  <c r="C52" i="4"/>
  <c r="B52" i="4"/>
  <c r="A52" i="4"/>
  <c r="C51" i="4"/>
  <c r="B51" i="4"/>
  <c r="A51" i="4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C4" i="4"/>
  <c r="B4" i="4"/>
  <c r="A4" i="4"/>
  <c r="E304" i="3"/>
  <c r="D304" i="3"/>
  <c r="C304" i="3"/>
  <c r="E303" i="3"/>
  <c r="D303" i="3"/>
  <c r="C303" i="3"/>
  <c r="E302" i="3"/>
  <c r="D302" i="3"/>
  <c r="C302" i="3"/>
  <c r="E301" i="3"/>
  <c r="D301" i="3"/>
  <c r="C301" i="3"/>
  <c r="E300" i="3"/>
  <c r="D300" i="3"/>
  <c r="C300" i="3"/>
  <c r="E299" i="3"/>
  <c r="D299" i="3"/>
  <c r="C299" i="3"/>
  <c r="E298" i="3"/>
  <c r="D298" i="3"/>
  <c r="C298" i="3"/>
  <c r="E297" i="3"/>
  <c r="D297" i="3"/>
  <c r="C297" i="3"/>
  <c r="E296" i="3"/>
  <c r="D296" i="3"/>
  <c r="C296" i="3"/>
  <c r="E295" i="3"/>
  <c r="D295" i="3"/>
  <c r="C295" i="3"/>
  <c r="E294" i="3"/>
  <c r="D294" i="3"/>
  <c r="C294" i="3"/>
  <c r="E293" i="3"/>
  <c r="D293" i="3"/>
  <c r="C293" i="3"/>
  <c r="E292" i="3"/>
  <c r="D292" i="3"/>
  <c r="C292" i="3"/>
  <c r="E291" i="3"/>
  <c r="D291" i="3"/>
  <c r="C291" i="3"/>
  <c r="E290" i="3"/>
  <c r="D290" i="3"/>
  <c r="C290" i="3"/>
  <c r="E289" i="3"/>
  <c r="D289" i="3"/>
  <c r="C289" i="3"/>
  <c r="E288" i="3"/>
  <c r="D288" i="3"/>
  <c r="C288" i="3"/>
  <c r="E287" i="3"/>
  <c r="D287" i="3"/>
  <c r="C287" i="3"/>
  <c r="E286" i="3"/>
  <c r="D286" i="3"/>
  <c r="C286" i="3"/>
  <c r="E285" i="3"/>
  <c r="D285" i="3"/>
  <c r="C285" i="3"/>
  <c r="E284" i="3"/>
  <c r="D284" i="3"/>
  <c r="C284" i="3"/>
  <c r="E283" i="3"/>
  <c r="D283" i="3"/>
  <c r="C283" i="3"/>
  <c r="E282" i="3"/>
  <c r="D282" i="3"/>
  <c r="C282" i="3"/>
  <c r="E281" i="3"/>
  <c r="D281" i="3"/>
  <c r="C281" i="3"/>
  <c r="E280" i="3"/>
  <c r="D280" i="3"/>
  <c r="C280" i="3"/>
  <c r="E279" i="3"/>
  <c r="D279" i="3"/>
  <c r="C279" i="3"/>
  <c r="E278" i="3"/>
  <c r="D278" i="3"/>
  <c r="C278" i="3"/>
  <c r="E277" i="3"/>
  <c r="D277" i="3"/>
  <c r="C277" i="3"/>
  <c r="E276" i="3"/>
  <c r="D276" i="3"/>
  <c r="C276" i="3"/>
  <c r="E275" i="3"/>
  <c r="D275" i="3"/>
  <c r="C275" i="3"/>
  <c r="E274" i="3"/>
  <c r="D274" i="3"/>
  <c r="C274" i="3"/>
  <c r="E273" i="3"/>
  <c r="D273" i="3"/>
  <c r="C273" i="3"/>
  <c r="E272" i="3"/>
  <c r="D272" i="3"/>
  <c r="C272" i="3"/>
  <c r="E271" i="3"/>
  <c r="D271" i="3"/>
  <c r="C271" i="3"/>
  <c r="E270" i="3"/>
  <c r="D270" i="3"/>
  <c r="C270" i="3"/>
  <c r="E269" i="3"/>
  <c r="D269" i="3"/>
  <c r="C269" i="3"/>
  <c r="E268" i="3"/>
  <c r="D268" i="3"/>
  <c r="C268" i="3"/>
  <c r="E267" i="3"/>
  <c r="D267" i="3"/>
  <c r="C267" i="3"/>
  <c r="E266" i="3"/>
  <c r="D266" i="3"/>
  <c r="C266" i="3"/>
  <c r="E265" i="3"/>
  <c r="D265" i="3"/>
  <c r="C265" i="3"/>
  <c r="E264" i="3"/>
  <c r="D264" i="3"/>
  <c r="C264" i="3"/>
  <c r="E263" i="3"/>
  <c r="D263" i="3"/>
  <c r="C263" i="3"/>
  <c r="E262" i="3"/>
  <c r="D262" i="3"/>
  <c r="C262" i="3"/>
  <c r="E261" i="3"/>
  <c r="D261" i="3"/>
  <c r="C261" i="3"/>
  <c r="E260" i="3"/>
  <c r="D260" i="3"/>
  <c r="C260" i="3"/>
  <c r="E259" i="3"/>
  <c r="D259" i="3"/>
  <c r="C259" i="3"/>
  <c r="E258" i="3"/>
  <c r="D258" i="3"/>
  <c r="C258" i="3"/>
  <c r="E257" i="3"/>
  <c r="D257" i="3"/>
  <c r="C257" i="3"/>
  <c r="E256" i="3"/>
  <c r="D256" i="3"/>
  <c r="C256" i="3"/>
  <c r="E255" i="3"/>
  <c r="D255" i="3"/>
  <c r="C255" i="3"/>
  <c r="E254" i="3"/>
  <c r="D254" i="3"/>
  <c r="C254" i="3"/>
  <c r="E253" i="3"/>
  <c r="D253" i="3"/>
  <c r="C253" i="3"/>
  <c r="E252" i="3"/>
  <c r="D252" i="3"/>
  <c r="C252" i="3"/>
  <c r="E251" i="3"/>
  <c r="D251" i="3"/>
  <c r="C251" i="3"/>
  <c r="E250" i="3"/>
  <c r="D250" i="3"/>
  <c r="C250" i="3"/>
  <c r="E249" i="3"/>
  <c r="D249" i="3"/>
  <c r="C249" i="3"/>
  <c r="E248" i="3"/>
  <c r="D248" i="3"/>
  <c r="C248" i="3"/>
  <c r="E247" i="3"/>
  <c r="D247" i="3"/>
  <c r="C247" i="3"/>
  <c r="E246" i="3"/>
  <c r="D246" i="3"/>
  <c r="C246" i="3"/>
  <c r="E245" i="3"/>
  <c r="D245" i="3"/>
  <c r="C245" i="3"/>
  <c r="E244" i="3"/>
  <c r="D244" i="3"/>
  <c r="C244" i="3"/>
  <c r="E243" i="3"/>
  <c r="D243" i="3"/>
  <c r="C243" i="3"/>
  <c r="E242" i="3"/>
  <c r="D242" i="3"/>
  <c r="C242" i="3"/>
  <c r="E241" i="3"/>
  <c r="D241" i="3"/>
  <c r="C241" i="3"/>
  <c r="E240" i="3"/>
  <c r="D240" i="3"/>
  <c r="C240" i="3"/>
  <c r="E239" i="3"/>
  <c r="D239" i="3"/>
  <c r="C239" i="3"/>
  <c r="E238" i="3"/>
  <c r="D238" i="3"/>
  <c r="C238" i="3"/>
  <c r="E237" i="3"/>
  <c r="D237" i="3"/>
  <c r="C237" i="3"/>
  <c r="E236" i="3"/>
  <c r="D236" i="3"/>
  <c r="C236" i="3"/>
  <c r="E235" i="3"/>
  <c r="D235" i="3"/>
  <c r="C235" i="3"/>
  <c r="E234" i="3"/>
  <c r="D234" i="3"/>
  <c r="C234" i="3"/>
  <c r="E233" i="3"/>
  <c r="D233" i="3"/>
  <c r="C233" i="3"/>
  <c r="E232" i="3"/>
  <c r="D232" i="3"/>
  <c r="C232" i="3"/>
  <c r="E231" i="3"/>
  <c r="D231" i="3"/>
  <c r="C231" i="3"/>
  <c r="E230" i="3"/>
  <c r="D230" i="3"/>
  <c r="C230" i="3"/>
  <c r="E229" i="3"/>
  <c r="D229" i="3"/>
  <c r="C229" i="3"/>
  <c r="E228" i="3"/>
  <c r="D228" i="3"/>
  <c r="C228" i="3"/>
  <c r="E227" i="3"/>
  <c r="D227" i="3"/>
  <c r="C227" i="3"/>
  <c r="E226" i="3"/>
  <c r="D226" i="3"/>
  <c r="C226" i="3"/>
  <c r="E225" i="3"/>
  <c r="D225" i="3"/>
  <c r="C225" i="3"/>
  <c r="E224" i="3"/>
  <c r="D224" i="3"/>
  <c r="C224" i="3"/>
  <c r="E223" i="3"/>
  <c r="D223" i="3"/>
  <c r="C223" i="3"/>
  <c r="E222" i="3"/>
  <c r="D222" i="3"/>
  <c r="C222" i="3"/>
  <c r="E221" i="3"/>
  <c r="D221" i="3"/>
  <c r="C221" i="3"/>
  <c r="E220" i="3"/>
  <c r="D220" i="3"/>
  <c r="C220" i="3"/>
  <c r="E219" i="3"/>
  <c r="D219" i="3"/>
  <c r="C219" i="3"/>
  <c r="E218" i="3"/>
  <c r="D218" i="3"/>
  <c r="C218" i="3"/>
  <c r="E217" i="3"/>
  <c r="D217" i="3"/>
  <c r="C217" i="3"/>
  <c r="E216" i="3"/>
  <c r="D216" i="3"/>
  <c r="C216" i="3"/>
  <c r="E215" i="3"/>
  <c r="D215" i="3"/>
  <c r="C215" i="3"/>
  <c r="E214" i="3"/>
  <c r="D214" i="3"/>
  <c r="C214" i="3"/>
  <c r="E213" i="3"/>
  <c r="D213" i="3"/>
  <c r="C213" i="3"/>
  <c r="E212" i="3"/>
  <c r="D212" i="3"/>
  <c r="C212" i="3"/>
  <c r="E211" i="3"/>
  <c r="D211" i="3"/>
  <c r="C211" i="3"/>
  <c r="E210" i="3"/>
  <c r="D210" i="3"/>
  <c r="C210" i="3"/>
  <c r="E209" i="3"/>
  <c r="D209" i="3"/>
  <c r="C209" i="3"/>
  <c r="E208" i="3"/>
  <c r="D208" i="3"/>
  <c r="C208" i="3"/>
  <c r="E207" i="3"/>
  <c r="D207" i="3"/>
  <c r="C207" i="3"/>
  <c r="E206" i="3"/>
  <c r="D206" i="3"/>
  <c r="C206" i="3"/>
  <c r="E205" i="3"/>
  <c r="D205" i="3"/>
  <c r="C205" i="3"/>
  <c r="E204" i="3"/>
  <c r="D204" i="3"/>
  <c r="C204" i="3"/>
  <c r="E203" i="3"/>
  <c r="D203" i="3"/>
  <c r="C203" i="3"/>
  <c r="E202" i="3"/>
  <c r="D202" i="3"/>
  <c r="C202" i="3"/>
  <c r="E201" i="3"/>
  <c r="D201" i="3"/>
  <c r="C201" i="3"/>
  <c r="E200" i="3"/>
  <c r="D200" i="3"/>
  <c r="C200" i="3"/>
  <c r="E199" i="3"/>
  <c r="D199" i="3"/>
  <c r="C199" i="3"/>
  <c r="E198" i="3"/>
  <c r="D198" i="3"/>
  <c r="C198" i="3"/>
  <c r="E197" i="3"/>
  <c r="D197" i="3"/>
  <c r="C197" i="3"/>
  <c r="E196" i="3"/>
  <c r="D196" i="3"/>
  <c r="C196" i="3"/>
  <c r="E195" i="3"/>
  <c r="D195" i="3"/>
  <c r="C195" i="3"/>
  <c r="E194" i="3"/>
  <c r="D194" i="3"/>
  <c r="C194" i="3"/>
  <c r="E193" i="3"/>
  <c r="D193" i="3"/>
  <c r="C193" i="3"/>
  <c r="E192" i="3"/>
  <c r="D192" i="3"/>
  <c r="C192" i="3"/>
  <c r="E191" i="3"/>
  <c r="D191" i="3"/>
  <c r="C191" i="3"/>
  <c r="E190" i="3"/>
  <c r="D190" i="3"/>
  <c r="C190" i="3"/>
  <c r="E189" i="3"/>
  <c r="D189" i="3"/>
  <c r="C189" i="3"/>
  <c r="E188" i="3"/>
  <c r="D188" i="3"/>
  <c r="C188" i="3"/>
  <c r="E187" i="3"/>
  <c r="D187" i="3"/>
  <c r="C187" i="3"/>
  <c r="E186" i="3"/>
  <c r="D186" i="3"/>
  <c r="C186" i="3"/>
  <c r="E185" i="3"/>
  <c r="D185" i="3"/>
  <c r="C185" i="3"/>
  <c r="E184" i="3"/>
  <c r="D184" i="3"/>
  <c r="C184" i="3"/>
  <c r="E183" i="3"/>
  <c r="D183" i="3"/>
  <c r="C183" i="3"/>
  <c r="E182" i="3"/>
  <c r="D182" i="3"/>
  <c r="C182" i="3"/>
  <c r="E181" i="3"/>
  <c r="D181" i="3"/>
  <c r="C181" i="3"/>
  <c r="E180" i="3"/>
  <c r="D180" i="3"/>
  <c r="C180" i="3"/>
  <c r="E179" i="3"/>
  <c r="D179" i="3"/>
  <c r="C179" i="3"/>
  <c r="E178" i="3"/>
  <c r="D178" i="3"/>
  <c r="C178" i="3"/>
  <c r="E177" i="3"/>
  <c r="D177" i="3"/>
  <c r="C177" i="3"/>
  <c r="E176" i="3"/>
  <c r="D176" i="3"/>
  <c r="C176" i="3"/>
  <c r="E175" i="3"/>
  <c r="D175" i="3"/>
  <c r="C175" i="3"/>
  <c r="E174" i="3"/>
  <c r="D174" i="3"/>
  <c r="C174" i="3"/>
  <c r="E173" i="3"/>
  <c r="D173" i="3"/>
  <c r="C173" i="3"/>
  <c r="E172" i="3"/>
  <c r="D172" i="3"/>
  <c r="C172" i="3"/>
  <c r="E171" i="3"/>
  <c r="D171" i="3"/>
  <c r="C171" i="3"/>
  <c r="E170" i="3"/>
  <c r="D170" i="3"/>
  <c r="C170" i="3"/>
  <c r="E169" i="3"/>
  <c r="D169" i="3"/>
  <c r="C169" i="3"/>
  <c r="E168" i="3"/>
  <c r="D168" i="3"/>
  <c r="C168" i="3"/>
  <c r="E167" i="3"/>
  <c r="D167" i="3"/>
  <c r="C167" i="3"/>
  <c r="E166" i="3"/>
  <c r="D166" i="3"/>
  <c r="C166" i="3"/>
  <c r="E165" i="3"/>
  <c r="D165" i="3"/>
  <c r="C165" i="3"/>
  <c r="E164" i="3"/>
  <c r="D164" i="3"/>
  <c r="C164" i="3"/>
  <c r="E163" i="3"/>
  <c r="D163" i="3"/>
  <c r="C163" i="3"/>
  <c r="E162" i="3"/>
  <c r="D162" i="3"/>
  <c r="C162" i="3"/>
  <c r="E161" i="3"/>
  <c r="D161" i="3"/>
  <c r="C161" i="3"/>
  <c r="E160" i="3"/>
  <c r="D160" i="3"/>
  <c r="C160" i="3"/>
  <c r="E159" i="3"/>
  <c r="D159" i="3"/>
  <c r="C159" i="3"/>
  <c r="E158" i="3"/>
  <c r="D158" i="3"/>
  <c r="C158" i="3"/>
  <c r="E157" i="3"/>
  <c r="D157" i="3"/>
  <c r="C157" i="3"/>
  <c r="E156" i="3"/>
  <c r="D156" i="3"/>
  <c r="C156" i="3"/>
  <c r="E155" i="3"/>
  <c r="D155" i="3"/>
  <c r="C155" i="3"/>
  <c r="E154" i="3"/>
  <c r="D154" i="3"/>
  <c r="C154" i="3"/>
  <c r="E153" i="3"/>
  <c r="D153" i="3"/>
  <c r="C153" i="3"/>
  <c r="E152" i="3"/>
  <c r="D152" i="3"/>
  <c r="C152" i="3"/>
  <c r="E151" i="3"/>
  <c r="D151" i="3"/>
  <c r="C151" i="3"/>
  <c r="E150" i="3"/>
  <c r="D150" i="3"/>
  <c r="C150" i="3"/>
  <c r="E149" i="3"/>
  <c r="D149" i="3"/>
  <c r="C149" i="3"/>
  <c r="E148" i="3"/>
  <c r="D148" i="3"/>
  <c r="C148" i="3"/>
  <c r="E147" i="3"/>
  <c r="D147" i="3"/>
  <c r="C147" i="3"/>
  <c r="E146" i="3"/>
  <c r="D146" i="3"/>
  <c r="C146" i="3"/>
  <c r="E145" i="3"/>
  <c r="D145" i="3"/>
  <c r="C145" i="3"/>
  <c r="E144" i="3"/>
  <c r="D144" i="3"/>
  <c r="C144" i="3"/>
  <c r="E143" i="3"/>
  <c r="D143" i="3"/>
  <c r="C143" i="3"/>
  <c r="E142" i="3"/>
  <c r="D142" i="3"/>
  <c r="C142" i="3"/>
  <c r="E141" i="3"/>
  <c r="D141" i="3"/>
  <c r="C141" i="3"/>
  <c r="E140" i="3"/>
  <c r="D140" i="3"/>
  <c r="C140" i="3"/>
  <c r="E139" i="3"/>
  <c r="D139" i="3"/>
  <c r="C139" i="3"/>
  <c r="E138" i="3"/>
  <c r="D138" i="3"/>
  <c r="C138" i="3"/>
  <c r="E137" i="3"/>
  <c r="D137" i="3"/>
  <c r="C137" i="3"/>
  <c r="E136" i="3"/>
  <c r="D136" i="3"/>
  <c r="C136" i="3"/>
  <c r="E135" i="3"/>
  <c r="D135" i="3"/>
  <c r="C135" i="3"/>
  <c r="E134" i="3"/>
  <c r="D134" i="3"/>
  <c r="C134" i="3"/>
  <c r="E133" i="3"/>
  <c r="D133" i="3"/>
  <c r="C133" i="3"/>
  <c r="E132" i="3"/>
  <c r="D132" i="3"/>
  <c r="C132" i="3"/>
  <c r="E131" i="3"/>
  <c r="D131" i="3"/>
  <c r="C131" i="3"/>
  <c r="E130" i="3"/>
  <c r="D130" i="3"/>
  <c r="C130" i="3"/>
  <c r="E129" i="3"/>
  <c r="D129" i="3"/>
  <c r="C129" i="3"/>
  <c r="E128" i="3"/>
  <c r="D128" i="3"/>
  <c r="C128" i="3"/>
  <c r="E127" i="3"/>
  <c r="D127" i="3"/>
  <c r="C127" i="3"/>
  <c r="E126" i="3"/>
  <c r="D126" i="3"/>
  <c r="C126" i="3"/>
  <c r="E125" i="3"/>
  <c r="D125" i="3"/>
  <c r="C125" i="3"/>
  <c r="E124" i="3"/>
  <c r="D124" i="3"/>
  <c r="C124" i="3"/>
  <c r="E123" i="3"/>
  <c r="D123" i="3"/>
  <c r="C123" i="3"/>
  <c r="E122" i="3"/>
  <c r="D122" i="3"/>
  <c r="C122" i="3"/>
  <c r="E121" i="3"/>
  <c r="D121" i="3"/>
  <c r="C121" i="3"/>
  <c r="E120" i="3"/>
  <c r="D120" i="3"/>
  <c r="C120" i="3"/>
  <c r="E119" i="3"/>
  <c r="D119" i="3"/>
  <c r="C119" i="3"/>
  <c r="E118" i="3"/>
  <c r="D118" i="3"/>
  <c r="C118" i="3"/>
  <c r="E117" i="3"/>
  <c r="D117" i="3"/>
  <c r="C117" i="3"/>
  <c r="E116" i="3"/>
  <c r="D116" i="3"/>
  <c r="C116" i="3"/>
  <c r="E115" i="3"/>
  <c r="D115" i="3"/>
  <c r="C115" i="3"/>
  <c r="E114" i="3"/>
  <c r="D114" i="3"/>
  <c r="C114" i="3"/>
  <c r="E113" i="3"/>
  <c r="D113" i="3"/>
  <c r="C113" i="3"/>
  <c r="E112" i="3"/>
  <c r="D112" i="3"/>
  <c r="C112" i="3"/>
  <c r="E111" i="3"/>
  <c r="D111" i="3"/>
  <c r="C111" i="3"/>
  <c r="E110" i="3"/>
  <c r="D110" i="3"/>
  <c r="C110" i="3"/>
  <c r="E109" i="3"/>
  <c r="D109" i="3"/>
  <c r="C109" i="3"/>
  <c r="E108" i="3"/>
  <c r="D108" i="3"/>
  <c r="C108" i="3"/>
  <c r="E107" i="3"/>
  <c r="D107" i="3"/>
  <c r="C107" i="3"/>
  <c r="E106" i="3"/>
  <c r="D106" i="3"/>
  <c r="C106" i="3"/>
  <c r="E105" i="3"/>
  <c r="D105" i="3"/>
  <c r="C105" i="3"/>
  <c r="E104" i="3"/>
  <c r="D104" i="3"/>
  <c r="C104" i="3"/>
  <c r="E103" i="3"/>
  <c r="D103" i="3"/>
  <c r="C103" i="3"/>
  <c r="E102" i="3"/>
  <c r="D102" i="3"/>
  <c r="C102" i="3"/>
  <c r="E101" i="3"/>
  <c r="D101" i="3"/>
  <c r="C101" i="3"/>
  <c r="E100" i="3"/>
  <c r="D100" i="3"/>
  <c r="C100" i="3"/>
  <c r="E99" i="3"/>
  <c r="D99" i="3"/>
  <c r="C99" i="3"/>
  <c r="E98" i="3"/>
  <c r="D98" i="3"/>
  <c r="C98" i="3"/>
  <c r="E97" i="3"/>
  <c r="D97" i="3"/>
  <c r="C97" i="3"/>
  <c r="E96" i="3"/>
  <c r="D96" i="3"/>
  <c r="C96" i="3"/>
  <c r="E95" i="3"/>
  <c r="D95" i="3"/>
  <c r="C95" i="3"/>
  <c r="E94" i="3"/>
  <c r="D94" i="3"/>
  <c r="C94" i="3"/>
  <c r="E93" i="3"/>
  <c r="D93" i="3"/>
  <c r="C93" i="3"/>
  <c r="E92" i="3"/>
  <c r="D92" i="3"/>
  <c r="C92" i="3"/>
  <c r="E91" i="3"/>
  <c r="D91" i="3"/>
  <c r="C91" i="3"/>
  <c r="E90" i="3"/>
  <c r="D90" i="3"/>
  <c r="C90" i="3"/>
  <c r="E89" i="3"/>
  <c r="D89" i="3"/>
  <c r="C89" i="3"/>
  <c r="E88" i="3"/>
  <c r="D88" i="3"/>
  <c r="C88" i="3"/>
  <c r="E87" i="3"/>
  <c r="D87" i="3"/>
  <c r="C87" i="3"/>
  <c r="E86" i="3"/>
  <c r="D86" i="3"/>
  <c r="C86" i="3"/>
  <c r="E85" i="3"/>
  <c r="D85" i="3"/>
  <c r="C85" i="3"/>
  <c r="E84" i="3"/>
  <c r="D84" i="3"/>
  <c r="C84" i="3"/>
  <c r="E83" i="3"/>
  <c r="D83" i="3"/>
  <c r="C83" i="3"/>
  <c r="E82" i="3"/>
  <c r="D82" i="3"/>
  <c r="C82" i="3"/>
  <c r="E81" i="3"/>
  <c r="D81" i="3"/>
  <c r="C81" i="3"/>
  <c r="E80" i="3"/>
  <c r="D80" i="3"/>
  <c r="C80" i="3"/>
  <c r="E79" i="3"/>
  <c r="D79" i="3"/>
  <c r="C79" i="3"/>
  <c r="E78" i="3"/>
  <c r="D78" i="3"/>
  <c r="C78" i="3"/>
  <c r="E77" i="3"/>
  <c r="D77" i="3"/>
  <c r="C77" i="3"/>
  <c r="E76" i="3"/>
  <c r="D76" i="3"/>
  <c r="C76" i="3"/>
  <c r="E75" i="3"/>
  <c r="D75" i="3"/>
  <c r="C75" i="3"/>
  <c r="E74" i="3"/>
  <c r="D74" i="3"/>
  <c r="C74" i="3"/>
  <c r="E73" i="3"/>
  <c r="D73" i="3"/>
  <c r="C73" i="3"/>
  <c r="E72" i="3"/>
  <c r="D72" i="3"/>
  <c r="C72" i="3"/>
  <c r="E71" i="3"/>
  <c r="D71" i="3"/>
  <c r="C71" i="3"/>
  <c r="E70" i="3"/>
  <c r="D70" i="3"/>
  <c r="C70" i="3"/>
  <c r="E69" i="3"/>
  <c r="D69" i="3"/>
  <c r="C69" i="3"/>
  <c r="E68" i="3"/>
  <c r="D68" i="3"/>
  <c r="C68" i="3"/>
  <c r="E67" i="3"/>
  <c r="D67" i="3"/>
  <c r="C67" i="3"/>
  <c r="E66" i="3"/>
  <c r="D66" i="3"/>
  <c r="C66" i="3"/>
  <c r="E65" i="3"/>
  <c r="D65" i="3"/>
  <c r="C65" i="3"/>
  <c r="E64" i="3"/>
  <c r="D64" i="3"/>
  <c r="C64" i="3"/>
  <c r="E63" i="3"/>
  <c r="D63" i="3"/>
  <c r="C63" i="3"/>
  <c r="E62" i="3"/>
  <c r="D62" i="3"/>
  <c r="C62" i="3"/>
  <c r="E61" i="3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C31" i="3"/>
  <c r="C30" i="3"/>
  <c r="E19" i="3"/>
  <c r="D19" i="3"/>
  <c r="C19" i="3"/>
  <c r="E18" i="3"/>
  <c r="D18" i="3"/>
  <c r="C18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E8" i="3"/>
  <c r="D8" i="3"/>
  <c r="C8" i="3"/>
  <c r="B24" i="2"/>
  <c r="C24" i="2" s="1"/>
  <c r="B23" i="2"/>
  <c r="C23" i="2" s="1"/>
  <c r="B22" i="2"/>
  <c r="C22" i="2" s="1"/>
  <c r="B21" i="2"/>
  <c r="C21" i="2" s="1"/>
  <c r="B20" i="2"/>
  <c r="C20" i="2" s="1"/>
  <c r="E14" i="2"/>
  <c r="E13" i="2"/>
  <c r="E12" i="2"/>
  <c r="E11" i="2"/>
  <c r="E10" i="2"/>
  <c r="E9" i="2"/>
  <c r="B9" i="2"/>
  <c r="E8" i="2"/>
  <c r="B8" i="2"/>
  <c r="E7" i="2"/>
  <c r="B7" i="2"/>
  <c r="H6" i="2"/>
  <c r="E6" i="2"/>
  <c r="B6" i="2"/>
  <c r="H5" i="2"/>
  <c r="E5" i="2"/>
  <c r="B5" i="2"/>
  <c r="B10" i="2" s="1"/>
  <c r="R76" i="6" l="1"/>
  <c r="T76" i="6" s="1"/>
  <c r="U76" i="6" s="1"/>
  <c r="Y76" i="6"/>
  <c r="Y78" i="6"/>
  <c r="R78" i="6"/>
  <c r="T78" i="6" s="1"/>
  <c r="U78" i="6" s="1"/>
  <c r="T47" i="6"/>
  <c r="U47" i="6" s="1"/>
  <c r="R79" i="6"/>
  <c r="Y79" i="6"/>
  <c r="T79" i="6"/>
  <c r="T65" i="6"/>
  <c r="U65" i="6" s="1"/>
  <c r="Y81" i="6"/>
  <c r="T81" i="6"/>
  <c r="R71" i="6"/>
  <c r="Y71" i="6"/>
  <c r="R46" i="6"/>
  <c r="Y46" i="6"/>
  <c r="T46" i="6"/>
  <c r="T69" i="6"/>
  <c r="U69" i="6" s="1"/>
  <c r="X42" i="6"/>
  <c r="U42" i="6"/>
  <c r="T72" i="6"/>
  <c r="Y56" i="6"/>
  <c r="R56" i="6"/>
  <c r="T61" i="6"/>
  <c r="U61" i="6" s="1"/>
  <c r="T45" i="6"/>
  <c r="U45" i="6" s="1"/>
  <c r="R80" i="6"/>
  <c r="T80" i="6" s="1"/>
  <c r="Y80" i="6"/>
  <c r="Y55" i="6"/>
  <c r="R55" i="6"/>
  <c r="T55" i="6" s="1"/>
  <c r="X55" i="6" s="1"/>
  <c r="R26" i="6"/>
  <c r="T26" i="6" s="1"/>
  <c r="Y26" i="6"/>
  <c r="U52" i="6"/>
  <c r="X52" i="6"/>
  <c r="U36" i="6"/>
  <c r="X36" i="6"/>
  <c r="U46" i="6"/>
  <c r="X46" i="6"/>
  <c r="T63" i="6"/>
  <c r="U63" i="6" s="1"/>
  <c r="X74" i="6"/>
  <c r="U74" i="6"/>
  <c r="U43" i="6"/>
  <c r="X43" i="6"/>
  <c r="X66" i="6"/>
  <c r="T40" i="6"/>
  <c r="R34" i="6"/>
  <c r="T34" i="6" s="1"/>
  <c r="U34" i="6" s="1"/>
  <c r="R64" i="6"/>
  <c r="T64" i="6" s="1"/>
  <c r="U64" i="6" s="1"/>
  <c r="X69" i="6"/>
  <c r="T56" i="6"/>
  <c r="U56" i="6" s="1"/>
  <c r="R28" i="6"/>
  <c r="T28" i="6" s="1"/>
  <c r="U28" i="6" s="1"/>
  <c r="Y64" i="6"/>
  <c r="T31" i="6"/>
  <c r="U31" i="6" s="1"/>
  <c r="R58" i="6"/>
  <c r="T58" i="6" s="1"/>
  <c r="Y58" i="6"/>
  <c r="X59" i="6"/>
  <c r="T24" i="6"/>
  <c r="X37" i="6"/>
  <c r="Y19" i="6"/>
  <c r="R38" i="6"/>
  <c r="T38" i="6" s="1"/>
  <c r="U38" i="6" s="1"/>
  <c r="R53" i="6"/>
  <c r="T53" i="6" s="1"/>
  <c r="U60" i="6"/>
  <c r="T71" i="6"/>
  <c r="U71" i="6" s="1"/>
  <c r="R48" i="6"/>
  <c r="T48" i="6" s="1"/>
  <c r="X76" i="6"/>
  <c r="Y47" i="6"/>
  <c r="X47" i="6"/>
  <c r="Y72" i="6"/>
  <c r="R50" i="6"/>
  <c r="T50" i="6" s="1"/>
  <c r="U50" i="6" s="1"/>
  <c r="Y61" i="6"/>
  <c r="X61" i="6"/>
  <c r="R67" i="6"/>
  <c r="T67" i="6" s="1"/>
  <c r="U67" i="6" s="1"/>
  <c r="X30" i="6"/>
  <c r="T54" i="6"/>
  <c r="U54" i="6" s="1"/>
  <c r="R77" i="6"/>
  <c r="T77" i="6" s="1"/>
  <c r="Y49" i="6"/>
  <c r="Y39" i="6"/>
  <c r="R39" i="6"/>
  <c r="T39" i="6" s="1"/>
  <c r="U39" i="6" s="1"/>
  <c r="X20" i="6"/>
  <c r="X63" i="6"/>
  <c r="X78" i="6"/>
  <c r="U55" i="6"/>
  <c r="T70" i="6"/>
  <c r="R49" i="6"/>
  <c r="T49" i="6" s="1"/>
  <c r="U49" i="6" s="1"/>
  <c r="X28" i="6"/>
  <c r="R19" i="6"/>
  <c r="T19" i="6" s="1"/>
  <c r="R62" i="6"/>
  <c r="T62" i="6" s="1"/>
  <c r="U62" i="6" s="1"/>
  <c r="X65" i="6"/>
  <c r="Y63" i="6"/>
  <c r="X68" i="6"/>
  <c r="X45" i="6"/>
  <c r="X41" i="6"/>
  <c r="R51" i="6"/>
  <c r="T51" i="6" s="1"/>
  <c r="U51" i="6" s="1"/>
  <c r="X32" i="6"/>
  <c r="Y32" i="6"/>
  <c r="X33" i="6"/>
  <c r="X22" i="6"/>
  <c r="T44" i="6"/>
  <c r="U44" i="6" s="1"/>
  <c r="R25" i="6"/>
  <c r="T25" i="6" s="1"/>
  <c r="U25" i="6" s="1"/>
  <c r="Y25" i="6"/>
  <c r="Y33" i="6"/>
  <c r="Y77" i="6"/>
  <c r="Y65" i="6"/>
  <c r="X29" i="6"/>
  <c r="X35" i="6"/>
  <c r="E15" i="2"/>
  <c r="H7" i="2"/>
  <c r="J4" i="4"/>
  <c r="I4" i="4"/>
  <c r="H4" i="4"/>
  <c r="G4" i="4"/>
  <c r="F4" i="4"/>
  <c r="E4" i="4"/>
  <c r="D4" i="4"/>
  <c r="J5" i="4"/>
  <c r="I5" i="4"/>
  <c r="H5" i="4"/>
  <c r="G5" i="4"/>
  <c r="F5" i="4"/>
  <c r="E5" i="4"/>
  <c r="D5" i="4"/>
  <c r="J6" i="4"/>
  <c r="I6" i="4"/>
  <c r="H6" i="4"/>
  <c r="G6" i="4"/>
  <c r="F6" i="4"/>
  <c r="E6" i="4"/>
  <c r="D6" i="4"/>
  <c r="J7" i="4"/>
  <c r="I7" i="4"/>
  <c r="H7" i="4"/>
  <c r="G7" i="4"/>
  <c r="F7" i="4"/>
  <c r="E7" i="4"/>
  <c r="D7" i="4"/>
  <c r="J8" i="4"/>
  <c r="I8" i="4"/>
  <c r="H8" i="4"/>
  <c r="G8" i="4"/>
  <c r="F8" i="4"/>
  <c r="E8" i="4"/>
  <c r="D8" i="4"/>
  <c r="J9" i="4"/>
  <c r="I9" i="4"/>
  <c r="H9" i="4"/>
  <c r="G9" i="4"/>
  <c r="F9" i="4"/>
  <c r="E9" i="4"/>
  <c r="D9" i="4"/>
  <c r="J10" i="4"/>
  <c r="I10" i="4"/>
  <c r="H10" i="4"/>
  <c r="G10" i="4"/>
  <c r="F10" i="4"/>
  <c r="E10" i="4"/>
  <c r="D10" i="4"/>
  <c r="J11" i="4"/>
  <c r="I11" i="4"/>
  <c r="H11" i="4"/>
  <c r="G11" i="4"/>
  <c r="F11" i="4"/>
  <c r="E11" i="4"/>
  <c r="D11" i="4"/>
  <c r="J12" i="4"/>
  <c r="I12" i="4"/>
  <c r="H12" i="4"/>
  <c r="G12" i="4"/>
  <c r="F12" i="4"/>
  <c r="E12" i="4"/>
  <c r="D12" i="4"/>
  <c r="J13" i="4"/>
  <c r="I13" i="4"/>
  <c r="H13" i="4"/>
  <c r="G13" i="4"/>
  <c r="F13" i="4"/>
  <c r="E13" i="4"/>
  <c r="D13" i="4"/>
  <c r="J14" i="4"/>
  <c r="I14" i="4"/>
  <c r="H14" i="4"/>
  <c r="G14" i="4"/>
  <c r="F14" i="4"/>
  <c r="E14" i="4"/>
  <c r="D14" i="4"/>
  <c r="J15" i="4"/>
  <c r="I15" i="4"/>
  <c r="H15" i="4"/>
  <c r="G15" i="4"/>
  <c r="F15" i="4"/>
  <c r="E15" i="4"/>
  <c r="D15" i="4"/>
  <c r="J16" i="4"/>
  <c r="I16" i="4"/>
  <c r="H16" i="4"/>
  <c r="G16" i="4"/>
  <c r="F16" i="4"/>
  <c r="E16" i="4"/>
  <c r="D16" i="4"/>
  <c r="J17" i="4"/>
  <c r="I17" i="4"/>
  <c r="H17" i="4"/>
  <c r="G17" i="4"/>
  <c r="F17" i="4"/>
  <c r="E17" i="4"/>
  <c r="D17" i="4"/>
  <c r="J18" i="4"/>
  <c r="I18" i="4"/>
  <c r="H18" i="4"/>
  <c r="G18" i="4"/>
  <c r="F18" i="4"/>
  <c r="E18" i="4"/>
  <c r="D18" i="4"/>
  <c r="J19" i="4"/>
  <c r="I19" i="4"/>
  <c r="H19" i="4"/>
  <c r="G19" i="4"/>
  <c r="F19" i="4"/>
  <c r="E19" i="4"/>
  <c r="D19" i="4"/>
  <c r="J20" i="4"/>
  <c r="I20" i="4"/>
  <c r="H20" i="4"/>
  <c r="G20" i="4"/>
  <c r="F20" i="4"/>
  <c r="E20" i="4"/>
  <c r="D20" i="4"/>
  <c r="J21" i="4"/>
  <c r="I21" i="4"/>
  <c r="H21" i="4"/>
  <c r="G21" i="4"/>
  <c r="F21" i="4"/>
  <c r="E21" i="4"/>
  <c r="D21" i="4"/>
  <c r="J22" i="4"/>
  <c r="I22" i="4"/>
  <c r="H22" i="4"/>
  <c r="G22" i="4"/>
  <c r="F22" i="4"/>
  <c r="E22" i="4"/>
  <c r="D22" i="4"/>
  <c r="J23" i="4"/>
  <c r="I23" i="4"/>
  <c r="H23" i="4"/>
  <c r="G23" i="4"/>
  <c r="F23" i="4"/>
  <c r="E23" i="4"/>
  <c r="D23" i="4"/>
  <c r="J24" i="4"/>
  <c r="I24" i="4"/>
  <c r="H24" i="4"/>
  <c r="G24" i="4"/>
  <c r="F24" i="4"/>
  <c r="E24" i="4"/>
  <c r="D24" i="4"/>
  <c r="J25" i="4"/>
  <c r="I25" i="4"/>
  <c r="H25" i="4"/>
  <c r="G25" i="4"/>
  <c r="F25" i="4"/>
  <c r="E25" i="4"/>
  <c r="D25" i="4"/>
  <c r="J26" i="4"/>
  <c r="I26" i="4"/>
  <c r="H26" i="4"/>
  <c r="G26" i="4"/>
  <c r="F26" i="4"/>
  <c r="E26" i="4"/>
  <c r="D26" i="4"/>
  <c r="J27" i="4"/>
  <c r="I27" i="4"/>
  <c r="H27" i="4"/>
  <c r="G27" i="4"/>
  <c r="F27" i="4"/>
  <c r="E27" i="4"/>
  <c r="D27" i="4"/>
  <c r="J28" i="4"/>
  <c r="I28" i="4"/>
  <c r="H28" i="4"/>
  <c r="G28" i="4"/>
  <c r="F28" i="4"/>
  <c r="E28" i="4"/>
  <c r="D28" i="4"/>
  <c r="J29" i="4"/>
  <c r="I29" i="4"/>
  <c r="H29" i="4"/>
  <c r="G29" i="4"/>
  <c r="F29" i="4"/>
  <c r="E29" i="4"/>
  <c r="D29" i="4"/>
  <c r="J30" i="4"/>
  <c r="I30" i="4"/>
  <c r="H30" i="4"/>
  <c r="G30" i="4"/>
  <c r="F30" i="4"/>
  <c r="E30" i="4"/>
  <c r="D30" i="4"/>
  <c r="J31" i="4"/>
  <c r="I31" i="4"/>
  <c r="H31" i="4"/>
  <c r="G31" i="4"/>
  <c r="F31" i="4"/>
  <c r="E31" i="4"/>
  <c r="D31" i="4"/>
  <c r="J32" i="4"/>
  <c r="I32" i="4"/>
  <c r="H32" i="4"/>
  <c r="G32" i="4"/>
  <c r="F32" i="4"/>
  <c r="E32" i="4"/>
  <c r="D32" i="4"/>
  <c r="J33" i="4"/>
  <c r="I33" i="4"/>
  <c r="H33" i="4"/>
  <c r="G33" i="4"/>
  <c r="F33" i="4"/>
  <c r="E33" i="4"/>
  <c r="D33" i="4"/>
  <c r="J34" i="4"/>
  <c r="I34" i="4"/>
  <c r="H34" i="4"/>
  <c r="G34" i="4"/>
  <c r="F34" i="4"/>
  <c r="E34" i="4"/>
  <c r="D34" i="4"/>
  <c r="J35" i="4"/>
  <c r="I35" i="4"/>
  <c r="H35" i="4"/>
  <c r="G35" i="4"/>
  <c r="F35" i="4"/>
  <c r="E35" i="4"/>
  <c r="D35" i="4"/>
  <c r="J36" i="4"/>
  <c r="I36" i="4"/>
  <c r="H36" i="4"/>
  <c r="G36" i="4"/>
  <c r="F36" i="4"/>
  <c r="E36" i="4"/>
  <c r="D36" i="4"/>
  <c r="J37" i="4"/>
  <c r="I37" i="4"/>
  <c r="H37" i="4"/>
  <c r="G37" i="4"/>
  <c r="F37" i="4"/>
  <c r="E37" i="4"/>
  <c r="D37" i="4"/>
  <c r="J38" i="4"/>
  <c r="I38" i="4"/>
  <c r="H38" i="4"/>
  <c r="G38" i="4"/>
  <c r="F38" i="4"/>
  <c r="E38" i="4"/>
  <c r="D38" i="4"/>
  <c r="J39" i="4"/>
  <c r="I39" i="4"/>
  <c r="H39" i="4"/>
  <c r="G39" i="4"/>
  <c r="F39" i="4"/>
  <c r="E39" i="4"/>
  <c r="D39" i="4"/>
  <c r="J40" i="4"/>
  <c r="I40" i="4"/>
  <c r="H40" i="4"/>
  <c r="G40" i="4"/>
  <c r="F40" i="4"/>
  <c r="E40" i="4"/>
  <c r="D40" i="4"/>
  <c r="J41" i="4"/>
  <c r="I41" i="4"/>
  <c r="H41" i="4"/>
  <c r="G41" i="4"/>
  <c r="F41" i="4"/>
  <c r="E41" i="4"/>
  <c r="D41" i="4"/>
  <c r="J42" i="4"/>
  <c r="I42" i="4"/>
  <c r="H42" i="4"/>
  <c r="G42" i="4"/>
  <c r="F42" i="4"/>
  <c r="E42" i="4"/>
  <c r="D42" i="4"/>
  <c r="J43" i="4"/>
  <c r="I43" i="4"/>
  <c r="H43" i="4"/>
  <c r="G43" i="4"/>
  <c r="F43" i="4"/>
  <c r="E43" i="4"/>
  <c r="D43" i="4"/>
  <c r="J44" i="4"/>
  <c r="I44" i="4"/>
  <c r="H44" i="4"/>
  <c r="G44" i="4"/>
  <c r="F44" i="4"/>
  <c r="E44" i="4"/>
  <c r="D44" i="4"/>
  <c r="J45" i="4"/>
  <c r="I45" i="4"/>
  <c r="H45" i="4"/>
  <c r="G45" i="4"/>
  <c r="F45" i="4"/>
  <c r="E45" i="4"/>
  <c r="D45" i="4"/>
  <c r="J46" i="4"/>
  <c r="I46" i="4"/>
  <c r="H46" i="4"/>
  <c r="G46" i="4"/>
  <c r="F46" i="4"/>
  <c r="E46" i="4"/>
  <c r="D46" i="4"/>
  <c r="J47" i="4"/>
  <c r="I47" i="4"/>
  <c r="H47" i="4"/>
  <c r="G47" i="4"/>
  <c r="F47" i="4"/>
  <c r="E47" i="4"/>
  <c r="D47" i="4"/>
  <c r="J48" i="4"/>
  <c r="I48" i="4"/>
  <c r="H48" i="4"/>
  <c r="G48" i="4"/>
  <c r="F48" i="4"/>
  <c r="E48" i="4"/>
  <c r="D48" i="4"/>
  <c r="J49" i="4"/>
  <c r="I49" i="4"/>
  <c r="H49" i="4"/>
  <c r="G49" i="4"/>
  <c r="F49" i="4"/>
  <c r="E49" i="4"/>
  <c r="D49" i="4"/>
  <c r="J50" i="4"/>
  <c r="I50" i="4"/>
  <c r="H50" i="4"/>
  <c r="G50" i="4"/>
  <c r="F50" i="4"/>
  <c r="E50" i="4"/>
  <c r="D50" i="4"/>
  <c r="J51" i="4"/>
  <c r="I51" i="4"/>
  <c r="H51" i="4"/>
  <c r="G51" i="4"/>
  <c r="F51" i="4"/>
  <c r="E51" i="4"/>
  <c r="D51" i="4"/>
  <c r="J52" i="4"/>
  <c r="I52" i="4"/>
  <c r="H52" i="4"/>
  <c r="G52" i="4"/>
  <c r="F52" i="4"/>
  <c r="E52" i="4"/>
  <c r="D52" i="4"/>
  <c r="J53" i="4"/>
  <c r="I53" i="4"/>
  <c r="H53" i="4"/>
  <c r="G53" i="4"/>
  <c r="F53" i="4"/>
  <c r="E53" i="4"/>
  <c r="D53" i="4"/>
  <c r="J54" i="4"/>
  <c r="I54" i="4"/>
  <c r="H54" i="4"/>
  <c r="G54" i="4"/>
  <c r="F54" i="4"/>
  <c r="E54" i="4"/>
  <c r="D54" i="4"/>
  <c r="J55" i="4"/>
  <c r="I55" i="4"/>
  <c r="H55" i="4"/>
  <c r="G55" i="4"/>
  <c r="F55" i="4"/>
  <c r="E55" i="4"/>
  <c r="D55" i="4"/>
  <c r="J56" i="4"/>
  <c r="I56" i="4"/>
  <c r="H56" i="4"/>
  <c r="G56" i="4"/>
  <c r="F56" i="4"/>
  <c r="E56" i="4"/>
  <c r="D56" i="4"/>
  <c r="J57" i="4"/>
  <c r="I57" i="4"/>
  <c r="H57" i="4"/>
  <c r="G57" i="4"/>
  <c r="F57" i="4"/>
  <c r="E57" i="4"/>
  <c r="D57" i="4"/>
  <c r="J58" i="4"/>
  <c r="I58" i="4"/>
  <c r="H58" i="4"/>
  <c r="G58" i="4"/>
  <c r="F58" i="4"/>
  <c r="E58" i="4"/>
  <c r="D58" i="4"/>
  <c r="J59" i="4"/>
  <c r="I59" i="4"/>
  <c r="H59" i="4"/>
  <c r="G59" i="4"/>
  <c r="F59" i="4"/>
  <c r="E59" i="4"/>
  <c r="D59" i="4"/>
  <c r="J60" i="4"/>
  <c r="I60" i="4"/>
  <c r="H60" i="4"/>
  <c r="G60" i="4"/>
  <c r="F60" i="4"/>
  <c r="E60" i="4"/>
  <c r="D60" i="4"/>
  <c r="D61" i="4"/>
  <c r="G61" i="4"/>
  <c r="F61" i="4"/>
  <c r="J62" i="4"/>
  <c r="I62" i="4"/>
  <c r="H62" i="4"/>
  <c r="G62" i="4"/>
  <c r="F62" i="4"/>
  <c r="E62" i="4"/>
  <c r="D62" i="4"/>
  <c r="J63" i="4"/>
  <c r="I63" i="4"/>
  <c r="H63" i="4"/>
  <c r="G63" i="4"/>
  <c r="F63" i="4"/>
  <c r="E63" i="4"/>
  <c r="D63" i="4"/>
  <c r="J64" i="4"/>
  <c r="I64" i="4"/>
  <c r="H64" i="4"/>
  <c r="G64" i="4"/>
  <c r="F64" i="4"/>
  <c r="E64" i="4"/>
  <c r="D64" i="4"/>
  <c r="J65" i="4"/>
  <c r="I65" i="4"/>
  <c r="H65" i="4"/>
  <c r="G65" i="4"/>
  <c r="F65" i="4"/>
  <c r="E65" i="4"/>
  <c r="D65" i="4"/>
  <c r="J66" i="4"/>
  <c r="I66" i="4"/>
  <c r="H66" i="4"/>
  <c r="G66" i="4"/>
  <c r="F66" i="4"/>
  <c r="E66" i="4"/>
  <c r="D66" i="4"/>
  <c r="J67" i="4"/>
  <c r="I67" i="4"/>
  <c r="H67" i="4"/>
  <c r="G67" i="4"/>
  <c r="F67" i="4"/>
  <c r="E67" i="4"/>
  <c r="D67" i="4"/>
  <c r="J68" i="4"/>
  <c r="I68" i="4"/>
  <c r="H68" i="4"/>
  <c r="G68" i="4"/>
  <c r="F68" i="4"/>
  <c r="E68" i="4"/>
  <c r="D68" i="4"/>
  <c r="J69" i="4"/>
  <c r="I69" i="4"/>
  <c r="H69" i="4"/>
  <c r="G69" i="4"/>
  <c r="F69" i="4"/>
  <c r="E69" i="4"/>
  <c r="D69" i="4"/>
  <c r="J70" i="4"/>
  <c r="I70" i="4"/>
  <c r="H70" i="4"/>
  <c r="G70" i="4"/>
  <c r="F70" i="4"/>
  <c r="E70" i="4"/>
  <c r="D70" i="4"/>
  <c r="J71" i="4"/>
  <c r="I71" i="4"/>
  <c r="H71" i="4"/>
  <c r="G71" i="4"/>
  <c r="F71" i="4"/>
  <c r="E71" i="4"/>
  <c r="D71" i="4"/>
  <c r="J72" i="4"/>
  <c r="I72" i="4"/>
  <c r="H72" i="4"/>
  <c r="G72" i="4"/>
  <c r="F72" i="4"/>
  <c r="E72" i="4"/>
  <c r="D72" i="4"/>
  <c r="J73" i="4"/>
  <c r="I73" i="4"/>
  <c r="H73" i="4"/>
  <c r="G73" i="4"/>
  <c r="F73" i="4"/>
  <c r="E73" i="4"/>
  <c r="D73" i="4"/>
  <c r="J74" i="4"/>
  <c r="I74" i="4"/>
  <c r="H74" i="4"/>
  <c r="G74" i="4"/>
  <c r="F74" i="4"/>
  <c r="E74" i="4"/>
  <c r="D74" i="4"/>
  <c r="J75" i="4"/>
  <c r="I75" i="4"/>
  <c r="H75" i="4"/>
  <c r="G75" i="4"/>
  <c r="F75" i="4"/>
  <c r="E75" i="4"/>
  <c r="D75" i="4"/>
  <c r="J76" i="4"/>
  <c r="I76" i="4"/>
  <c r="H76" i="4"/>
  <c r="G76" i="4"/>
  <c r="F76" i="4"/>
  <c r="E76" i="4"/>
  <c r="D76" i="4"/>
  <c r="J77" i="4"/>
  <c r="I77" i="4"/>
  <c r="H77" i="4"/>
  <c r="G77" i="4"/>
  <c r="F77" i="4"/>
  <c r="E77" i="4"/>
  <c r="D77" i="4"/>
  <c r="J78" i="4"/>
  <c r="I78" i="4"/>
  <c r="H78" i="4"/>
  <c r="G78" i="4"/>
  <c r="F78" i="4"/>
  <c r="E78" i="4"/>
  <c r="D78" i="4"/>
  <c r="J79" i="4"/>
  <c r="I79" i="4"/>
  <c r="H79" i="4"/>
  <c r="G79" i="4"/>
  <c r="F79" i="4"/>
  <c r="E79" i="4"/>
  <c r="D79" i="4"/>
  <c r="J80" i="4"/>
  <c r="I80" i="4"/>
  <c r="H80" i="4"/>
  <c r="G80" i="4"/>
  <c r="F80" i="4"/>
  <c r="E80" i="4"/>
  <c r="D80" i="4"/>
  <c r="E61" i="4"/>
  <c r="J61" i="4"/>
  <c r="I61" i="4"/>
  <c r="H61" i="4"/>
  <c r="U70" i="6" l="1"/>
  <c r="X70" i="6"/>
  <c r="U24" i="6"/>
  <c r="X24" i="6"/>
  <c r="U40" i="6"/>
  <c r="X40" i="6"/>
  <c r="U26" i="6"/>
  <c r="X26" i="6"/>
  <c r="U80" i="6"/>
  <c r="X80" i="6"/>
  <c r="U72" i="6"/>
  <c r="X72" i="6"/>
  <c r="U81" i="6"/>
  <c r="X81" i="6"/>
  <c r="U79" i="6"/>
  <c r="X79" i="6"/>
  <c r="U77" i="6"/>
  <c r="X77" i="6"/>
  <c r="U19" i="6"/>
  <c r="F3" i="6"/>
  <c r="X19" i="6"/>
  <c r="H3" i="6"/>
  <c r="U58" i="6"/>
  <c r="X58" i="6"/>
  <c r="U48" i="6"/>
  <c r="X48" i="6"/>
  <c r="U53" i="6"/>
  <c r="X53" i="6"/>
  <c r="X39" i="6"/>
  <c r="X62" i="6"/>
  <c r="X49" i="6"/>
  <c r="W52" i="6"/>
  <c r="W70" i="6"/>
  <c r="W54" i="6"/>
  <c r="W67" i="6"/>
  <c r="X44" i="6"/>
  <c r="X71" i="6"/>
  <c r="X51" i="6"/>
  <c r="X54" i="6"/>
  <c r="X25" i="6"/>
  <c r="X31" i="6"/>
  <c r="X64" i="6"/>
  <c r="W25" i="6"/>
  <c r="W38" i="6"/>
  <c r="W64" i="6"/>
  <c r="W36" i="6"/>
  <c r="W44" i="6"/>
  <c r="X56" i="6"/>
  <c r="X34" i="6"/>
  <c r="X38" i="6"/>
  <c r="X67" i="6"/>
  <c r="X50" i="6"/>
  <c r="W53" i="6" l="1"/>
  <c r="W32" i="6"/>
  <c r="W48" i="6"/>
  <c r="W71" i="6"/>
  <c r="W47" i="6"/>
  <c r="W46" i="6"/>
  <c r="W49" i="6"/>
  <c r="W72" i="6"/>
  <c r="W24" i="6"/>
  <c r="W74" i="6"/>
  <c r="W33" i="6"/>
  <c r="W43" i="6"/>
  <c r="W60" i="6"/>
  <c r="W31" i="6"/>
  <c r="W58" i="6"/>
  <c r="W50" i="6"/>
  <c r="W28" i="6"/>
  <c r="W56" i="6"/>
  <c r="W55" i="6"/>
  <c r="W19" i="6"/>
  <c r="W11" i="6"/>
  <c r="W37" i="6"/>
  <c r="W20" i="6"/>
  <c r="W59" i="6"/>
  <c r="W16" i="6"/>
  <c r="W68" i="6"/>
  <c r="W83" i="6"/>
  <c r="W66" i="6"/>
  <c r="W30" i="6"/>
  <c r="W15" i="6"/>
  <c r="W8" i="6"/>
  <c r="W79" i="6"/>
  <c r="W82" i="6"/>
  <c r="W75" i="6"/>
  <c r="W42" i="6"/>
  <c r="W23" i="6"/>
  <c r="W17" i="6"/>
  <c r="W61" i="6"/>
  <c r="W27" i="6"/>
  <c r="W26" i="6"/>
  <c r="W81" i="6"/>
  <c r="W73" i="6"/>
  <c r="W22" i="6"/>
  <c r="W80" i="6"/>
  <c r="W14" i="6"/>
  <c r="W12" i="6"/>
  <c r="W18" i="6"/>
  <c r="W69" i="6"/>
  <c r="W10" i="6"/>
  <c r="W57" i="6"/>
  <c r="W9" i="6"/>
  <c r="W29" i="6"/>
  <c r="W78" i="6"/>
  <c r="W35" i="6"/>
  <c r="W45" i="6"/>
  <c r="W41" i="6"/>
  <c r="W21" i="6"/>
  <c r="W13" i="6"/>
  <c r="W76" i="6"/>
  <c r="W63" i="6"/>
  <c r="W51" i="6"/>
  <c r="W62" i="6"/>
  <c r="W65" i="6"/>
  <c r="W34" i="6"/>
  <c r="W39" i="6"/>
  <c r="W40" i="6"/>
  <c r="W77" i="6"/>
  <c r="A74" i="6" l="1"/>
  <c r="B74" i="6"/>
  <c r="C74" i="6"/>
  <c r="D74" i="6"/>
  <c r="E74" i="6"/>
  <c r="F74" i="6"/>
  <c r="G74" i="6"/>
  <c r="H74" i="6"/>
  <c r="A75" i="6"/>
  <c r="B75" i="6"/>
  <c r="C75" i="6"/>
  <c r="D75" i="6"/>
  <c r="E75" i="6"/>
  <c r="F75" i="6"/>
  <c r="G75" i="6"/>
  <c r="H75" i="6"/>
  <c r="A76" i="6"/>
  <c r="B76" i="6"/>
  <c r="C76" i="6"/>
  <c r="D76" i="6"/>
  <c r="E76" i="6"/>
  <c r="F76" i="6"/>
  <c r="G76" i="6"/>
  <c r="H76" i="6"/>
  <c r="A77" i="6"/>
  <c r="B77" i="6"/>
  <c r="C77" i="6"/>
  <c r="D77" i="6"/>
  <c r="E77" i="6"/>
  <c r="F77" i="6"/>
  <c r="G77" i="6"/>
  <c r="H77" i="6"/>
  <c r="A78" i="6"/>
  <c r="B78" i="6"/>
  <c r="C78" i="6"/>
  <c r="D78" i="6"/>
  <c r="E78" i="6"/>
  <c r="F78" i="6"/>
  <c r="G78" i="6"/>
  <c r="H78" i="6"/>
  <c r="A79" i="6"/>
  <c r="B79" i="6"/>
  <c r="C79" i="6"/>
  <c r="D79" i="6"/>
  <c r="E79" i="6"/>
  <c r="F79" i="6"/>
  <c r="G79" i="6"/>
  <c r="H79" i="6"/>
  <c r="A80" i="6"/>
  <c r="B80" i="6"/>
  <c r="C80" i="6"/>
  <c r="D80" i="6"/>
  <c r="E80" i="6"/>
  <c r="F80" i="6"/>
  <c r="G80" i="6"/>
  <c r="H80" i="6"/>
  <c r="A81" i="6"/>
  <c r="B81" i="6"/>
  <c r="C81" i="6"/>
  <c r="D81" i="6"/>
  <c r="E81" i="6"/>
  <c r="F81" i="6"/>
  <c r="G81" i="6"/>
  <c r="H81" i="6"/>
  <c r="A82" i="6"/>
  <c r="B82" i="6"/>
  <c r="C82" i="6"/>
  <c r="D82" i="6"/>
  <c r="E82" i="6"/>
  <c r="F82" i="6"/>
  <c r="G82" i="6"/>
  <c r="H82" i="6"/>
  <c r="A83" i="6"/>
  <c r="B83" i="6"/>
  <c r="C83" i="6"/>
  <c r="D83" i="6"/>
  <c r="E83" i="6"/>
  <c r="F83" i="6"/>
  <c r="G83" i="6"/>
  <c r="H83" i="6"/>
  <c r="A57" i="6"/>
  <c r="B57" i="6"/>
  <c r="C57" i="6"/>
  <c r="D57" i="6"/>
  <c r="E57" i="6"/>
  <c r="F57" i="6"/>
  <c r="G57" i="6"/>
  <c r="H57" i="6"/>
  <c r="A58" i="6"/>
  <c r="B58" i="6"/>
  <c r="C58" i="6"/>
  <c r="D58" i="6"/>
  <c r="E58" i="6"/>
  <c r="F58" i="6"/>
  <c r="G58" i="6"/>
  <c r="H58" i="6"/>
  <c r="A59" i="6"/>
  <c r="B59" i="6"/>
  <c r="C59" i="6"/>
  <c r="D59" i="6"/>
  <c r="E59" i="6"/>
  <c r="F59" i="6"/>
  <c r="G59" i="6"/>
  <c r="H59" i="6"/>
  <c r="A60" i="6"/>
  <c r="B60" i="6"/>
  <c r="C60" i="6"/>
  <c r="D60" i="6"/>
  <c r="E60" i="6"/>
  <c r="F60" i="6"/>
  <c r="G60" i="6"/>
  <c r="H60" i="6"/>
  <c r="A61" i="6"/>
  <c r="B61" i="6"/>
  <c r="C61" i="6"/>
  <c r="D61" i="6"/>
  <c r="E61" i="6"/>
  <c r="F61" i="6"/>
  <c r="G61" i="6"/>
  <c r="H61" i="6"/>
  <c r="A62" i="6"/>
  <c r="B62" i="6"/>
  <c r="C62" i="6"/>
  <c r="D62" i="6"/>
  <c r="E62" i="6"/>
  <c r="F62" i="6"/>
  <c r="G62" i="6"/>
  <c r="H62" i="6"/>
  <c r="A63" i="6"/>
  <c r="B63" i="6"/>
  <c r="C63" i="6"/>
  <c r="D63" i="6"/>
  <c r="E63" i="6"/>
  <c r="F63" i="6"/>
  <c r="G63" i="6"/>
  <c r="H63" i="6"/>
  <c r="A64" i="6"/>
  <c r="B64" i="6"/>
  <c r="C64" i="6"/>
  <c r="D64" i="6"/>
  <c r="E64" i="6"/>
  <c r="F64" i="6"/>
  <c r="G64" i="6"/>
  <c r="H64" i="6"/>
  <c r="A65" i="6"/>
  <c r="B65" i="6"/>
  <c r="C65" i="6"/>
  <c r="D65" i="6"/>
  <c r="E65" i="6"/>
  <c r="F65" i="6"/>
  <c r="G65" i="6"/>
  <c r="H65" i="6"/>
  <c r="A66" i="6"/>
  <c r="B66" i="6"/>
  <c r="C66" i="6"/>
  <c r="D66" i="6"/>
  <c r="E66" i="6"/>
  <c r="F66" i="6"/>
  <c r="G66" i="6"/>
  <c r="H66" i="6"/>
  <c r="A67" i="6"/>
  <c r="B67" i="6"/>
  <c r="C67" i="6"/>
  <c r="D67" i="6"/>
  <c r="E67" i="6"/>
  <c r="F67" i="6"/>
  <c r="G67" i="6"/>
  <c r="H67" i="6"/>
  <c r="A68" i="6"/>
  <c r="B68" i="6"/>
  <c r="C68" i="6"/>
  <c r="D68" i="6"/>
  <c r="E68" i="6"/>
  <c r="F68" i="6"/>
  <c r="G68" i="6"/>
  <c r="H68" i="6"/>
  <c r="A69" i="6"/>
  <c r="B69" i="6"/>
  <c r="C69" i="6"/>
  <c r="D69" i="6"/>
  <c r="E69" i="6"/>
  <c r="F69" i="6"/>
  <c r="G69" i="6"/>
  <c r="H69" i="6"/>
  <c r="A70" i="6"/>
  <c r="B70" i="6"/>
  <c r="C70" i="6"/>
  <c r="D70" i="6"/>
  <c r="E70" i="6"/>
  <c r="F70" i="6"/>
  <c r="G70" i="6"/>
  <c r="H70" i="6"/>
  <c r="A71" i="6"/>
  <c r="B71" i="6"/>
  <c r="C71" i="6"/>
  <c r="D71" i="6"/>
  <c r="E71" i="6"/>
  <c r="F71" i="6"/>
  <c r="G71" i="6"/>
  <c r="H71" i="6"/>
  <c r="A72" i="6"/>
  <c r="B72" i="6"/>
  <c r="C72" i="6"/>
  <c r="D72" i="6"/>
  <c r="E72" i="6"/>
  <c r="F72" i="6"/>
  <c r="G72" i="6"/>
  <c r="H72" i="6"/>
  <c r="A73" i="6"/>
  <c r="B73" i="6"/>
  <c r="C73" i="6"/>
  <c r="D73" i="6"/>
  <c r="E73" i="6"/>
  <c r="F73" i="6"/>
  <c r="G73" i="6"/>
  <c r="H73" i="6"/>
  <c r="A42" i="6"/>
  <c r="B42" i="6"/>
  <c r="C42" i="6"/>
  <c r="D42" i="6"/>
  <c r="E42" i="6"/>
  <c r="F42" i="6"/>
  <c r="G42" i="6"/>
  <c r="H42" i="6"/>
  <c r="A43" i="6"/>
  <c r="B43" i="6"/>
  <c r="C43" i="6"/>
  <c r="D43" i="6"/>
  <c r="E43" i="6"/>
  <c r="F43" i="6"/>
  <c r="G43" i="6"/>
  <c r="H43" i="6"/>
  <c r="A44" i="6"/>
  <c r="B44" i="6"/>
  <c r="C44" i="6"/>
  <c r="D44" i="6"/>
  <c r="E44" i="6"/>
  <c r="F44" i="6"/>
  <c r="G44" i="6"/>
  <c r="H44" i="6"/>
  <c r="A45" i="6"/>
  <c r="B45" i="6"/>
  <c r="C45" i="6"/>
  <c r="D45" i="6"/>
  <c r="E45" i="6"/>
  <c r="F45" i="6"/>
  <c r="G45" i="6"/>
  <c r="H45" i="6"/>
  <c r="A46" i="6"/>
  <c r="B46" i="6"/>
  <c r="C46" i="6"/>
  <c r="D46" i="6"/>
  <c r="E46" i="6"/>
  <c r="F46" i="6"/>
  <c r="G46" i="6"/>
  <c r="H46" i="6"/>
  <c r="A47" i="6"/>
  <c r="B47" i="6"/>
  <c r="C47" i="6"/>
  <c r="D47" i="6"/>
  <c r="E47" i="6"/>
  <c r="F47" i="6"/>
  <c r="G47" i="6"/>
  <c r="H47" i="6"/>
  <c r="A48" i="6"/>
  <c r="B48" i="6"/>
  <c r="C48" i="6"/>
  <c r="D48" i="6"/>
  <c r="E48" i="6"/>
  <c r="F48" i="6"/>
  <c r="G48" i="6"/>
  <c r="H48" i="6"/>
  <c r="A49" i="6"/>
  <c r="B49" i="6"/>
  <c r="C49" i="6"/>
  <c r="D49" i="6"/>
  <c r="E49" i="6"/>
  <c r="F49" i="6"/>
  <c r="G49" i="6"/>
  <c r="H49" i="6"/>
  <c r="A50" i="6"/>
  <c r="B50" i="6"/>
  <c r="C50" i="6"/>
  <c r="D50" i="6"/>
  <c r="E50" i="6"/>
  <c r="F50" i="6"/>
  <c r="G50" i="6"/>
  <c r="H50" i="6"/>
  <c r="A51" i="6"/>
  <c r="B51" i="6"/>
  <c r="C51" i="6"/>
  <c r="D51" i="6"/>
  <c r="E51" i="6"/>
  <c r="F51" i="6"/>
  <c r="G51" i="6"/>
  <c r="H51" i="6"/>
  <c r="A52" i="6"/>
  <c r="B52" i="6"/>
  <c r="C52" i="6"/>
  <c r="D52" i="6"/>
  <c r="E52" i="6"/>
  <c r="F52" i="6"/>
  <c r="G52" i="6"/>
  <c r="H52" i="6"/>
  <c r="A53" i="6"/>
  <c r="B53" i="6"/>
  <c r="C53" i="6"/>
  <c r="D53" i="6"/>
  <c r="E53" i="6"/>
  <c r="F53" i="6"/>
  <c r="G53" i="6"/>
  <c r="H53" i="6"/>
  <c r="A54" i="6"/>
  <c r="B54" i="6"/>
  <c r="C54" i="6"/>
  <c r="D54" i="6"/>
  <c r="E54" i="6"/>
  <c r="F54" i="6"/>
  <c r="G54" i="6"/>
  <c r="H54" i="6"/>
  <c r="A55" i="6"/>
  <c r="B55" i="6"/>
  <c r="C55" i="6"/>
  <c r="D55" i="6"/>
  <c r="E55" i="6"/>
  <c r="F55" i="6"/>
  <c r="G55" i="6"/>
  <c r="H55" i="6"/>
  <c r="A56" i="6"/>
  <c r="B56" i="6"/>
  <c r="C56" i="6"/>
  <c r="D56" i="6"/>
  <c r="E56" i="6"/>
  <c r="F56" i="6"/>
  <c r="G56" i="6"/>
  <c r="H56" i="6"/>
  <c r="A30" i="6"/>
  <c r="B30" i="6"/>
  <c r="C30" i="6"/>
  <c r="D30" i="6"/>
  <c r="E30" i="6"/>
  <c r="F30" i="6"/>
  <c r="G30" i="6"/>
  <c r="H30" i="6"/>
  <c r="A31" i="6"/>
  <c r="B31" i="6"/>
  <c r="C31" i="6"/>
  <c r="D31" i="6"/>
  <c r="E31" i="6"/>
  <c r="F31" i="6"/>
  <c r="G31" i="6"/>
  <c r="H31" i="6"/>
  <c r="A32" i="6"/>
  <c r="B32" i="6"/>
  <c r="C32" i="6"/>
  <c r="D32" i="6"/>
  <c r="E32" i="6"/>
  <c r="F32" i="6"/>
  <c r="G32" i="6"/>
  <c r="H32" i="6"/>
  <c r="A33" i="6"/>
  <c r="B33" i="6"/>
  <c r="C33" i="6"/>
  <c r="D33" i="6"/>
  <c r="E33" i="6"/>
  <c r="F33" i="6"/>
  <c r="G33" i="6"/>
  <c r="H33" i="6"/>
  <c r="A34" i="6"/>
  <c r="B34" i="6"/>
  <c r="C34" i="6"/>
  <c r="D34" i="6"/>
  <c r="E34" i="6"/>
  <c r="F34" i="6"/>
  <c r="G34" i="6"/>
  <c r="H34" i="6"/>
  <c r="A35" i="6"/>
  <c r="B35" i="6"/>
  <c r="C35" i="6"/>
  <c r="D35" i="6"/>
  <c r="E35" i="6"/>
  <c r="F35" i="6"/>
  <c r="G35" i="6"/>
  <c r="H35" i="6"/>
  <c r="A36" i="6"/>
  <c r="B36" i="6"/>
  <c r="C36" i="6"/>
  <c r="D36" i="6"/>
  <c r="E36" i="6"/>
  <c r="F36" i="6"/>
  <c r="G36" i="6"/>
  <c r="H36" i="6"/>
  <c r="A37" i="6"/>
  <c r="B37" i="6"/>
  <c r="C37" i="6"/>
  <c r="D37" i="6"/>
  <c r="E37" i="6"/>
  <c r="F37" i="6"/>
  <c r="G37" i="6"/>
  <c r="H37" i="6"/>
  <c r="A38" i="6"/>
  <c r="B38" i="6"/>
  <c r="C38" i="6"/>
  <c r="D38" i="6"/>
  <c r="E38" i="6"/>
  <c r="F38" i="6"/>
  <c r="G38" i="6"/>
  <c r="H38" i="6"/>
  <c r="A39" i="6"/>
  <c r="B39" i="6"/>
  <c r="C39" i="6"/>
  <c r="D39" i="6"/>
  <c r="E39" i="6"/>
  <c r="F39" i="6"/>
  <c r="G39" i="6"/>
  <c r="H39" i="6"/>
  <c r="A40" i="6"/>
  <c r="B40" i="6"/>
  <c r="C40" i="6"/>
  <c r="D40" i="6"/>
  <c r="E40" i="6"/>
  <c r="F40" i="6"/>
  <c r="G40" i="6"/>
  <c r="H40" i="6"/>
  <c r="A41" i="6"/>
  <c r="B41" i="6"/>
  <c r="C41" i="6"/>
  <c r="D41" i="6"/>
  <c r="E41" i="6"/>
  <c r="F41" i="6"/>
  <c r="G41" i="6"/>
  <c r="H41" i="6"/>
  <c r="A9" i="6"/>
  <c r="B9" i="6"/>
  <c r="C9" i="6"/>
  <c r="D9" i="6"/>
  <c r="E9" i="6"/>
  <c r="F9" i="6"/>
  <c r="G9" i="6"/>
  <c r="H9" i="6"/>
  <c r="A10" i="6"/>
  <c r="B10" i="6"/>
  <c r="C10" i="6"/>
  <c r="D10" i="6"/>
  <c r="E10" i="6"/>
  <c r="F10" i="6"/>
  <c r="G10" i="6"/>
  <c r="H10" i="6"/>
  <c r="A11" i="6"/>
  <c r="B11" i="6"/>
  <c r="C11" i="6"/>
  <c r="D11" i="6"/>
  <c r="E11" i="6"/>
  <c r="F11" i="6"/>
  <c r="G11" i="6"/>
  <c r="H11" i="6"/>
  <c r="A12" i="6"/>
  <c r="B12" i="6"/>
  <c r="C12" i="6"/>
  <c r="D12" i="6"/>
  <c r="E12" i="6"/>
  <c r="F12" i="6"/>
  <c r="G12" i="6"/>
  <c r="H12" i="6"/>
  <c r="A13" i="6"/>
  <c r="B13" i="6"/>
  <c r="C13" i="6"/>
  <c r="D13" i="6"/>
  <c r="E13" i="6"/>
  <c r="F13" i="6"/>
  <c r="G13" i="6"/>
  <c r="H13" i="6"/>
  <c r="A14" i="6"/>
  <c r="B14" i="6"/>
  <c r="C14" i="6"/>
  <c r="D14" i="6"/>
  <c r="E14" i="6"/>
  <c r="F14" i="6"/>
  <c r="G14" i="6"/>
  <c r="H14" i="6"/>
  <c r="A15" i="6"/>
  <c r="B15" i="6"/>
  <c r="C15" i="6"/>
  <c r="D15" i="6"/>
  <c r="E15" i="6"/>
  <c r="F15" i="6"/>
  <c r="G15" i="6"/>
  <c r="H15" i="6"/>
  <c r="A16" i="6"/>
  <c r="B16" i="6"/>
  <c r="C16" i="6"/>
  <c r="D16" i="6"/>
  <c r="E16" i="6"/>
  <c r="F16" i="6"/>
  <c r="G16" i="6"/>
  <c r="H16" i="6"/>
  <c r="A17" i="6"/>
  <c r="B17" i="6"/>
  <c r="C17" i="6"/>
  <c r="D17" i="6"/>
  <c r="E17" i="6"/>
  <c r="F17" i="6"/>
  <c r="G17" i="6"/>
  <c r="H17" i="6"/>
  <c r="A18" i="6"/>
  <c r="B18" i="6"/>
  <c r="C18" i="6"/>
  <c r="D18" i="6"/>
  <c r="E18" i="6"/>
  <c r="F18" i="6"/>
  <c r="G18" i="6"/>
  <c r="H18" i="6"/>
  <c r="A19" i="6"/>
  <c r="B19" i="6"/>
  <c r="C19" i="6"/>
  <c r="D19" i="6"/>
  <c r="E19" i="6"/>
  <c r="F19" i="6"/>
  <c r="G19" i="6"/>
  <c r="H19" i="6"/>
  <c r="A20" i="6"/>
  <c r="B20" i="6"/>
  <c r="C20" i="6"/>
  <c r="D20" i="6"/>
  <c r="E20" i="6"/>
  <c r="F20" i="6"/>
  <c r="G20" i="6"/>
  <c r="H20" i="6"/>
  <c r="A21" i="6"/>
  <c r="B21" i="6"/>
  <c r="C21" i="6"/>
  <c r="D21" i="6"/>
  <c r="E21" i="6"/>
  <c r="F21" i="6"/>
  <c r="G21" i="6"/>
  <c r="H21" i="6"/>
  <c r="A22" i="6"/>
  <c r="B22" i="6"/>
  <c r="C22" i="6"/>
  <c r="D22" i="6"/>
  <c r="E22" i="6"/>
  <c r="F22" i="6"/>
  <c r="G22" i="6"/>
  <c r="H22" i="6"/>
  <c r="A23" i="6"/>
  <c r="B23" i="6"/>
  <c r="C23" i="6"/>
  <c r="D23" i="6"/>
  <c r="E23" i="6"/>
  <c r="F23" i="6"/>
  <c r="G23" i="6"/>
  <c r="H23" i="6"/>
  <c r="A24" i="6"/>
  <c r="B24" i="6"/>
  <c r="C24" i="6"/>
  <c r="D24" i="6"/>
  <c r="E24" i="6"/>
  <c r="F24" i="6"/>
  <c r="G24" i="6"/>
  <c r="H24" i="6"/>
  <c r="A25" i="6"/>
  <c r="B25" i="6"/>
  <c r="C25" i="6"/>
  <c r="D25" i="6"/>
  <c r="E25" i="6"/>
  <c r="F25" i="6"/>
  <c r="G25" i="6"/>
  <c r="H25" i="6"/>
  <c r="A26" i="6"/>
  <c r="B26" i="6"/>
  <c r="C26" i="6"/>
  <c r="D26" i="6"/>
  <c r="E26" i="6"/>
  <c r="F26" i="6"/>
  <c r="G26" i="6"/>
  <c r="H26" i="6"/>
  <c r="A27" i="6"/>
  <c r="B27" i="6"/>
  <c r="C27" i="6"/>
  <c r="D27" i="6"/>
  <c r="E27" i="6"/>
  <c r="F27" i="6"/>
  <c r="G27" i="6"/>
  <c r="H27" i="6"/>
  <c r="A28" i="6"/>
  <c r="B28" i="6"/>
  <c r="C28" i="6"/>
  <c r="D28" i="6"/>
  <c r="E28" i="6"/>
  <c r="F28" i="6"/>
  <c r="G28" i="6"/>
  <c r="H28" i="6"/>
  <c r="A29" i="6"/>
  <c r="B29" i="6"/>
  <c r="C29" i="6"/>
  <c r="D29" i="6"/>
  <c r="E29" i="6"/>
  <c r="F29" i="6"/>
  <c r="G29" i="6"/>
  <c r="H29" i="6"/>
  <c r="H8" i="6"/>
  <c r="G8" i="6"/>
  <c r="F8" i="6"/>
  <c r="E8" i="6"/>
  <c r="D8" i="6"/>
  <c r="C8" i="6"/>
  <c r="A8" i="6"/>
  <c r="B8" i="6"/>
</calcChain>
</file>

<file path=xl/sharedStrings.xml><?xml version="1.0" encoding="utf-8"?>
<sst xmlns="http://schemas.openxmlformats.org/spreadsheetml/2006/main" count="44226" uniqueCount="544">
  <si>
    <t>GRUPO DE INTERVENÇÃO DE ORDEM PÚBLICA — EFETIVO DA CAPACIDADE UAS / C-UAS</t>
  </si>
  <si>
    <t>Unidade de Intervenção / GNR    ·   Documento de trabalho   ·   Formação: ☑ possui  /  ☐ não possui</t>
  </si>
  <si>
    <t>Área funcional</t>
  </si>
  <si>
    <t>Subunidade</t>
  </si>
  <si>
    <t>Pelotão</t>
  </si>
  <si>
    <t>Posto</t>
  </si>
  <si>
    <t>NM</t>
  </si>
  <si>
    <t>Nome completo</t>
  </si>
  <si>
    <t>Apelido</t>
  </si>
  <si>
    <t>Contacto (TLM)</t>
  </si>
  <si>
    <t>CPRANT (Curso UAS)</t>
  </si>
  <si>
    <t>Curso C-UAS</t>
  </si>
  <si>
    <t>A1</t>
  </si>
  <si>
    <t>A2</t>
  </si>
  <si>
    <t>A3</t>
  </si>
  <si>
    <t>N.º Certificado</t>
  </si>
  <si>
    <t>Validade</t>
  </si>
  <si>
    <t>Observações</t>
  </si>
  <si>
    <t>Coordenação</t>
  </si>
  <si>
    <t>Comando / SOI</t>
  </si>
  <si>
    <t>—</t>
  </si>
  <si>
    <t>Tenente</t>
  </si>
  <si>
    <t>2140038</t>
  </si>
  <si>
    <t>Luis Manuel Maceiro Cantante</t>
  </si>
  <si>
    <t>Cantante</t>
  </si>
  <si>
    <t>☐</t>
  </si>
  <si>
    <t>☑</t>
  </si>
  <si>
    <t>LUX-RP-19960511top3</t>
  </si>
  <si>
    <t>Cmd / Sec</t>
  </si>
  <si>
    <t>Secretaria GIOP</t>
  </si>
  <si>
    <t>Cabo</t>
  </si>
  <si>
    <t>2020825</t>
  </si>
  <si>
    <t>António João Carlos e Granja</t>
  </si>
  <si>
    <t>Granja</t>
  </si>
  <si>
    <t>LUX-RP-19791213bqbv</t>
  </si>
  <si>
    <t>Cmd / SOI</t>
  </si>
  <si>
    <t>SOI</t>
  </si>
  <si>
    <t>Sarg. Ch</t>
  </si>
  <si>
    <t>Manuel António Gonçalves Cordeiro</t>
  </si>
  <si>
    <t>Cordeiro</t>
  </si>
  <si>
    <t>LUX-RP-19730205mwoj</t>
  </si>
  <si>
    <t>Deu-se como Voluntário 9 / 10 / 11</t>
  </si>
  <si>
    <t>1º Sarg.</t>
  </si>
  <si>
    <t>2031108</t>
  </si>
  <si>
    <t>Hélder Simão Nunes</t>
  </si>
  <si>
    <t>Nunes</t>
  </si>
  <si>
    <t>LUX-rp-19790416xwjw</t>
  </si>
  <si>
    <t>25/08/2031</t>
  </si>
  <si>
    <t>Cabo Ch</t>
  </si>
  <si>
    <t>2030883</t>
  </si>
  <si>
    <t>Paulo Sérgio Pessanha Saraiva Loureiro</t>
  </si>
  <si>
    <t>Loureiro</t>
  </si>
  <si>
    <t>LUX-RP-19781221snzn</t>
  </si>
  <si>
    <t>Paulo Alexandre Nunes Fernandes Estêvão</t>
  </si>
  <si>
    <t>Estevão</t>
  </si>
  <si>
    <t>LUX-RP-19790126wand</t>
  </si>
  <si>
    <t>Wilson da Silva Sousa</t>
  </si>
  <si>
    <t>Sousa</t>
  </si>
  <si>
    <t>LUX-RP-19880811iww0</t>
  </si>
  <si>
    <t>2030644</t>
  </si>
  <si>
    <t>Bruno Miguel Correia Pimenta</t>
  </si>
  <si>
    <t>Pimenta</t>
  </si>
  <si>
    <t>PRT-RP-3e2e110fc693</t>
  </si>
  <si>
    <t>Filipe Jorge dos Santos Silva</t>
  </si>
  <si>
    <t>Silva</t>
  </si>
  <si>
    <t>LUX-RP-19790708pyj7</t>
  </si>
  <si>
    <t>2040185</t>
  </si>
  <si>
    <t>Carlos Manuel Jorge dos Santos</t>
  </si>
  <si>
    <t>Santos</t>
  </si>
  <si>
    <t>LUX-RP-19800517tyge</t>
  </si>
  <si>
    <t>José Carlos Soares Gomes</t>
  </si>
  <si>
    <t>Gomes</t>
  </si>
  <si>
    <t>LUX-RP-19850627djem</t>
  </si>
  <si>
    <t>Jorge Manuel Marques Vitorino</t>
  </si>
  <si>
    <t>Vitorino</t>
  </si>
  <si>
    <t>LUX-RP-19810702llnw</t>
  </si>
  <si>
    <t>28-07-2027</t>
  </si>
  <si>
    <t xml:space="preserve"> Curso Tecnicop de MAnutenção de Drones </t>
  </si>
  <si>
    <t>Graduado — 1.ª Companhia</t>
  </si>
  <si>
    <t>1.ª Companhia</t>
  </si>
  <si>
    <t>1.º Pelotão</t>
  </si>
  <si>
    <t>Sarg. Aj</t>
  </si>
  <si>
    <t>2000474</t>
  </si>
  <si>
    <t>Jorge Manuel Graça Rodrigues</t>
  </si>
  <si>
    <t>Rodrigues</t>
  </si>
  <si>
    <t>LUX-RP-19771222qqim</t>
  </si>
  <si>
    <t>Operadores — 1.ª Companhia</t>
  </si>
  <si>
    <t>Paulo Aurélio Fernandes Alves</t>
  </si>
  <si>
    <t>Alves</t>
  </si>
  <si>
    <t>LUX-RP-19751010xsav</t>
  </si>
  <si>
    <t>Jorge António Monteiro Silvano</t>
  </si>
  <si>
    <t>Silvano</t>
  </si>
  <si>
    <t>LUX-RP-19771101okaj</t>
  </si>
  <si>
    <t>2070254</t>
  </si>
  <si>
    <t>Sílvio Manuel Supico Serra</t>
  </si>
  <si>
    <t>Serra</t>
  </si>
  <si>
    <t>LUX-RP-19800124dmfu</t>
  </si>
  <si>
    <t>Grd Pr</t>
  </si>
  <si>
    <t>Pedro Miguel Rodrigues Carrapatoso</t>
  </si>
  <si>
    <t>Carrapatoso</t>
  </si>
  <si>
    <t>LUX-RP-19881103rzss</t>
  </si>
  <si>
    <t>Grd</t>
  </si>
  <si>
    <t>2210742</t>
  </si>
  <si>
    <t>Leandro Filipe da Cruz Silva</t>
  </si>
  <si>
    <t>LUX-RP-20010914wgwe</t>
  </si>
  <si>
    <t>2.º Pelotão</t>
  </si>
  <si>
    <t>2071127</t>
  </si>
  <si>
    <t>Alexandre Dias Ramalheiro</t>
  </si>
  <si>
    <t>Ramalheiro</t>
  </si>
  <si>
    <t>LUX-RP-19850705sohl</t>
  </si>
  <si>
    <t>Rui Fernando Oliveira Custódio</t>
  </si>
  <si>
    <t>Custódio</t>
  </si>
  <si>
    <t>LUX-RP-19760827exe5</t>
  </si>
  <si>
    <t>2030636</t>
  </si>
  <si>
    <t>Francisco João Alves Silvestre</t>
  </si>
  <si>
    <t>Silvestre</t>
  </si>
  <si>
    <t>NLD-RP-9r4mdbrk1otl</t>
  </si>
  <si>
    <t>Daniel de Almeida Campos Dias</t>
  </si>
  <si>
    <t>Dias</t>
  </si>
  <si>
    <t>LUX-RP-19820113vvyi</t>
  </si>
  <si>
    <t>2060731</t>
  </si>
  <si>
    <t>André Simões Sabino</t>
  </si>
  <si>
    <t>Sabino</t>
  </si>
  <si>
    <t>NLD-RP-wv64r1mtulu2</t>
  </si>
  <si>
    <t>2071255</t>
  </si>
  <si>
    <t>Marco Paulo Pedro Santos</t>
  </si>
  <si>
    <t>LUX-RP-19800528obz5</t>
  </si>
  <si>
    <t>Jacinto Manuel Farinho Neves</t>
  </si>
  <si>
    <t>Neves</t>
  </si>
  <si>
    <t>LUX-RP-19851026fcs1</t>
  </si>
  <si>
    <t>2140080</t>
  </si>
  <si>
    <t>Filipe Pimenta da Silva Rodrigues Vaquinhas Pereira de Melo</t>
  </si>
  <si>
    <t>Melo</t>
  </si>
  <si>
    <t>LUX-RP-19891016lvgs</t>
  </si>
  <si>
    <t>3.º Pelotão</t>
  </si>
  <si>
    <t>Alfredo Rodrigues Moreira da Cunha</t>
  </si>
  <si>
    <t>Cunha</t>
  </si>
  <si>
    <t>LUX-RP-19830402dae8</t>
  </si>
  <si>
    <t>2040169</t>
  </si>
  <si>
    <t>Carlos André Simão Vieira</t>
  </si>
  <si>
    <t>Vieira</t>
  </si>
  <si>
    <t>LUX-RP-19811226mqu6</t>
  </si>
  <si>
    <t>Nuno Gonçalo Moreira Rodrigues</t>
  </si>
  <si>
    <t>LUX-RP-19820404bcri</t>
  </si>
  <si>
    <t>Nelson Ricardo Amorim da Costa</t>
  </si>
  <si>
    <t>Costa</t>
  </si>
  <si>
    <t>LUX-RP-19820411llwf</t>
  </si>
  <si>
    <t>Rodrigo Alexandre Rosa Mateus Calado</t>
  </si>
  <si>
    <t>Calado</t>
  </si>
  <si>
    <t>LUX-RP-19780816ixvy</t>
  </si>
  <si>
    <t>Pedro Miguel Martins Nunes</t>
  </si>
  <si>
    <t>LUX-RP-19890503hwd8</t>
  </si>
  <si>
    <t>Rui Miguel Gonçalves Ribeiro</t>
  </si>
  <si>
    <t>Ribeiro</t>
  </si>
  <si>
    <t>LUX-RP-19910918zdfh</t>
  </si>
  <si>
    <t>2211307</t>
  </si>
  <si>
    <t>João Pedro da Silva Soares</t>
  </si>
  <si>
    <t>Soares</t>
  </si>
  <si>
    <t>LUX-RP-20001119qxde</t>
  </si>
  <si>
    <t>Operadores — 2.ª Companhia</t>
  </si>
  <si>
    <t>2.ª Companhia</t>
  </si>
  <si>
    <t>4.º Pelotão</t>
  </si>
  <si>
    <t>1990953</t>
  </si>
  <si>
    <t>Orlando Augusto Gil Cosme</t>
  </si>
  <si>
    <t>Cosme</t>
  </si>
  <si>
    <t>LUX-RP-19770711epuo</t>
  </si>
  <si>
    <t>Alexandre Filipe Correia Tomázio</t>
  </si>
  <si>
    <t>Tomázio</t>
  </si>
  <si>
    <t>Reprovou 1x nos testes</t>
  </si>
  <si>
    <t>Dany David Ferreira Domingues</t>
  </si>
  <si>
    <t>Domingues</t>
  </si>
  <si>
    <t>Graduado — 2.ª Companhia</t>
  </si>
  <si>
    <t>5.º Pelotão</t>
  </si>
  <si>
    <t>João Maria Domingos Henriques</t>
  </si>
  <si>
    <t>Henriques</t>
  </si>
  <si>
    <t>PRT-RP-8fec7da2d7e9</t>
  </si>
  <si>
    <t>Bruno Miguel Lameiras Patrocínio</t>
  </si>
  <si>
    <t>Patrocínio</t>
  </si>
  <si>
    <t>LUX-RP-19780708cuci</t>
  </si>
  <si>
    <t>2070759</t>
  </si>
  <si>
    <t>David Filipe Monteiro Pereira</t>
  </si>
  <si>
    <t>Pereira</t>
  </si>
  <si>
    <t xml:space="preserve">LUX-RP-19851007yijd </t>
  </si>
  <si>
    <t>Nuno Pedro Rolo Correia Veloso</t>
  </si>
  <si>
    <t>Veloso</t>
  </si>
  <si>
    <t>LUX-RP-19800826bgs4</t>
  </si>
  <si>
    <t>2070960</t>
  </si>
  <si>
    <t>Nuno Duarte Beira Pires Pereira</t>
  </si>
  <si>
    <t>LUX-RP-19860406ukyn</t>
  </si>
  <si>
    <t>Tiago Realinho da Costa</t>
  </si>
  <si>
    <t>LUX-RP-19930413pxdt</t>
  </si>
  <si>
    <t>João Carlos Pereira Nunes</t>
  </si>
  <si>
    <t>LUX-RP-19990913ijjx</t>
  </si>
  <si>
    <t>6.º Pelotão</t>
  </si>
  <si>
    <t>Fabio Emanuel Marques Antunes</t>
  </si>
  <si>
    <t>Antunes</t>
  </si>
  <si>
    <t>LUX-RP-19850417ise6</t>
  </si>
  <si>
    <t>Cabo Mor</t>
  </si>
  <si>
    <t>Paulo Jorge dos Santos Coelho</t>
  </si>
  <si>
    <t>Coelho</t>
  </si>
  <si>
    <t>LUX-RP-19741126exti</t>
  </si>
  <si>
    <t>1990783</t>
  </si>
  <si>
    <t>Luís Filipe Sequeira Batista Pombo</t>
  </si>
  <si>
    <t>Pombo</t>
  </si>
  <si>
    <t>LUX-RP-19770308trm6</t>
  </si>
  <si>
    <t>2010584</t>
  </si>
  <si>
    <t>Alberto Pinto de Andrade</t>
  </si>
  <si>
    <t>Andrade</t>
  </si>
  <si>
    <t>LUX-RP-19760127hhbs</t>
  </si>
  <si>
    <t>José Alfredo Trigo Lorga</t>
  </si>
  <si>
    <t>Lorga</t>
  </si>
  <si>
    <t>LUX-RP-19810211xpma</t>
  </si>
  <si>
    <t>2040682</t>
  </si>
  <si>
    <t>Dário Gonçalo Farçadas Ruivo</t>
  </si>
  <si>
    <t>Ruivo</t>
  </si>
  <si>
    <t>LUX-RP-19830118qozr</t>
  </si>
  <si>
    <t>2061022</t>
  </si>
  <si>
    <t>Bruno José Lopes Ferreira Furtado</t>
  </si>
  <si>
    <t>Furtado</t>
  </si>
  <si>
    <t>LUX-RP-19820204SIKT</t>
  </si>
  <si>
    <t>Gonçalo Filipe Sousa Ferreira</t>
  </si>
  <si>
    <t>Ferreira</t>
  </si>
  <si>
    <t>LUX-RP-19920118kfsp</t>
  </si>
  <si>
    <t>Graduado — 3.ª Companhia</t>
  </si>
  <si>
    <t>3.ª Companhia</t>
  </si>
  <si>
    <t>7.º Pelotão</t>
  </si>
  <si>
    <t>Rúben Alexandre Avelino Valente</t>
  </si>
  <si>
    <t>Valente</t>
  </si>
  <si>
    <t>LUX-RP-19880414pro8</t>
  </si>
  <si>
    <t>Operadores — 3.ª Companhia</t>
  </si>
  <si>
    <t>2000832</t>
  </si>
  <si>
    <t>Manuel Alexandre da Silva Rocha</t>
  </si>
  <si>
    <t>Rocha</t>
  </si>
  <si>
    <t>LUX-RP-19740607vui8</t>
  </si>
  <si>
    <t>Adérito da Silva Castro Guedes Vieira</t>
  </si>
  <si>
    <t>LUX-RP-19751021snoe</t>
  </si>
  <si>
    <t>2020899</t>
  </si>
  <si>
    <t>João Paulo Nogueira Fernandes</t>
  </si>
  <si>
    <t>Fernandes</t>
  </si>
  <si>
    <t>2070931</t>
  </si>
  <si>
    <t>João Nuno Varino Alves</t>
  </si>
  <si>
    <t>2071215</t>
  </si>
  <si>
    <t>Roberto Faustino Soares</t>
  </si>
  <si>
    <t>Carlos Daniel Matias Eufrásio</t>
  </si>
  <si>
    <t>Eufrásio</t>
  </si>
  <si>
    <t>LUX-RP-19890906ajo5</t>
  </si>
  <si>
    <t>2210115</t>
  </si>
  <si>
    <t>Pedro Miguel Ramalho da Silva</t>
  </si>
  <si>
    <t>LUX-RP-19980102wlbw</t>
  </si>
  <si>
    <t>Francisco Ferreira Matias</t>
  </si>
  <si>
    <t>Matias</t>
  </si>
  <si>
    <t>LUX-RP-20001016ljph</t>
  </si>
  <si>
    <t>8.º Pelotão</t>
  </si>
  <si>
    <t>2140147</t>
  </si>
  <si>
    <t>Fábio Emanuel Morgado Gomes</t>
  </si>
  <si>
    <t>LUX-RP-19900906sdzv</t>
  </si>
  <si>
    <t>29-04-2028</t>
  </si>
  <si>
    <t>Victor Emanuel Cortinhas de Sousa Rosa</t>
  </si>
  <si>
    <t>Rosa</t>
  </si>
  <si>
    <t>PRT-RP-b7306988c583</t>
  </si>
  <si>
    <t>2060268</t>
  </si>
  <si>
    <t>Paulo Miguel Pereira dos Santos</t>
  </si>
  <si>
    <t>LUX-RP-19860714dpbp</t>
  </si>
  <si>
    <t>Fábio Manuel Monteiro Antunes</t>
  </si>
  <si>
    <t>LUX-RP-19910831wwnr</t>
  </si>
  <si>
    <t>Mário Jorge Esteves Aparício</t>
  </si>
  <si>
    <t>Aparicio</t>
  </si>
  <si>
    <t>PRT-RP-68296cb1076e</t>
  </si>
  <si>
    <t>Flávio João Mota Jorge</t>
  </si>
  <si>
    <t>Jorge</t>
  </si>
  <si>
    <t>LUX-RP-19900329yco5</t>
  </si>
  <si>
    <t>João Pedro Tomaz Lourenço</t>
  </si>
  <si>
    <t>Lourenço</t>
  </si>
  <si>
    <t>LUX-RP-19930327fgrx</t>
  </si>
  <si>
    <t>9.º Pelotão</t>
  </si>
  <si>
    <t>2º Sarg.</t>
  </si>
  <si>
    <t>2140655</t>
  </si>
  <si>
    <t>Bruno Alexandre Marques Ferreira</t>
  </si>
  <si>
    <t>LUX-RP-19901015apjm</t>
  </si>
  <si>
    <t>16-07/2031</t>
  </si>
  <si>
    <t>2030236</t>
  </si>
  <si>
    <t>André Gouveia da Rocha</t>
  </si>
  <si>
    <t>LUX-RP-19800803tro7</t>
  </si>
  <si>
    <t>25-12-2027</t>
  </si>
  <si>
    <t>João Filipe Germano Mendes</t>
  </si>
  <si>
    <t>Mendes</t>
  </si>
  <si>
    <t>LUX-RP-19850216wndo</t>
  </si>
  <si>
    <t>Carlos Manuel Ribeiro da Silva</t>
  </si>
  <si>
    <t>LUX-RP-19980719fog3</t>
  </si>
  <si>
    <t>Graduado — 4.ª Companhia</t>
  </si>
  <si>
    <t>4.ª Companhia</t>
  </si>
  <si>
    <t>10.º Pelotão</t>
  </si>
  <si>
    <t>Eduardo Luis Nogueira Barbosa</t>
  </si>
  <si>
    <t>Barbosa</t>
  </si>
  <si>
    <t>LUX-RP-19920225nfz5</t>
  </si>
  <si>
    <t>Operadores — 4.ª Companhia</t>
  </si>
  <si>
    <t>2090745</t>
  </si>
  <si>
    <t>Berto Jorge Mota Miranda</t>
  </si>
  <si>
    <t>Miranda</t>
  </si>
  <si>
    <t>PRT-RP-cb8fe9cc9e20</t>
  </si>
  <si>
    <t>2120740</t>
  </si>
  <si>
    <t>Bernardo Samuel Fernandes Lameira</t>
  </si>
  <si>
    <t>Lameira</t>
  </si>
  <si>
    <t>LUX-RP-19910127sbf4</t>
  </si>
  <si>
    <t>11.º Pelotão</t>
  </si>
  <si>
    <t>2060410</t>
  </si>
  <si>
    <t>Hélder Fernando Assis Cruz</t>
  </si>
  <si>
    <t>Cruz</t>
  </si>
  <si>
    <t>LUX-RP-19800729txz6</t>
  </si>
  <si>
    <t>2090645</t>
  </si>
  <si>
    <t>Pedro Jorge Teles Ribeiro</t>
  </si>
  <si>
    <t>LUX-RP-19880706fiun</t>
  </si>
  <si>
    <t>12.º Pelotão</t>
  </si>
  <si>
    <t>2010480</t>
  </si>
  <si>
    <t>Pedro Miguel Sousa Lopes</t>
  </si>
  <si>
    <t>Lopes</t>
  </si>
  <si>
    <t>LUX-RP-19800711rgiz</t>
  </si>
  <si>
    <t>ANÁLISE DO EFETIVO DA CAPACIDADE UAS / C-UAS</t>
  </si>
  <si>
    <t>Efetivo por origem (subunidade)</t>
  </si>
  <si>
    <t>Efetivo por posto</t>
  </si>
  <si>
    <t>Estrutura de comando</t>
  </si>
  <si>
    <t>Origem</t>
  </si>
  <si>
    <t>Efetivo</t>
  </si>
  <si>
    <t>Escalão</t>
  </si>
  <si>
    <t>N.º</t>
  </si>
  <si>
    <t>Coordenador</t>
  </si>
  <si>
    <t>Graduados (Sargentos)</t>
  </si>
  <si>
    <t>Restantes elementos</t>
  </si>
  <si>
    <t>TOTAL</t>
  </si>
  <si>
    <t>Cobertura formativa (n.º de militares com o curso)</t>
  </si>
  <si>
    <t>Formação</t>
  </si>
  <si>
    <t>Com curso (☑)</t>
  </si>
  <si>
    <t>% do efetivo</t>
  </si>
  <si>
    <t>RELAÇÃO DE GRADUADOS (SARGENTOS)</t>
  </si>
  <si>
    <t>#</t>
  </si>
  <si>
    <t>Nome</t>
  </si>
  <si>
    <t>Antiguidade</t>
  </si>
  <si>
    <t>1970024</t>
  </si>
  <si>
    <t>2060327</t>
  </si>
  <si>
    <t>2100420</t>
  </si>
  <si>
    <t>2150448</t>
  </si>
  <si>
    <t>2090305</t>
  </si>
  <si>
    <t>2160072</t>
  </si>
  <si>
    <t>Total de graduados:</t>
  </si>
  <si>
    <t>GRUPO DE INTERVENÇÃO DE ORDEM PÚBLICA — REGISTO DE SERVIÇOS UAS / C-UAS</t>
  </si>
  <si>
    <t>Nome, Subunidade e Posto preenchem automaticamente a partir do NM</t>
  </si>
  <si>
    <t>Data</t>
  </si>
  <si>
    <t>Tipo de Serviço</t>
  </si>
  <si>
    <t>UAS USADO</t>
  </si>
  <si>
    <t>Categoria</t>
  </si>
  <si>
    <t>N.º NOTAM</t>
  </si>
  <si>
    <t>Local</t>
  </si>
  <si>
    <t>C-UAS</t>
  </si>
  <si>
    <t>Exercício</t>
  </si>
  <si>
    <t>Tomar</t>
  </si>
  <si>
    <t>Cirex - Curso de Infraestruturas</t>
  </si>
  <si>
    <t>UAS</t>
  </si>
  <si>
    <t>3T</t>
  </si>
  <si>
    <t>Recolha de Imagens</t>
  </si>
  <si>
    <t>Notam Pedido</t>
  </si>
  <si>
    <t>Albufeira</t>
  </si>
  <si>
    <t>3T Mini3 Pro</t>
  </si>
  <si>
    <t>Santa Margarida</t>
  </si>
  <si>
    <t>Exercicio Leão</t>
  </si>
  <si>
    <t>Reconhecimento</t>
  </si>
  <si>
    <t>Coruche</t>
  </si>
  <si>
    <t>Campo Maior</t>
  </si>
  <si>
    <t>13/08/2026</t>
  </si>
  <si>
    <t>Mini3 Pro</t>
  </si>
  <si>
    <t>Apoio a Operação</t>
  </si>
  <si>
    <t>Fátima</t>
  </si>
  <si>
    <t>15/08/2023</t>
  </si>
  <si>
    <t>18/08/2026</t>
  </si>
  <si>
    <t>Rio Maior</t>
  </si>
  <si>
    <t>25/08/2026</t>
  </si>
  <si>
    <t>Leiria</t>
  </si>
  <si>
    <t>Nota: NM selecionado por lista (ligado à folha "Capacidade UAS-CUAS"). Nome, Subunidade e Posto preenchem automaticamente. Subtipo UAS só é aplicável quando Tipo de Serviço = UAS.</t>
  </si>
  <si>
    <t>ANÁLISE POR MILITAR — SERVIÇOS REALIZADOS</t>
  </si>
  <si>
    <t>Atualiza automaticamente a partir do registo à esquerda</t>
  </si>
  <si>
    <t>Total</t>
  </si>
  <si>
    <t>Reconhec.</t>
  </si>
  <si>
    <t>Apoio Op.</t>
  </si>
  <si>
    <t>Recolha Img.</t>
  </si>
  <si>
    <t>RESUMO GERAL</t>
  </si>
  <si>
    <t>Total de serviços registados</t>
  </si>
  <si>
    <t>Serviços UAS</t>
  </si>
  <si>
    <t>Serviços C-UAS</t>
  </si>
  <si>
    <t>GRUPO DE INTERVENÇÃO DE ORDEM PÚBLICA — NOMEAÇÃO AUTOMÁTICA UAS / C-UAS</t>
  </si>
  <si>
    <t>Introduza a data pretendida na célula azul (B4). A lista é gerada automaticamente: primeiro os militares disponíveis, depois os indisponíveis (a vermelho), cruzando a escala de pelotões com os serviços já marcados.</t>
  </si>
  <si>
    <t>Data da nomeação:</t>
  </si>
  <si>
    <r>
      <rPr>
        <i/>
        <sz val="8"/>
        <color rgb="FF808080"/>
        <rFont val="Arial"/>
      </rPr>
      <t xml:space="preserve"> clicar duas vez e escolher no calendário data pretendida</t>
    </r>
    <r>
      <rPr>
        <i/>
        <sz val="8"/>
        <color rgb="FFFF0000"/>
        <rFont val="Arial"/>
      </rPr>
      <t>(não escrever data)</t>
    </r>
  </si>
  <si>
    <t>Disponíveis:</t>
  </si>
  <si>
    <t>Indisponíveis:</t>
  </si>
  <si>
    <t>Disponível</t>
  </si>
  <si>
    <t>Indisponível (folga/PV/CAR/serviço fora/serviço já marcado)</t>
  </si>
  <si>
    <t>Situação do dia</t>
  </si>
  <si>
    <t>Motivo</t>
  </si>
  <si>
    <t>PelotaoKey</t>
  </si>
  <si>
    <t>CodigoDia</t>
  </si>
  <si>
    <t>CodigoDisponivel</t>
  </si>
  <si>
    <t>ServicoJaMarcado</t>
  </si>
  <si>
    <t>Disponivel</t>
  </si>
  <si>
    <t>GroupKey</t>
  </si>
  <si>
    <t>RowNum</t>
  </si>
  <si>
    <t>SortRank</t>
  </si>
  <si>
    <t>CodeNumber</t>
  </si>
  <si>
    <t>ESCALA BASE DOS PELOTÕES — copiado de Consulta_Escala.xlsx (Folha2) em 2026-08-27</t>
  </si>
  <si>
    <t>SEMANA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</si>
  <si>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</si>
  <si>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</si>
  <si>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</si>
  <si>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</si>
  <si>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</si>
  <si>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</si>
  <si>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</si>
  <si>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</si>
  <si>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</si>
  <si>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Pr</t>
  </si>
  <si>
    <t>10º</t>
  </si>
  <si>
    <t>11º</t>
  </si>
  <si>
    <t>12º</t>
  </si>
  <si>
    <t>P1</t>
  </si>
  <si>
    <t>P7</t>
  </si>
  <si>
    <t>P2</t>
  </si>
  <si>
    <t>P3</t>
  </si>
  <si>
    <t>CAR</t>
  </si>
  <si>
    <t>P6</t>
  </si>
  <si>
    <t>PV</t>
  </si>
  <si>
    <t>Folga</t>
  </si>
  <si>
    <t>P4</t>
  </si>
  <si>
    <t>P5</t>
  </si>
  <si>
    <t>P8</t>
  </si>
  <si>
    <t>ALB</t>
  </si>
  <si>
    <t>VM</t>
  </si>
  <si>
    <t>DISP</t>
  </si>
  <si>
    <t>GOIS</t>
  </si>
  <si>
    <t>VID</t>
  </si>
  <si>
    <t>P2/VID</t>
  </si>
  <si>
    <t>P1/VID</t>
  </si>
  <si>
    <t>P3/Esc</t>
  </si>
  <si>
    <t>P5/VID</t>
  </si>
  <si>
    <t>P4/Moita</t>
  </si>
  <si>
    <t>P5/Moita</t>
  </si>
  <si>
    <t>P6/Moita</t>
  </si>
  <si>
    <t>P3/Moita</t>
  </si>
  <si>
    <t>P7/Fut</t>
  </si>
  <si>
    <t>P7/Fat</t>
  </si>
  <si>
    <t>P6/Disp</t>
  </si>
  <si>
    <t>P4/Esc</t>
  </si>
  <si>
    <t>P3/Fut</t>
  </si>
  <si>
    <t>P7/Esc</t>
  </si>
  <si>
    <t>P5/Esc</t>
  </si>
  <si>
    <t>P8/DISP</t>
  </si>
  <si>
    <t>P7/Camp.Maior</t>
  </si>
  <si>
    <t>P7/Disp</t>
  </si>
  <si>
    <t>P2/Folga</t>
  </si>
  <si>
    <t>P1/Folga</t>
  </si>
  <si>
    <t>P3/Folga</t>
  </si>
  <si>
    <t>P4/Folga</t>
  </si>
  <si>
    <t>P6/Esc</t>
  </si>
  <si>
    <t>P5/Disp</t>
  </si>
  <si>
    <t>P7/Golega</t>
  </si>
  <si>
    <t>P4/Op</t>
  </si>
  <si>
    <t>P3/Op</t>
  </si>
  <si>
    <t>P6/Op</t>
  </si>
  <si>
    <t>P7/Folga</t>
  </si>
  <si>
    <t>P3/Disp</t>
  </si>
  <si>
    <t>P5/Fut</t>
  </si>
  <si>
    <t>P1/HF</t>
  </si>
  <si>
    <t>P7/GH</t>
  </si>
  <si>
    <t>P5/GH</t>
  </si>
  <si>
    <t>P4/GH</t>
  </si>
  <si>
    <t>P6/GH</t>
  </si>
  <si>
    <t>P3/GH</t>
  </si>
  <si>
    <t>P5/RF</t>
  </si>
  <si>
    <t>P4/RF</t>
  </si>
  <si>
    <t>P6/RF</t>
  </si>
  <si>
    <t>P5/OP</t>
  </si>
  <si>
    <t>P4/OP</t>
  </si>
  <si>
    <t>P3/OP</t>
  </si>
  <si>
    <t>P7/OP</t>
  </si>
  <si>
    <t>P2/HF</t>
  </si>
  <si>
    <t>P7/AS</t>
  </si>
  <si>
    <t>P4/Disp</t>
  </si>
  <si>
    <t>P6/Fut</t>
  </si>
  <si>
    <t>P7/Alb</t>
  </si>
  <si>
    <t>P6/VM</t>
  </si>
  <si>
    <t>P1/RF</t>
  </si>
  <si>
    <t>P6/OP</t>
  </si>
  <si>
    <t>P7/ESC</t>
  </si>
  <si>
    <t>P1/OP</t>
  </si>
  <si>
    <t>P4/ESC</t>
  </si>
  <si>
    <t>P6/ESC</t>
  </si>
  <si>
    <t>P7/FUT</t>
  </si>
  <si>
    <t>P6/FUT</t>
  </si>
  <si>
    <t>P1/FUT</t>
  </si>
  <si>
    <t>P4/FUT</t>
  </si>
  <si>
    <t>P5/Op</t>
  </si>
  <si>
    <t>P7/Op</t>
  </si>
  <si>
    <t>P6/Exe</t>
  </si>
  <si>
    <t>P5/Exe</t>
  </si>
  <si>
    <t>P4/Exe</t>
  </si>
  <si>
    <t>P7/Exe</t>
  </si>
  <si>
    <t>P4/Fat</t>
  </si>
  <si>
    <t>P6/Benv</t>
  </si>
  <si>
    <t>P3/Fat</t>
  </si>
  <si>
    <t>P7/Seg.</t>
  </si>
  <si>
    <t>P6/EscMM</t>
  </si>
  <si>
    <t>P4/Fut</t>
  </si>
  <si>
    <t>P5/Alb</t>
  </si>
  <si>
    <t>P6/Sard</t>
  </si>
  <si>
    <t>P4/Vlm</t>
  </si>
  <si>
    <t>P6/Vlm</t>
  </si>
  <si>
    <t xml:space="preserve">P2 </t>
  </si>
  <si>
    <t>P4/Alb</t>
  </si>
  <si>
    <t>P3/Benv</t>
  </si>
  <si>
    <t>P3/Vlm</t>
  </si>
  <si>
    <t>P1/Alb</t>
  </si>
  <si>
    <t>P6*</t>
  </si>
  <si>
    <t>Covid</t>
  </si>
  <si>
    <t>P6/Alb</t>
  </si>
  <si>
    <t>Alb</t>
  </si>
  <si>
    <t>Kosovo</t>
  </si>
  <si>
    <t>P3/JMJ</t>
  </si>
  <si>
    <t>P5/JMJ</t>
  </si>
  <si>
    <t>P2/JMJ</t>
  </si>
  <si>
    <t>P6/JMJ</t>
  </si>
  <si>
    <t>KSV</t>
  </si>
  <si>
    <t>p4</t>
  </si>
  <si>
    <t>P6 - DCOMP</t>
  </si>
  <si>
    <t>P5/Vlm</t>
  </si>
  <si>
    <t xml:space="preserve">P5 </t>
  </si>
  <si>
    <t>P5 - DCOMP</t>
  </si>
  <si>
    <t>P3/Alb</t>
  </si>
  <si>
    <t>P2/Alb</t>
  </si>
  <si>
    <t>P4 - DCOMP</t>
  </si>
  <si>
    <t>Missão</t>
  </si>
  <si>
    <t>P3 - DCOMP</t>
  </si>
  <si>
    <t>P1 - DCOMP</t>
  </si>
  <si>
    <t>P5 - Folga</t>
  </si>
  <si>
    <t>P5 - Folga DV</t>
  </si>
  <si>
    <t>P4 - Folga DV</t>
  </si>
  <si>
    <t>P3 - Folga DV</t>
  </si>
  <si>
    <t>P1/Vlm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</si>
</sst>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-mm\-yyyy;@"/>
    <numFmt numFmtId="165" formatCode="0.0%"/>
    <numFmt numFmtId="166" formatCode="dd\-mm\-yyyy"/>
    <numFmt numFmtId="167" formatCode="yyyy\-mm\-dd;@"/>
  </numFmts>
  <fonts count="26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1"/>
    </font>
    <font>
      <i/>
      <sz val="9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name val="Arial"/>
      <family val="2"/>
      <charset val="1"/>
    </font>
    <font>
      <sz val="12"/>
      <name val="Segoe UI Symbol"/>
      <family val="2"/>
      <charset val="1"/>
    </font>
    <font>
      <sz val="8"/>
      <color rgb="FF7F6000"/>
      <name val="Arial"/>
      <family val="2"/>
      <charset val="1"/>
    </font>
    <font>
      <i/>
      <sz val="8"/>
      <color rgb="FF7F6000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9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8"/>
      <color rgb="FF808080"/>
      <name val="Arial"/>
      <family val="2"/>
    </font>
    <font>
      <i/>
      <sz val="9"/>
      <color rgb="FF808080"/>
      <name val="Arial"/>
      <family val="2"/>
    </font>
    <font>
      <b/>
      <sz val="20"/>
      <color rgb="FF0000FF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b/>
      <i/>
      <sz val="8"/>
      <color rgb="FF808080"/>
      <name val="Arial"/>
      <family val="2"/>
    </font>
    <font>
      <sz val="8"/>
      <color rgb="FF808080"/>
      <name val="Arial"/>
      <family val="2"/>
    </font>
    <font>
      <b/>
      <sz val="18"/>
      <color rgb="FF9C0006"/>
      <name val="Arial"/>
      <family val="2"/>
    </font>
    <font>
      <b/>
      <sz val="18"/>
      <color rgb="FF006100"/>
      <name val="Arial"/>
      <family val="2"/>
    </font>
    <font>
      <i/>
      <sz val="8"/>
      <color rgb="FF808080"/>
      <name val="Arial"/>
    </font>
    <font>
      <i/>
      <sz val="8"/>
      <color rgb="FFFF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DECEC"/>
        <bgColor rgb="FFF1EAF7"/>
      </patternFill>
    </fill>
    <fill>
      <patternFill patternType="solid">
        <fgColor rgb="FFEAF0FA"/>
        <bgColor rgb="FFE9F4F7"/>
      </patternFill>
    </fill>
    <fill>
      <patternFill patternType="solid">
        <fgColor rgb="FFEAF7EE"/>
        <bgColor rgb="FFE9F4F7"/>
      </patternFill>
    </fill>
    <fill>
      <patternFill patternType="solid">
        <fgColor rgb="FFFFF6E5"/>
        <bgColor rgb="FFFDECEC"/>
      </patternFill>
    </fill>
    <fill>
      <patternFill patternType="solid">
        <fgColor rgb="FFF1EAF7"/>
        <bgColor rgb="FFEAF0FA"/>
      </patternFill>
    </fill>
    <fill>
      <patternFill patternType="solid">
        <fgColor rgb="FFE9F4F7"/>
        <bgColor rgb="FFEAF0FA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FF6E5"/>
      </patternFill>
    </fill>
    <fill>
      <patternFill patternType="solid">
        <fgColor rgb="FFF4F7FC"/>
        <bgColor rgb="FFE9F4F7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D9D9D9"/>
      </patternFill>
    </fill>
  </fills>
  <borders count="20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 style="thin">
        <color rgb="FFB0B7C3"/>
      </left>
      <right style="medium">
        <color rgb="FF000000"/>
      </right>
      <top style="thin">
        <color rgb="FFB0B7C3"/>
      </top>
      <bottom style="thin">
        <color rgb="FFB0B7C3"/>
      </bottom>
      <diagonal/>
    </border>
    <border>
      <left style="medium">
        <color rgb="FF000000"/>
      </left>
      <right style="thin">
        <color rgb="FFB0B7C3"/>
      </right>
      <top style="thin">
        <color rgb="FFB0B7C3"/>
      </top>
      <bottom style="medium">
        <color rgb="FF000000"/>
      </bottom>
      <diagonal/>
    </border>
    <border>
      <left style="thin">
        <color rgb="FFB0B7C3"/>
      </left>
      <right style="medium">
        <color rgb="FF000000"/>
      </right>
      <top style="thin">
        <color rgb="FFB0B7C3"/>
      </top>
      <bottom style="medium">
        <color rgb="FF000000"/>
      </bottom>
      <diagonal/>
    </border>
    <border>
      <left/>
      <right/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164" fontId="6" fillId="4" borderId="5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164" fontId="6" fillId="5" borderId="5" xfId="0" applyNumberFormat="1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164" fontId="6" fillId="6" borderId="5" xfId="0" applyNumberFormat="1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164" fontId="6" fillId="7" borderId="5" xfId="0" applyNumberFormat="1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 wrapText="1"/>
    </xf>
    <xf numFmtId="164" fontId="6" fillId="8" borderId="5" xfId="0" applyNumberFormat="1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64" fontId="6" fillId="9" borderId="5" xfId="0" applyNumberFormat="1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left" vertical="center"/>
    </xf>
    <xf numFmtId="0" fontId="4" fillId="8" borderId="8" xfId="0" applyFont="1" applyFill="1" applyBorder="1" applyAlignment="1">
      <alignment horizontal="left" vertical="center"/>
    </xf>
    <xf numFmtId="0" fontId="4" fillId="8" borderId="8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 wrapText="1"/>
    </xf>
    <xf numFmtId="164" fontId="6" fillId="8" borderId="8" xfId="0" applyNumberFormat="1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left" vertical="center" wrapText="1"/>
    </xf>
    <xf numFmtId="0" fontId="8" fillId="0" borderId="0" xfId="0" applyFont="1"/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/>
    </xf>
    <xf numFmtId="0" fontId="4" fillId="5" borderId="5" xfId="0" applyFont="1" applyFill="1" applyBorder="1"/>
    <xf numFmtId="0" fontId="4" fillId="5" borderId="5" xfId="0" applyFont="1" applyFill="1" applyBorder="1" applyAlignment="1">
      <alignment horizontal="center"/>
    </xf>
    <xf numFmtId="0" fontId="9" fillId="10" borderId="5" xfId="0" applyFont="1" applyFill="1" applyBorder="1"/>
    <xf numFmtId="0" fontId="9" fillId="10" borderId="5" xfId="0" applyFont="1" applyFill="1" applyBorder="1" applyAlignment="1">
      <alignment horizontal="center"/>
    </xf>
    <xf numFmtId="165" fontId="4" fillId="5" borderId="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left" vertical="center"/>
    </xf>
    <xf numFmtId="0" fontId="9" fillId="0" borderId="0" xfId="0" applyFont="1"/>
    <xf numFmtId="0" fontId="12" fillId="3" borderId="10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/>
    </xf>
    <xf numFmtId="0" fontId="13" fillId="0" borderId="10" xfId="0" applyFont="1" applyBorder="1" applyAlignment="1">
      <alignment horizontal="center" vertical="center" wrapText="1"/>
    </xf>
    <xf numFmtId="0" fontId="13" fillId="12" borderId="10" xfId="0" applyFont="1" applyFill="1" applyBorder="1" applyAlignment="1">
      <alignment horizontal="center" vertical="center" wrapText="1"/>
    </xf>
    <xf numFmtId="0" fontId="13" fillId="12" borderId="10" xfId="0" applyFont="1" applyFill="1" applyBorder="1" applyAlignment="1">
      <alignment horizontal="left" vertical="center"/>
    </xf>
    <xf numFmtId="166" fontId="13" fillId="11" borderId="10" xfId="0" applyNumberFormat="1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left" vertical="center"/>
    </xf>
    <xf numFmtId="0" fontId="15" fillId="0" borderId="0" xfId="0" applyFont="1"/>
    <xf numFmtId="0" fontId="13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left" vertical="center"/>
    </xf>
    <xf numFmtId="0" fontId="14" fillId="0" borderId="16" xfId="0" applyFont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6" fillId="0" borderId="0" xfId="0" applyFont="1"/>
    <xf numFmtId="0" fontId="12" fillId="2" borderId="0" xfId="0" applyFont="1" applyFill="1"/>
    <xf numFmtId="14" fontId="0" fillId="0" borderId="0" xfId="0" applyNumberFormat="1"/>
    <xf numFmtId="0" fontId="18" fillId="13" borderId="0" xfId="0" applyFont="1" applyFill="1"/>
    <xf numFmtId="0" fontId="19" fillId="14" borderId="0" xfId="0" applyFont="1" applyFill="1"/>
    <xf numFmtId="0" fontId="20" fillId="0" borderId="0" xfId="0" applyFont="1"/>
    <xf numFmtId="0" fontId="13" fillId="0" borderId="18" xfId="0" applyFont="1" applyBorder="1" applyAlignment="1">
      <alignment horizontal="center"/>
    </xf>
    <xf numFmtId="0" fontId="13" fillId="0" borderId="18" xfId="0" applyFont="1" applyBorder="1"/>
    <xf numFmtId="0" fontId="21" fillId="0" borderId="0" xfId="0" applyFont="1"/>
    <xf numFmtId="0" fontId="4" fillId="9" borderId="4" xfId="0" applyFont="1" applyFill="1" applyBorder="1"/>
    <xf numFmtId="0" fontId="6" fillId="9" borderId="4" xfId="0" applyFont="1" applyFill="1" applyBorder="1" applyAlignment="1">
      <alignment wrapText="1"/>
    </xf>
    <xf numFmtId="0" fontId="7" fillId="9" borderId="19" xfId="0" applyFont="1" applyFill="1" applyBorder="1" applyAlignment="1">
      <alignment wrapText="1"/>
    </xf>
    <xf numFmtId="0" fontId="4" fillId="9" borderId="4" xfId="0" applyFont="1" applyFill="1" applyBorder="1" applyAlignment="1">
      <alignment horizontal="left"/>
    </xf>
    <xf numFmtId="0" fontId="4" fillId="9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167" fontId="17" fillId="11" borderId="0" xfId="0" applyNumberFormat="1" applyFont="1" applyFill="1" applyAlignment="1">
      <alignment horizontal="center" vertical="center"/>
    </xf>
    <xf numFmtId="167" fontId="17" fillId="11" borderId="17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E2EFDA"/>
        </patternFill>
      </fill>
    </dxf>
    <dxf>
      <font>
        <sz val="9"/>
        <color rgb="FF9C0006"/>
        <name val="Arial"/>
      </font>
      <fill>
        <patternFill>
          <bgColor rgb="FFFFC7CE"/>
        </patternFill>
      </fill>
    </dxf>
    <dxf>
      <font>
        <b/>
        <sz val="12"/>
        <color rgb="FF006100"/>
        <name val="Segoe UI Symbol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4F7FC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808080"/>
      <rgbColor rgb="FFEAF0FA"/>
      <rgbColor rgb="FFC0504D"/>
      <rgbColor rgb="FFFFF2CC"/>
      <rgbColor rgb="FFE9F4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7EE"/>
      <rgbColor rgb="FFC6EFCE"/>
      <rgbColor rgb="FFFFF6E5"/>
      <rgbColor rgb="FFB0B7C3"/>
      <rgbColor rgb="FFF1EAF7"/>
      <rgbColor rgb="FFD9E1F2"/>
      <rgbColor rgb="FFFDECEC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pt-PT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Calibri"/>
              </a:rPr>
              <a:t>Efetivo por origem (de onde vêm)</a:t>
            </a:r>
          </a:p>
        </c:rich>
      </c:tx>
      <c:layout>
        <c:manualLayout>
          <c:xMode val="edge"/>
          <c:yMode val="edge"/>
          <c:x val="0.17447025413238201"/>
          <c:y val="3.3791905970348597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Análise!$B$4</c:f>
              <c:strCache>
                <c:ptCount val="1"/>
                <c:pt idx="0">
                  <c:v>Efetivo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Análise!$A$5:$A$9</c:f>
              <c:strCache>
                <c:ptCount val="5"/>
                <c:pt idx="0">
                  <c:v>Comando / SOI</c:v>
                </c:pt>
                <c:pt idx="1">
                  <c:v>1.ª Companhia</c:v>
                </c:pt>
                <c:pt idx="2">
                  <c:v>2.ª Companhia</c:v>
                </c:pt>
                <c:pt idx="3">
                  <c:v>3.ª Companhia</c:v>
                </c:pt>
                <c:pt idx="4">
                  <c:v>4.ª Companhia</c:v>
                </c:pt>
              </c:strCache>
            </c:strRef>
          </c:cat>
          <c:val>
            <c:numRef>
              <c:f>Análise!$B$5:$B$9</c:f>
              <c:numCache>
                <c:formatCode>General</c:formatCode>
                <c:ptCount val="5"/>
                <c:pt idx="0">
                  <c:v>12</c:v>
                </c:pt>
                <c:pt idx="1">
                  <c:v>22</c:v>
                </c:pt>
                <c:pt idx="2">
                  <c:v>18</c:v>
                </c:pt>
                <c:pt idx="3">
                  <c:v>20</c:v>
                </c:pt>
                <c:pt idx="4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C40-493D-96B4-A7440362A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3697584"/>
        <c:axId val="893699216"/>
      </c:barChart>
      <c:catAx>
        <c:axId val="893697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93699216"/>
        <c:crosses val="autoZero"/>
        <c:auto val="1"/>
        <c:lblAlgn val="ctr"/>
        <c:lblOffset val="100"/>
        <c:noMultiLvlLbl val="0"/>
      </c:catAx>
      <c:valAx>
        <c:axId val="8936992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936975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pt-PT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Calibri"/>
              </a:rPr>
              <a:t>Efetivo por posto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Análise!$E$4</c:f>
              <c:strCache>
                <c:ptCount val="1"/>
                <c:pt idx="0">
                  <c:v>Efetivo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Análise!$D$5:$D$14</c:f>
              <c:strCache>
                <c:ptCount val="10"/>
                <c:pt idx="0">
                  <c:v>Tenente</c:v>
                </c:pt>
                <c:pt idx="1">
                  <c:v>Sarg. Ch</c:v>
                </c:pt>
                <c:pt idx="2">
                  <c:v>Sarg. Aj</c:v>
                </c:pt>
                <c:pt idx="3">
                  <c:v>1º Sarg.</c:v>
                </c:pt>
                <c:pt idx="4">
                  <c:v>2º Sarg.</c:v>
                </c:pt>
                <c:pt idx="5">
                  <c:v>Cabo Mor</c:v>
                </c:pt>
                <c:pt idx="6">
                  <c:v>Cabo Ch</c:v>
                </c:pt>
                <c:pt idx="7">
                  <c:v>Cabo</c:v>
                </c:pt>
                <c:pt idx="8">
                  <c:v>Grd Pr</c:v>
                </c:pt>
                <c:pt idx="9">
                  <c:v>Grd</c:v>
                </c:pt>
              </c:strCache>
            </c:strRef>
          </c:cat>
          <c:val>
            <c:numRef>
              <c:f>Análise!$E$5:$E$14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36</c:v>
                </c:pt>
                <c:pt idx="8">
                  <c:v>15</c:v>
                </c:pt>
                <c:pt idx="9">
                  <c:v>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529-4590-A0C9-B4C35DE1A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3698128"/>
        <c:axId val="893700848"/>
      </c:barChart>
      <c:catAx>
        <c:axId val="89369812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93700848"/>
        <c:crosses val="autoZero"/>
        <c:auto val="1"/>
        <c:lblAlgn val="ctr"/>
        <c:lblOffset val="100"/>
        <c:noMultiLvlLbl val="0"/>
      </c:catAx>
      <c:valAx>
        <c:axId val="89370084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936981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pt-PT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Calibri"/>
              </a:rPr>
              <a:t>Estrutura de comando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Análise!$H$4</c:f>
              <c:strCache>
                <c:ptCount val="1"/>
                <c:pt idx="0">
                  <c:v>N.º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130-43BD-AE7C-79DC760D2AF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130-43BD-AE7C-79DC760D2AF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130-43BD-AE7C-79DC760D2AF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PT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8130-43BD-AE7C-79DC760D2AF1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PT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8130-43BD-AE7C-79DC760D2AF1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PT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8130-43BD-AE7C-79DC760D2AF1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Análise!$G$5:$G$7</c:f>
              <c:strCache>
                <c:ptCount val="3"/>
                <c:pt idx="0">
                  <c:v>Coordenador</c:v>
                </c:pt>
                <c:pt idx="1">
                  <c:v>Graduados (Sargentos)</c:v>
                </c:pt>
                <c:pt idx="2">
                  <c:v>Restantes elementos</c:v>
                </c:pt>
              </c:strCache>
            </c:strRef>
          </c:cat>
          <c:val>
            <c:numRef>
              <c:f>Análise!$H$5:$H$7</c:f>
              <c:numCache>
                <c:formatCode>General</c:formatCode>
                <c:ptCount val="3"/>
                <c:pt idx="0">
                  <c:v>1</c:v>
                </c:pt>
                <c:pt idx="1">
                  <c:v>11</c:v>
                </c:pt>
                <c:pt idx="2">
                  <c:v>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8130-43BD-AE7C-79DC760D2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pt-PT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Calibri"/>
              </a:rPr>
              <a:t>Cobertura formativa (☑)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Análise!$B$19</c:f>
              <c:strCache>
                <c:ptCount val="1"/>
                <c:pt idx="0">
                  <c:v>Com curso (☑)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Análise!$A$20:$A$24</c:f>
              <c:strCache>
                <c:ptCount val="5"/>
                <c:pt idx="0">
                  <c:v>CPRANT (Curso UAS)</c:v>
                </c:pt>
                <c:pt idx="1">
                  <c:v>Curso C-UAS</c:v>
                </c:pt>
                <c:pt idx="2">
                  <c:v>A1</c:v>
                </c:pt>
                <c:pt idx="3">
                  <c:v>A2</c:v>
                </c:pt>
                <c:pt idx="4">
                  <c:v>A3</c:v>
                </c:pt>
              </c:strCache>
            </c:strRef>
          </c:cat>
          <c:val>
            <c:numRef>
              <c:f>Análise!$B$20:$B$24</c:f>
              <c:numCache>
                <c:formatCode>General</c:formatCode>
                <c:ptCount val="5"/>
                <c:pt idx="0">
                  <c:v>12</c:v>
                </c:pt>
                <c:pt idx="1">
                  <c:v>7</c:v>
                </c:pt>
                <c:pt idx="2">
                  <c:v>74</c:v>
                </c:pt>
                <c:pt idx="3">
                  <c:v>2</c:v>
                </c:pt>
                <c:pt idx="4">
                  <c:v>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5F-4289-A35E-9F9EA5327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3698672"/>
        <c:axId val="893695952"/>
      </c:barChart>
      <c:catAx>
        <c:axId val="893698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93695952"/>
        <c:crosses val="autoZero"/>
        <c:auto val="1"/>
        <c:lblAlgn val="ctr"/>
        <c:lblOffset val="100"/>
        <c:noMultiLvlLbl val="0"/>
      </c:catAx>
      <c:valAx>
        <c:axId val="8936959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936986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104760</xdr:colOff>
      <xdr:row>28</xdr:row>
      <xdr:rowOff>85680</xdr:rowOff>
    </xdr:from>
    <xdr:to>
      <xdr:col>4</xdr:col>
      <xdr:colOff>43920</xdr:colOff>
      <xdr:row>42</xdr:row>
      <xdr:rowOff>113760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431640</xdr:colOff>
      <xdr:row>0</xdr:row>
      <xdr:rowOff>177840</xdr:rowOff>
    </xdr:from>
    <xdr:to>
      <xdr:col>29</xdr:col>
      <xdr:colOff>342360</xdr:colOff>
      <xdr:row>34</xdr:row>
      <xdr:rowOff>50400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533520</xdr:colOff>
      <xdr:row>36</xdr:row>
      <xdr:rowOff>88920</xdr:rowOff>
    </xdr:from>
    <xdr:to>
      <xdr:col>22</xdr:col>
      <xdr:colOff>393480</xdr:colOff>
      <xdr:row>58</xdr:row>
      <xdr:rowOff>88560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123840</xdr:colOff>
      <xdr:row>44</xdr:row>
      <xdr:rowOff>38160</xdr:rowOff>
    </xdr:from>
    <xdr:to>
      <xdr:col>3</xdr:col>
      <xdr:colOff>954360</xdr:colOff>
      <xdr:row>61</xdr:row>
      <xdr:rowOff>190080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I_GIOP/Downloads/GIOP_Capacidade_UAS_CUAS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cidade UAS-CUAS"/>
      <sheetName val="Análise"/>
      <sheetName val="Serviços"/>
      <sheetName val="Análise Serviços"/>
      <sheetName val="EscalaPelotoes"/>
      <sheetName val="Nomeação UAS-CUAS"/>
    </sheetNames>
    <sheetDataSet>
      <sheetData sheetId="0">
        <row r="4">
          <cell r="B4" t="str">
            <v>Comando / SOI</v>
          </cell>
          <cell r="C4" t="str">
            <v>—</v>
          </cell>
          <cell r="D4" t="str">
            <v>Tenente</v>
          </cell>
          <cell r="E4" t="str">
            <v>2140038</v>
          </cell>
          <cell r="F4" t="str">
            <v>Luis Manuel Maceiro Cantante</v>
          </cell>
        </row>
        <row r="5">
          <cell r="B5" t="str">
            <v>Secretaria GIOP</v>
          </cell>
          <cell r="C5" t="str">
            <v>—</v>
          </cell>
          <cell r="D5" t="str">
            <v>Cabo</v>
          </cell>
          <cell r="E5" t="str">
            <v>2020825</v>
          </cell>
          <cell r="F5" t="str">
            <v>António João Carlos e Granja</v>
          </cell>
        </row>
        <row r="6">
          <cell r="B6" t="str">
            <v>SOI</v>
          </cell>
          <cell r="C6" t="str">
            <v>—</v>
          </cell>
          <cell r="D6" t="str">
            <v>Sarg. Ch</v>
          </cell>
          <cell r="E6">
            <v>1970024</v>
          </cell>
          <cell r="F6" t="str">
            <v>Manuel António Gonçalves Cordeiro</v>
          </cell>
        </row>
        <row r="7">
          <cell r="B7" t="str">
            <v>SOI</v>
          </cell>
          <cell r="C7" t="str">
            <v>—</v>
          </cell>
          <cell r="D7" t="str">
            <v>1º Sarg.</v>
          </cell>
          <cell r="E7" t="str">
            <v>2031108</v>
          </cell>
          <cell r="F7" t="str">
            <v>Hélder Simão Nunes</v>
          </cell>
        </row>
        <row r="8">
          <cell r="B8" t="str">
            <v>SOI</v>
          </cell>
          <cell r="C8" t="str">
            <v>—</v>
          </cell>
          <cell r="D8" t="str">
            <v>Cabo Ch</v>
          </cell>
          <cell r="E8" t="str">
            <v>2030883</v>
          </cell>
          <cell r="F8" t="str">
            <v>Paulo Sérgio Pessanha Saraiva Loureiro</v>
          </cell>
        </row>
        <row r="9">
          <cell r="B9" t="str">
            <v>SOI</v>
          </cell>
          <cell r="C9" t="str">
            <v>—</v>
          </cell>
          <cell r="D9" t="str">
            <v>Cabo Ch</v>
          </cell>
          <cell r="E9">
            <v>2040618</v>
          </cell>
          <cell r="F9" t="str">
            <v>Paulo Alexandre Nunes Fernandes Estêvão</v>
          </cell>
        </row>
        <row r="10">
          <cell r="B10" t="str">
            <v>SOI</v>
          </cell>
          <cell r="C10" t="str">
            <v>—</v>
          </cell>
          <cell r="D10" t="str">
            <v>Cabo</v>
          </cell>
          <cell r="E10">
            <v>2090487</v>
          </cell>
          <cell r="F10" t="str">
            <v>Wilson da Silva Sousa</v>
          </cell>
        </row>
        <row r="11">
          <cell r="B11" t="str">
            <v>SOI</v>
          </cell>
          <cell r="C11" t="str">
            <v>—</v>
          </cell>
          <cell r="D11" t="str">
            <v>Cabo</v>
          </cell>
          <cell r="E11" t="str">
            <v>2030644</v>
          </cell>
          <cell r="F11" t="str">
            <v>Bruno Miguel Correia Pimenta</v>
          </cell>
        </row>
        <row r="12">
          <cell r="B12" t="str">
            <v>SOI</v>
          </cell>
          <cell r="C12" t="str">
            <v>—</v>
          </cell>
          <cell r="D12" t="str">
            <v>Cabo</v>
          </cell>
          <cell r="E12">
            <v>2030052</v>
          </cell>
          <cell r="F12" t="str">
            <v>Filipe Jorge dos Santos Silva</v>
          </cell>
        </row>
        <row r="13">
          <cell r="B13" t="str">
            <v>SOI</v>
          </cell>
          <cell r="C13" t="str">
            <v>—</v>
          </cell>
          <cell r="D13" t="str">
            <v>Cabo</v>
          </cell>
          <cell r="E13" t="str">
            <v>2040185</v>
          </cell>
          <cell r="F13" t="str">
            <v>Carlos Manuel Jorge dos Santos</v>
          </cell>
        </row>
        <row r="14">
          <cell r="B14" t="str">
            <v>SOI</v>
          </cell>
          <cell r="C14" t="str">
            <v>—</v>
          </cell>
          <cell r="D14" t="str">
            <v>Cabo</v>
          </cell>
          <cell r="E14">
            <v>2070317</v>
          </cell>
          <cell r="F14" t="str">
            <v>José Carlos Soares Gomes</v>
          </cell>
        </row>
        <row r="15">
          <cell r="B15" t="str">
            <v>1.ª Companhia</v>
          </cell>
          <cell r="C15" t="str">
            <v>1.º Pelotão</v>
          </cell>
          <cell r="D15" t="str">
            <v>Sarg. Aj</v>
          </cell>
          <cell r="E15" t="str">
            <v>2000474</v>
          </cell>
          <cell r="F15" t="str">
            <v>Jorge Manuel Graça Rodrigues</v>
          </cell>
        </row>
        <row r="16">
          <cell r="B16" t="str">
            <v>1.ª Companhia</v>
          </cell>
          <cell r="C16" t="str">
            <v>1.º Pelotão</v>
          </cell>
          <cell r="D16" t="str">
            <v>Cabo</v>
          </cell>
          <cell r="E16">
            <v>1970349</v>
          </cell>
          <cell r="F16" t="str">
            <v>Paulo Aurélio Fernandes Alves</v>
          </cell>
        </row>
        <row r="17">
          <cell r="B17" t="str">
            <v>1.ª Companhia</v>
          </cell>
          <cell r="C17" t="str">
            <v>1.º Pelotão</v>
          </cell>
          <cell r="D17" t="str">
            <v>Cabo</v>
          </cell>
          <cell r="E17">
            <v>2000796</v>
          </cell>
          <cell r="F17" t="str">
            <v>Jorge António Monteiro Silvano</v>
          </cell>
        </row>
        <row r="18">
          <cell r="B18" t="str">
            <v>1.ª Companhia</v>
          </cell>
          <cell r="C18" t="str">
            <v>1.º Pelotão</v>
          </cell>
          <cell r="D18" t="str">
            <v>Cabo</v>
          </cell>
          <cell r="E18" t="str">
            <v>2070254</v>
          </cell>
          <cell r="F18" t="str">
            <v>Sílvio Manuel Supico Serra</v>
          </cell>
        </row>
        <row r="19">
          <cell r="B19" t="str">
            <v>1.ª Companhia</v>
          </cell>
          <cell r="C19" t="str">
            <v>1.º Pelotão</v>
          </cell>
          <cell r="D19" t="str">
            <v>Grd Pr</v>
          </cell>
          <cell r="E19">
            <v>2150382</v>
          </cell>
          <cell r="F19" t="str">
            <v>Pedro Miguel Rodrigues Carrapatoso</v>
          </cell>
        </row>
        <row r="20">
          <cell r="B20" t="str">
            <v>1.ª Companhia</v>
          </cell>
          <cell r="C20" t="str">
            <v>1.º Pelotão</v>
          </cell>
          <cell r="D20" t="str">
            <v>Grd</v>
          </cell>
          <cell r="E20" t="str">
            <v>2210742</v>
          </cell>
          <cell r="F20" t="str">
            <v>Leandro Filipe da Cruz Silva</v>
          </cell>
        </row>
        <row r="21">
          <cell r="B21" t="str">
            <v>1.ª Companhia</v>
          </cell>
          <cell r="C21" t="str">
            <v>2.º Pelotão</v>
          </cell>
          <cell r="D21" t="str">
            <v>Sarg. Aj</v>
          </cell>
          <cell r="E21" t="str">
            <v>2071127</v>
          </cell>
          <cell r="F21" t="str">
            <v>Alexandre Dias Ramalheiro</v>
          </cell>
        </row>
        <row r="22">
          <cell r="B22" t="str">
            <v>1.ª Companhia</v>
          </cell>
          <cell r="C22" t="str">
            <v>2.º Pelotão</v>
          </cell>
          <cell r="D22" t="str">
            <v>Cabo Ch</v>
          </cell>
          <cell r="E22">
            <v>2000318</v>
          </cell>
          <cell r="F22" t="str">
            <v>Rui Fernando Oliveira Custódio</v>
          </cell>
        </row>
        <row r="23">
          <cell r="B23" t="str">
            <v>1.ª Companhia</v>
          </cell>
          <cell r="C23" t="str">
            <v>2.º Pelotão</v>
          </cell>
          <cell r="D23" t="str">
            <v>Cabo</v>
          </cell>
          <cell r="E23" t="str">
            <v>2030636</v>
          </cell>
          <cell r="F23" t="str">
            <v>Francisco João Alves Silvestre</v>
          </cell>
        </row>
        <row r="24">
          <cell r="B24" t="str">
            <v>1.ª Companhia</v>
          </cell>
          <cell r="C24" t="str">
            <v>2.º Pelotão</v>
          </cell>
          <cell r="D24" t="str">
            <v>Cabo</v>
          </cell>
          <cell r="E24">
            <v>2040499</v>
          </cell>
          <cell r="F24" t="str">
            <v>Daniel de Almeida Campos Dias</v>
          </cell>
        </row>
        <row r="25">
          <cell r="B25" t="str">
            <v>1.ª Companhia</v>
          </cell>
          <cell r="C25" t="str">
            <v>2.º Pelotão</v>
          </cell>
          <cell r="D25" t="str">
            <v>Cabo</v>
          </cell>
          <cell r="E25" t="str">
            <v>2060731</v>
          </cell>
          <cell r="F25" t="str">
            <v>André Simões Sabino</v>
          </cell>
        </row>
        <row r="26">
          <cell r="B26" t="str">
            <v>1.ª Companhia</v>
          </cell>
          <cell r="C26" t="str">
            <v>2.º Pelotão</v>
          </cell>
          <cell r="D26" t="str">
            <v>Cabo</v>
          </cell>
          <cell r="E26" t="str">
            <v>2071255</v>
          </cell>
          <cell r="F26" t="str">
            <v>Marco Paulo Pedro Santos</v>
          </cell>
        </row>
        <row r="27">
          <cell r="B27" t="str">
            <v>1.ª Companhia</v>
          </cell>
          <cell r="C27" t="str">
            <v>2.º Pelotão</v>
          </cell>
          <cell r="D27" t="str">
            <v>Grd Pr</v>
          </cell>
          <cell r="E27">
            <v>2100421</v>
          </cell>
          <cell r="F27" t="str">
            <v>Jacinto Manuel Farinho Neves</v>
          </cell>
        </row>
        <row r="28">
          <cell r="B28" t="str">
            <v>1.ª Companhia</v>
          </cell>
          <cell r="C28" t="str">
            <v>2.º Pelotão</v>
          </cell>
          <cell r="D28" t="str">
            <v>Grd Pr</v>
          </cell>
          <cell r="E28" t="str">
            <v>2140080</v>
          </cell>
          <cell r="F28" t="str">
            <v>Filipe Pimenta da Silva Rodrigues Vaquinhas Pereira de Melo</v>
          </cell>
        </row>
        <row r="29">
          <cell r="B29" t="str">
            <v>1.ª Companhia</v>
          </cell>
          <cell r="C29" t="str">
            <v>3.º Pelotão</v>
          </cell>
          <cell r="D29" t="str">
            <v>1º Sarg.</v>
          </cell>
          <cell r="E29">
            <v>2060327</v>
          </cell>
          <cell r="F29" t="str">
            <v>Alfredo Rodrigues Moreira da Cunha</v>
          </cell>
        </row>
        <row r="30">
          <cell r="B30" t="str">
            <v>1.ª Companhia</v>
          </cell>
          <cell r="C30" t="str">
            <v>3.º Pelotão</v>
          </cell>
          <cell r="D30" t="str">
            <v>Cabo</v>
          </cell>
          <cell r="E30" t="str">
            <v>2040169</v>
          </cell>
          <cell r="F30" t="str">
            <v>Carlos André Simão Vieira</v>
          </cell>
        </row>
        <row r="31">
          <cell r="B31" t="str">
            <v>1.ª Companhia</v>
          </cell>
          <cell r="C31" t="str">
            <v>3.º Pelotão</v>
          </cell>
          <cell r="D31" t="str">
            <v>Cabo</v>
          </cell>
          <cell r="E31">
            <v>2040351</v>
          </cell>
          <cell r="F31" t="str">
            <v>Nuno Gonçalo Moreira Rodrigues</v>
          </cell>
        </row>
        <row r="32">
          <cell r="B32" t="str">
            <v>1.ª Companhia</v>
          </cell>
          <cell r="C32" t="str">
            <v>3.º Pelotão</v>
          </cell>
          <cell r="D32" t="str">
            <v>Cabo</v>
          </cell>
          <cell r="E32">
            <v>2090816</v>
          </cell>
          <cell r="F32" t="str">
            <v>Nelson Ricardo Amorim da Costa</v>
          </cell>
        </row>
        <row r="33">
          <cell r="B33" t="str">
            <v>1.ª Companhia</v>
          </cell>
          <cell r="C33" t="str">
            <v>3.º Pelotão</v>
          </cell>
          <cell r="D33" t="str">
            <v>Cabo</v>
          </cell>
          <cell r="E33">
            <v>2020440</v>
          </cell>
          <cell r="F33" t="str">
            <v>Rodrigo Alexandre Rosa Mateus Calado</v>
          </cell>
        </row>
        <row r="34">
          <cell r="B34" t="str">
            <v>1.ª Companhia</v>
          </cell>
          <cell r="C34" t="str">
            <v>3.º Pelotão</v>
          </cell>
          <cell r="D34" t="str">
            <v>Grd Pr</v>
          </cell>
          <cell r="E34">
            <v>2160312</v>
          </cell>
          <cell r="F34" t="str">
            <v>Pedro Miguel Martins Nunes</v>
          </cell>
        </row>
        <row r="35">
          <cell r="B35" t="str">
            <v>1.ª Companhia</v>
          </cell>
          <cell r="C35" t="str">
            <v>3.º Pelotão</v>
          </cell>
          <cell r="D35" t="str">
            <v>Grd</v>
          </cell>
          <cell r="E35">
            <v>2180148</v>
          </cell>
          <cell r="F35" t="str">
            <v>Rui Miguel Gonçalves Ribeiro</v>
          </cell>
        </row>
        <row r="36">
          <cell r="B36" t="str">
            <v>1.ª Companhia</v>
          </cell>
          <cell r="C36" t="str">
            <v>3.º Pelotão</v>
          </cell>
          <cell r="D36" t="str">
            <v>Grd</v>
          </cell>
          <cell r="E36" t="str">
            <v>2211307</v>
          </cell>
          <cell r="F36" t="str">
            <v>João Pedro da Silva Soares</v>
          </cell>
        </row>
        <row r="37">
          <cell r="B37" t="str">
            <v>2.ª Companhia</v>
          </cell>
          <cell r="C37" t="str">
            <v>4.º Pelotão</v>
          </cell>
          <cell r="D37" t="str">
            <v>Cabo Ch</v>
          </cell>
          <cell r="E37" t="str">
            <v>1990953</v>
          </cell>
          <cell r="F37" t="str">
            <v>Orlando Augusto Gil Cosme</v>
          </cell>
        </row>
        <row r="38">
          <cell r="B38" t="str">
            <v>2.ª Companhia</v>
          </cell>
          <cell r="C38" t="str">
            <v>4.º Pelotão</v>
          </cell>
          <cell r="D38" t="str">
            <v>Grd Pr</v>
          </cell>
          <cell r="E38" t="str">
            <v>2150076</v>
          </cell>
          <cell r="F38" t="str">
            <v>Dany David Ferreira Domingues</v>
          </cell>
        </row>
        <row r="39">
          <cell r="B39" t="str">
            <v>2.ª Companhia</v>
          </cell>
          <cell r="C39" t="str">
            <v>5.º Pelotão</v>
          </cell>
          <cell r="D39" t="str">
            <v>1º Sarg.</v>
          </cell>
          <cell r="E39">
            <v>2150448</v>
          </cell>
          <cell r="F39" t="str">
            <v>João Maria Domingos Henriques</v>
          </cell>
        </row>
        <row r="40">
          <cell r="B40" t="str">
            <v>2.ª Companhia</v>
          </cell>
          <cell r="C40" t="str">
            <v>5.º Pelotão</v>
          </cell>
          <cell r="D40" t="str">
            <v>Cabo</v>
          </cell>
          <cell r="E40">
            <v>1991035</v>
          </cell>
          <cell r="F40" t="str">
            <v>Bruno Miguel Lameiras Patrocínio</v>
          </cell>
        </row>
        <row r="41">
          <cell r="B41" t="str">
            <v>2.ª Companhia</v>
          </cell>
          <cell r="C41" t="str">
            <v>5.º Pelotão</v>
          </cell>
          <cell r="D41" t="str">
            <v>Cabo</v>
          </cell>
          <cell r="E41" t="str">
            <v>2070759</v>
          </cell>
          <cell r="F41" t="str">
            <v>David Filipe Monteiro Pereira</v>
          </cell>
        </row>
        <row r="42">
          <cell r="B42" t="str">
            <v>2.ª Companhia</v>
          </cell>
          <cell r="C42" t="str">
            <v>5.º Pelotão</v>
          </cell>
          <cell r="D42" t="str">
            <v>Cabo</v>
          </cell>
          <cell r="E42">
            <v>2070922</v>
          </cell>
          <cell r="F42" t="str">
            <v>Nuno Pedro Rolo Correia Veloso</v>
          </cell>
        </row>
        <row r="43">
          <cell r="B43" t="str">
            <v>2.ª Companhia</v>
          </cell>
          <cell r="C43" t="str">
            <v>5.º Pelotão</v>
          </cell>
          <cell r="D43" t="str">
            <v>Cabo</v>
          </cell>
          <cell r="E43" t="str">
            <v>2070960</v>
          </cell>
          <cell r="F43" t="str">
            <v>Nuno Duarte Beira Pires Pereira</v>
          </cell>
        </row>
        <row r="44">
          <cell r="B44" t="str">
            <v>2.ª Companhia</v>
          </cell>
          <cell r="C44" t="str">
            <v>5.º Pelotão</v>
          </cell>
          <cell r="D44" t="str">
            <v>Grd Pr</v>
          </cell>
          <cell r="E44">
            <v>2120476</v>
          </cell>
          <cell r="F44" t="str">
            <v>Tiago Realinho da Costa</v>
          </cell>
        </row>
        <row r="45">
          <cell r="B45" t="str">
            <v>2.ª Companhia</v>
          </cell>
          <cell r="C45" t="str">
            <v>5.º Pelotão</v>
          </cell>
          <cell r="D45" t="str">
            <v>Grd</v>
          </cell>
          <cell r="E45">
            <v>2220821</v>
          </cell>
          <cell r="F45" t="str">
            <v>João Carlos Pereira Nunes</v>
          </cell>
        </row>
        <row r="46">
          <cell r="B46" t="str">
            <v>2.ª Companhia</v>
          </cell>
          <cell r="C46" t="str">
            <v>6.º Pelotão</v>
          </cell>
          <cell r="D46" t="str">
            <v>1º Sarg.</v>
          </cell>
          <cell r="E46">
            <v>2090305</v>
          </cell>
          <cell r="F46" t="str">
            <v>Fabio Emanuel Marques Antunes</v>
          </cell>
        </row>
        <row r="47">
          <cell r="B47" t="str">
            <v>2.ª Companhia</v>
          </cell>
          <cell r="C47" t="str">
            <v>6.º Pelotão</v>
          </cell>
          <cell r="D47" t="str">
            <v>Cabo Mor</v>
          </cell>
          <cell r="E47">
            <v>1970446</v>
          </cell>
          <cell r="F47" t="str">
            <v>Paulo Jorge dos Santos Coelho</v>
          </cell>
        </row>
        <row r="48">
          <cell r="B48" t="str">
            <v>2.ª Companhia</v>
          </cell>
          <cell r="C48" t="str">
            <v>6.º Pelotão</v>
          </cell>
          <cell r="D48" t="str">
            <v>Cabo</v>
          </cell>
          <cell r="E48" t="str">
            <v>1990783</v>
          </cell>
          <cell r="F48" t="str">
            <v>Luís Filipe Sequeira Batista Pombo</v>
          </cell>
        </row>
        <row r="49">
          <cell r="B49" t="str">
            <v>2.ª Companhia</v>
          </cell>
          <cell r="C49" t="str">
            <v>6.º Pelotão</v>
          </cell>
          <cell r="D49" t="str">
            <v>Cabo</v>
          </cell>
          <cell r="E49" t="str">
            <v>2010584</v>
          </cell>
          <cell r="F49" t="str">
            <v>Alberto Pinto de Andrade</v>
          </cell>
        </row>
        <row r="50">
          <cell r="B50" t="str">
            <v>2.ª Companhia</v>
          </cell>
          <cell r="C50" t="str">
            <v>6.º Pelotão</v>
          </cell>
          <cell r="D50" t="str">
            <v>Cabo</v>
          </cell>
          <cell r="E50">
            <v>2040406</v>
          </cell>
          <cell r="F50" t="str">
            <v>José Alfredo Trigo Lorga</v>
          </cell>
        </row>
        <row r="51">
          <cell r="B51" t="str">
            <v>2.ª Companhia</v>
          </cell>
          <cell r="C51" t="str">
            <v>6.º Pelotão</v>
          </cell>
          <cell r="D51" t="str">
            <v>Cabo</v>
          </cell>
          <cell r="E51" t="str">
            <v>2040682</v>
          </cell>
          <cell r="F51" t="str">
            <v>Dário Gonçalo Farçadas Ruivo</v>
          </cell>
        </row>
        <row r="52">
          <cell r="B52" t="str">
            <v>2.ª Companhia</v>
          </cell>
          <cell r="C52" t="str">
            <v>6.º Pelotão</v>
          </cell>
          <cell r="D52" t="str">
            <v>Cabo</v>
          </cell>
          <cell r="E52" t="str">
            <v>2061022</v>
          </cell>
          <cell r="F52" t="str">
            <v>Bruno José Lopes Ferreira Furtado</v>
          </cell>
        </row>
        <row r="53">
          <cell r="B53" t="str">
            <v>2.ª Companhia</v>
          </cell>
          <cell r="C53" t="str">
            <v>6.º Pelotão</v>
          </cell>
          <cell r="D53" t="str">
            <v>Grd</v>
          </cell>
          <cell r="E53">
            <v>2210169</v>
          </cell>
          <cell r="F53" t="str">
            <v>Gonçalo Filipe Sousa Ferreira</v>
          </cell>
        </row>
        <row r="54">
          <cell r="B54" t="str">
            <v>3.ª Companhia</v>
          </cell>
          <cell r="C54" t="str">
            <v>7.º Pelotão</v>
          </cell>
          <cell r="D54" t="str">
            <v>1º Sarg.</v>
          </cell>
          <cell r="E54">
            <v>2100420</v>
          </cell>
          <cell r="F54" t="str">
            <v>Rúben Alexandre Avelino Valente</v>
          </cell>
        </row>
        <row r="55">
          <cell r="B55" t="str">
            <v>3.ª Companhia</v>
          </cell>
          <cell r="C55" t="str">
            <v>7.º Pelotão</v>
          </cell>
          <cell r="D55" t="str">
            <v>Cabo Ch</v>
          </cell>
          <cell r="E55" t="str">
            <v>2000832</v>
          </cell>
          <cell r="F55" t="str">
            <v>Manuel Alexandre da Silva Rocha</v>
          </cell>
        </row>
        <row r="56">
          <cell r="B56" t="str">
            <v>3.ª Companhia</v>
          </cell>
          <cell r="C56" t="str">
            <v>7.º Pelotão</v>
          </cell>
          <cell r="D56" t="str">
            <v>Cabo</v>
          </cell>
          <cell r="E56">
            <v>2010798</v>
          </cell>
          <cell r="F56" t="str">
            <v>Adérito da Silva Castro Guedes Vieira</v>
          </cell>
        </row>
        <row r="57">
          <cell r="B57" t="str">
            <v>3.ª Companhia</v>
          </cell>
          <cell r="C57" t="str">
            <v>7.º Pelotão</v>
          </cell>
          <cell r="D57" t="str">
            <v>Grd Pr</v>
          </cell>
          <cell r="E57" t="str">
            <v>2020899</v>
          </cell>
          <cell r="F57" t="str">
            <v>João Paulo Nogueira Fernandes</v>
          </cell>
        </row>
        <row r="58">
          <cell r="B58" t="str">
            <v>3.ª Companhia</v>
          </cell>
          <cell r="C58" t="str">
            <v>7.º Pelotão</v>
          </cell>
          <cell r="D58" t="str">
            <v>Cabo</v>
          </cell>
          <cell r="E58" t="str">
            <v>2070931</v>
          </cell>
          <cell r="F58" t="str">
            <v>João Nuno Varino Alves</v>
          </cell>
        </row>
        <row r="59">
          <cell r="B59" t="str">
            <v>3.ª Companhia</v>
          </cell>
          <cell r="C59" t="str">
            <v>7.º Pelotão</v>
          </cell>
          <cell r="D59" t="str">
            <v>Grd Pr</v>
          </cell>
          <cell r="E59" t="str">
            <v>2071215</v>
          </cell>
          <cell r="F59" t="str">
            <v>Roberto Faustino Soares</v>
          </cell>
        </row>
        <row r="60">
          <cell r="B60" t="str">
            <v>3.ª Companhia</v>
          </cell>
          <cell r="C60" t="str">
            <v>7.º Pelotão</v>
          </cell>
          <cell r="D60" t="str">
            <v>Grd Pr</v>
          </cell>
          <cell r="E60">
            <v>2150227</v>
          </cell>
          <cell r="F60" t="str">
            <v>Carlos Daniel Matias Eufrásio</v>
          </cell>
        </row>
        <row r="61">
          <cell r="B61" t="str">
            <v>3.ª Companhia</v>
          </cell>
          <cell r="C61" t="str">
            <v>7.º Pelotão</v>
          </cell>
          <cell r="D61" t="str">
            <v>Grd</v>
          </cell>
          <cell r="E61" t="str">
            <v>2210115</v>
          </cell>
          <cell r="F61" t="str">
            <v>Pedro Miguel Ramalho da Silva</v>
          </cell>
        </row>
        <row r="62">
          <cell r="B62" t="str">
            <v>3.ª Companhia</v>
          </cell>
          <cell r="C62" t="str">
            <v>7.º Pelotão</v>
          </cell>
          <cell r="D62" t="str">
            <v>Grd</v>
          </cell>
          <cell r="E62">
            <v>2225091</v>
          </cell>
          <cell r="F62" t="str">
            <v>Francisco Ferreira Matias</v>
          </cell>
        </row>
        <row r="63">
          <cell r="B63" t="str">
            <v>3.ª Companhia</v>
          </cell>
          <cell r="C63" t="str">
            <v>8.º Pelotão</v>
          </cell>
          <cell r="D63" t="str">
            <v>1º Sarg.</v>
          </cell>
          <cell r="E63" t="str">
            <v>2140147</v>
          </cell>
          <cell r="F63" t="str">
            <v>Fábio Emanuel Morgado Gomes</v>
          </cell>
        </row>
        <row r="64">
          <cell r="B64" t="str">
            <v>3.ª Companhia</v>
          </cell>
          <cell r="C64" t="str">
            <v>8.º Pelotão</v>
          </cell>
          <cell r="D64" t="str">
            <v>Cabo</v>
          </cell>
          <cell r="E64">
            <v>2030055</v>
          </cell>
          <cell r="F64" t="str">
            <v>Victor Emanuel Cortinhas de Sousa Rosa</v>
          </cell>
        </row>
        <row r="65">
          <cell r="B65" t="str">
            <v>3.ª Companhia</v>
          </cell>
          <cell r="C65" t="str">
            <v>8.º Pelotão</v>
          </cell>
          <cell r="D65" t="str">
            <v>Cabo</v>
          </cell>
          <cell r="E65" t="str">
            <v>2060268</v>
          </cell>
          <cell r="F65" t="str">
            <v>Paulo Miguel Pereira dos Santos</v>
          </cell>
        </row>
        <row r="66">
          <cell r="B66" t="str">
            <v>3.ª Companhia</v>
          </cell>
          <cell r="C66" t="str">
            <v>8.º Pelotão</v>
          </cell>
          <cell r="D66" t="str">
            <v>Grd Pr</v>
          </cell>
          <cell r="E66">
            <v>2140751</v>
          </cell>
          <cell r="F66" t="str">
            <v>Fábio Manuel Monteiro Antunes</v>
          </cell>
        </row>
        <row r="67">
          <cell r="B67" t="str">
            <v>3.ª Companhia</v>
          </cell>
          <cell r="C67" t="str">
            <v>8.º Pelotão</v>
          </cell>
          <cell r="D67" t="str">
            <v>Grd Pr</v>
          </cell>
          <cell r="E67">
            <v>2140884</v>
          </cell>
          <cell r="F67" t="str">
            <v>Mário Jorge Esteves Aparício</v>
          </cell>
        </row>
        <row r="68">
          <cell r="B68" t="str">
            <v>3.ª Companhia</v>
          </cell>
          <cell r="C68" t="str">
            <v>8.º Pelotão</v>
          </cell>
          <cell r="D68" t="str">
            <v>Grd Pr</v>
          </cell>
          <cell r="E68">
            <v>2150206</v>
          </cell>
          <cell r="F68" t="str">
            <v>Flávio João Mota Jorge</v>
          </cell>
        </row>
        <row r="69">
          <cell r="B69" t="str">
            <v>3.ª Companhia</v>
          </cell>
          <cell r="C69" t="str">
            <v>8.º Pelotão</v>
          </cell>
          <cell r="D69" t="str">
            <v>Grd</v>
          </cell>
          <cell r="E69">
            <v>2211470</v>
          </cell>
          <cell r="F69" t="str">
            <v>João Pedro Tomaz Lourenço</v>
          </cell>
        </row>
        <row r="70">
          <cell r="B70" t="str">
            <v>3.ª Companhia</v>
          </cell>
          <cell r="C70" t="str">
            <v>9.º Pelotão</v>
          </cell>
          <cell r="D70" t="str">
            <v>2º Sarg.</v>
          </cell>
          <cell r="E70" t="str">
            <v>2140655</v>
          </cell>
          <cell r="F70" t="str">
            <v>Bruno Alexandre Marques Ferreira</v>
          </cell>
        </row>
        <row r="71">
          <cell r="B71" t="str">
            <v>3.ª Companhia</v>
          </cell>
          <cell r="C71" t="str">
            <v>9.º Pelotão</v>
          </cell>
          <cell r="D71" t="str">
            <v>Cabo</v>
          </cell>
          <cell r="E71" t="str">
            <v>2030236</v>
          </cell>
          <cell r="F71" t="str">
            <v>André Gouveia da Rocha</v>
          </cell>
        </row>
        <row r="72">
          <cell r="B72" t="str">
            <v>3.ª Companhia</v>
          </cell>
          <cell r="C72" t="str">
            <v>9.º Pelotão</v>
          </cell>
          <cell r="D72" t="str">
            <v>Cabo</v>
          </cell>
          <cell r="E72">
            <v>2060261</v>
          </cell>
          <cell r="F72" t="str">
            <v>João Filipe Germano Mendes</v>
          </cell>
        </row>
        <row r="73">
          <cell r="B73" t="str">
            <v>3.ª Companhia</v>
          </cell>
          <cell r="C73" t="str">
            <v>9.º Pelotão</v>
          </cell>
          <cell r="D73" t="str">
            <v>Grd</v>
          </cell>
          <cell r="E73">
            <v>2190314</v>
          </cell>
          <cell r="F73" t="str">
            <v>Carlos Manuel Ribeiro da Silva</v>
          </cell>
        </row>
        <row r="74">
          <cell r="B74" t="str">
            <v>4.ª Companhia</v>
          </cell>
          <cell r="C74" t="str">
            <v>10.º Pelotão</v>
          </cell>
          <cell r="D74" t="str">
            <v>2º Sarg.</v>
          </cell>
          <cell r="E74">
            <v>2160072</v>
          </cell>
          <cell r="F74" t="str">
            <v>Eduardo Luis Nogueira Barbosa</v>
          </cell>
        </row>
        <row r="75">
          <cell r="B75" t="str">
            <v>4.ª Companhia</v>
          </cell>
          <cell r="C75" t="str">
            <v>10.º Pelotão</v>
          </cell>
          <cell r="D75" t="str">
            <v>Grd Pr</v>
          </cell>
          <cell r="E75" t="str">
            <v>2090745</v>
          </cell>
          <cell r="F75" t="str">
            <v>Berto Jorge Mota Miranda</v>
          </cell>
        </row>
        <row r="76">
          <cell r="B76" t="str">
            <v>4.ª Companhia</v>
          </cell>
          <cell r="C76" t="str">
            <v>10.º Pelotão</v>
          </cell>
          <cell r="D76" t="str">
            <v>Grd Pr</v>
          </cell>
          <cell r="E76" t="str">
            <v>2120740</v>
          </cell>
          <cell r="F76" t="str">
            <v>Bernardo Samuel Fernandes Lameira</v>
          </cell>
        </row>
        <row r="77">
          <cell r="B77" t="str">
            <v>4.ª Companhia</v>
          </cell>
          <cell r="C77" t="str">
            <v>11.º Pelotão</v>
          </cell>
          <cell r="D77" t="str">
            <v>Cabo</v>
          </cell>
          <cell r="E77" t="str">
            <v>2060410</v>
          </cell>
          <cell r="F77" t="str">
            <v>Hélder Fernando Assis Cruz</v>
          </cell>
        </row>
        <row r="78">
          <cell r="B78" t="str">
            <v>4.ª Companhia</v>
          </cell>
          <cell r="C78" t="str">
            <v>11.º Pelotão</v>
          </cell>
          <cell r="D78" t="str">
            <v>Grd Pr</v>
          </cell>
          <cell r="E78" t="str">
            <v>2090645</v>
          </cell>
          <cell r="F78" t="str">
            <v>Pedro Jorge Teles Ribeiro</v>
          </cell>
        </row>
        <row r="79">
          <cell r="B79" t="str">
            <v>4.ª Companhia</v>
          </cell>
          <cell r="C79" t="str">
            <v>12.º Pelotão</v>
          </cell>
          <cell r="D79" t="str">
            <v>Cabo</v>
          </cell>
          <cell r="E79" t="str">
            <v>2010480</v>
          </cell>
          <cell r="F79" t="str">
            <v>Pedro Miguel Sousa Lopes</v>
          </cell>
        </row>
      </sheetData>
      <sheetData sheetId="1"/>
      <sheetData sheetId="2">
        <row r="4">
          <cell r="A4">
            <v>46198</v>
          </cell>
          <cell r="B4">
            <v>2040618</v>
          </cell>
        </row>
        <row r="5">
          <cell r="A5">
            <v>46198</v>
          </cell>
          <cell r="B5">
            <v>2090487</v>
          </cell>
        </row>
        <row r="6">
          <cell r="A6">
            <v>46198</v>
          </cell>
          <cell r="B6">
            <v>2040351</v>
          </cell>
        </row>
        <row r="7">
          <cell r="A7">
            <v>46198</v>
          </cell>
          <cell r="B7">
            <v>2180148</v>
          </cell>
        </row>
        <row r="8">
          <cell r="A8">
            <v>46204</v>
          </cell>
          <cell r="B8">
            <v>2040618</v>
          </cell>
        </row>
        <row r="9">
          <cell r="A9">
            <v>46204</v>
          </cell>
          <cell r="B9">
            <v>2070317</v>
          </cell>
        </row>
        <row r="10">
          <cell r="A10">
            <v>46206</v>
          </cell>
          <cell r="B10">
            <v>2040618</v>
          </cell>
        </row>
        <row r="11">
          <cell r="A11">
            <v>46206</v>
          </cell>
          <cell r="B11">
            <v>1970024</v>
          </cell>
        </row>
        <row r="12">
          <cell r="A12">
            <v>46206</v>
          </cell>
          <cell r="B12">
            <v>2090487</v>
          </cell>
        </row>
        <row r="13">
          <cell r="A13">
            <v>46206</v>
          </cell>
          <cell r="B13">
            <v>2040618</v>
          </cell>
        </row>
        <row r="14">
          <cell r="A14">
            <v>46206</v>
          </cell>
          <cell r="B14">
            <v>1970024</v>
          </cell>
        </row>
        <row r="15">
          <cell r="A15">
            <v>46206</v>
          </cell>
          <cell r="B15">
            <v>2090487</v>
          </cell>
        </row>
        <row r="16">
          <cell r="A16">
            <v>46237</v>
          </cell>
          <cell r="B16">
            <v>2040618</v>
          </cell>
        </row>
        <row r="17">
          <cell r="A17">
            <v>46237</v>
          </cell>
          <cell r="B17">
            <v>2030055</v>
          </cell>
        </row>
        <row r="18">
          <cell r="A18">
            <v>46242</v>
          </cell>
          <cell r="B18">
            <v>2040618</v>
          </cell>
        </row>
        <row r="19">
          <cell r="A19">
            <v>46242</v>
          </cell>
          <cell r="B19" t="str">
            <v>2030883</v>
          </cell>
        </row>
        <row r="20">
          <cell r="A20" t="str">
            <v>13/08/2026</v>
          </cell>
          <cell r="B20" t="str">
            <v>2030883</v>
          </cell>
        </row>
        <row r="21">
          <cell r="A21" t="str">
            <v>13/08/2026</v>
          </cell>
          <cell r="B21">
            <v>2070317</v>
          </cell>
        </row>
        <row r="22">
          <cell r="A22" t="str">
            <v>15/08/2023</v>
          </cell>
          <cell r="B22">
            <v>2040618</v>
          </cell>
        </row>
        <row r="23">
          <cell r="A23" t="str">
            <v>15/08/20226</v>
          </cell>
          <cell r="B23" t="str">
            <v>2020825</v>
          </cell>
        </row>
        <row r="24">
          <cell r="A24" t="str">
            <v>18/08/2026</v>
          </cell>
          <cell r="B24">
            <v>2040618</v>
          </cell>
        </row>
        <row r="25">
          <cell r="A25" t="str">
            <v>18/08/2026</v>
          </cell>
          <cell r="B25" t="str">
            <v>2020825</v>
          </cell>
        </row>
        <row r="26">
          <cell r="A26" t="str">
            <v>25/08/2026</v>
          </cell>
          <cell r="B26">
            <v>2030052</v>
          </cell>
        </row>
        <row r="27">
          <cell r="A27" t="str">
            <v>25/08/2026</v>
          </cell>
          <cell r="B27">
            <v>2070922</v>
          </cell>
        </row>
        <row r="306">
          <cell r="A306" t="str">
            <v>Nota: NM selecionado por lista (ligado à folha "Capacidade UAS-CUAS"). Nome, Subunidade e Posto preenchem automaticamente. Subtipo UAS só é aplicável quando Tipo de Serviço = UAS.</v>
          </cell>
        </row>
      </sheetData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id="1" name="Table1" displayName="Table1" ref="A3:P81" totalsRowShown="0">
  <autoFilter ref="A3:P81"/>
  <tableColumns count="16">
    <tableColumn id="1" name="Área funcional"/>
    <tableColumn id="2" name="Subunidade"/>
    <tableColumn id="3" name="Pelotão"/>
    <tableColumn id="4" name="Posto"/>
    <tableColumn id="5" name="NM"/>
    <tableColumn id="6" name="Nome completo"/>
    <tableColumn id="7" name="Apelido"/>
    <tableColumn id="8" name="Contacto (TLM)"/>
    <tableColumn id="9" name="CPRANT (Curso UAS)"/>
    <tableColumn id="10" name="Curso C-UAS"/>
    <tableColumn id="11" name="A1"/>
    <tableColumn id="12" name="A2"/>
    <tableColumn id="13" name="A3"/>
    <tableColumn id="14" name="N.º Certificado"/>
    <tableColumn id="15" name="Validade"/>
    <tableColumn id="16" name="Observaçõ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"/>
  <sheetViews>
    <sheetView showGridLines="0" zoomScaleNormal="100" workbookViewId="0">
      <pane xSplit="2" ySplit="3" topLeftCell="C4" activePane="bottomRight" state="frozen"/>
      <selection pane="topRight" activeCell="F1" sqref="F1"/>
      <selection pane="bottomLeft" activeCell="A4" sqref="A4"/>
      <selection pane="bottomRight" activeCell="P20" sqref="P20"/>
    </sheetView>
  </sheetViews>
  <sheetFormatPr defaultColWidth="8.7109375" defaultRowHeight="15" x14ac:dyDescent="0.25"/>
  <cols>
    <col min="1" max="1" width="24" customWidth="1"/>
    <col min="2" max="2" width="15" customWidth="1"/>
    <col min="3" max="3" width="12" customWidth="1"/>
    <col min="4" max="4" width="10" customWidth="1"/>
    <col min="5" max="5" width="11" customWidth="1"/>
    <col min="6" max="6" width="48.28515625" customWidth="1"/>
    <col min="7" max="7" width="13" customWidth="1"/>
    <col min="8" max="8" width="19.140625" customWidth="1"/>
    <col min="9" max="9" width="25.140625" customWidth="1"/>
    <col min="10" max="10" width="16.5703125" customWidth="1"/>
    <col min="11" max="13" width="6.28515625" customWidth="1"/>
    <col min="14" max="14" width="19.42578125" style="1" customWidth="1"/>
    <col min="15" max="15" width="12.5703125" customWidth="1"/>
    <col min="16" max="16" width="26.42578125" customWidth="1"/>
  </cols>
  <sheetData>
    <row r="1" spans="1:16" ht="25.5" customHeight="1" x14ac:dyDescent="0.25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 spans="1:16" ht="15.75" customHeight="1" x14ac:dyDescent="0.25">
      <c r="A2" s="95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</row>
    <row r="3" spans="1:16" ht="31.5" customHeight="1" x14ac:dyDescent="0.25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4" t="s">
        <v>17</v>
      </c>
    </row>
    <row r="4" spans="1:16" ht="17.25" customHeight="1" x14ac:dyDescent="0.25">
      <c r="A4" s="5" t="s">
        <v>18</v>
      </c>
      <c r="B4" s="6" t="s">
        <v>19</v>
      </c>
      <c r="C4" s="6" t="s">
        <v>20</v>
      </c>
      <c r="D4" s="6" t="s">
        <v>21</v>
      </c>
      <c r="E4" s="7" t="s">
        <v>22</v>
      </c>
      <c r="F4" s="6" t="s">
        <v>23</v>
      </c>
      <c r="G4" s="6" t="s">
        <v>24</v>
      </c>
      <c r="H4" s="6">
        <v>935365179</v>
      </c>
      <c r="I4" s="8" t="s">
        <v>25</v>
      </c>
      <c r="J4" s="8" t="s">
        <v>26</v>
      </c>
      <c r="K4" s="8" t="s">
        <v>26</v>
      </c>
      <c r="L4" s="8" t="s">
        <v>25</v>
      </c>
      <c r="M4" s="8" t="s">
        <v>26</v>
      </c>
      <c r="N4" s="9" t="s">
        <v>27</v>
      </c>
      <c r="O4" s="10">
        <v>46834</v>
      </c>
      <c r="P4" s="11"/>
    </row>
    <row r="5" spans="1:16" ht="17.25" customHeight="1" x14ac:dyDescent="0.25">
      <c r="A5" s="12" t="s">
        <v>28</v>
      </c>
      <c r="B5" s="13" t="s">
        <v>29</v>
      </c>
      <c r="C5" s="13" t="s">
        <v>20</v>
      </c>
      <c r="D5" s="13" t="s">
        <v>30</v>
      </c>
      <c r="E5" s="14" t="s">
        <v>31</v>
      </c>
      <c r="F5" s="13" t="s">
        <v>32</v>
      </c>
      <c r="G5" s="13" t="s">
        <v>33</v>
      </c>
      <c r="H5" s="13">
        <v>914286977</v>
      </c>
      <c r="I5" s="15" t="s">
        <v>26</v>
      </c>
      <c r="J5" s="15" t="s">
        <v>26</v>
      </c>
      <c r="K5" s="15" t="s">
        <v>26</v>
      </c>
      <c r="L5" s="15" t="s">
        <v>25</v>
      </c>
      <c r="M5" s="15" t="s">
        <v>26</v>
      </c>
      <c r="N5" s="16" t="s">
        <v>34</v>
      </c>
      <c r="O5" s="17">
        <v>47682</v>
      </c>
      <c r="P5" s="18"/>
    </row>
    <row r="6" spans="1:16" ht="17.25" customHeight="1" x14ac:dyDescent="0.25">
      <c r="A6" s="19" t="s">
        <v>35</v>
      </c>
      <c r="B6" s="20" t="s">
        <v>36</v>
      </c>
      <c r="C6" s="20" t="s">
        <v>20</v>
      </c>
      <c r="D6" s="20" t="s">
        <v>37</v>
      </c>
      <c r="E6" s="21">
        <v>1970024</v>
      </c>
      <c r="F6" s="20" t="s">
        <v>38</v>
      </c>
      <c r="G6" s="20" t="s">
        <v>39</v>
      </c>
      <c r="H6" s="20">
        <v>910086194</v>
      </c>
      <c r="I6" s="22" t="s">
        <v>26</v>
      </c>
      <c r="J6" s="22" t="s">
        <v>26</v>
      </c>
      <c r="K6" s="22" t="s">
        <v>26</v>
      </c>
      <c r="L6" s="22" t="s">
        <v>25</v>
      </c>
      <c r="M6" s="22" t="s">
        <v>26</v>
      </c>
      <c r="N6" s="23" t="s">
        <v>40</v>
      </c>
      <c r="O6" s="24">
        <v>46756</v>
      </c>
      <c r="P6" s="25" t="s">
        <v>41</v>
      </c>
    </row>
    <row r="7" spans="1:16" ht="17.25" customHeight="1" x14ac:dyDescent="0.25">
      <c r="A7" s="19" t="s">
        <v>35</v>
      </c>
      <c r="B7" s="20" t="s">
        <v>36</v>
      </c>
      <c r="C7" s="20" t="s">
        <v>20</v>
      </c>
      <c r="D7" s="20" t="s">
        <v>42</v>
      </c>
      <c r="E7" s="21" t="s">
        <v>43</v>
      </c>
      <c r="F7" s="20" t="s">
        <v>44</v>
      </c>
      <c r="G7" s="20" t="s">
        <v>45</v>
      </c>
      <c r="H7" s="20">
        <v>932780210</v>
      </c>
      <c r="I7" s="22" t="s">
        <v>25</v>
      </c>
      <c r="J7" s="22" t="s">
        <v>25</v>
      </c>
      <c r="K7" s="22" t="s">
        <v>26</v>
      </c>
      <c r="L7" s="22" t="s">
        <v>25</v>
      </c>
      <c r="M7" s="22" t="s">
        <v>26</v>
      </c>
      <c r="N7" s="23" t="s">
        <v>46</v>
      </c>
      <c r="O7" s="24" t="s">
        <v>47</v>
      </c>
      <c r="P7" s="25"/>
    </row>
    <row r="8" spans="1:16" ht="17.25" customHeight="1" x14ac:dyDescent="0.25">
      <c r="A8" s="19" t="s">
        <v>35</v>
      </c>
      <c r="B8" s="20" t="s">
        <v>36</v>
      </c>
      <c r="C8" s="20" t="s">
        <v>20</v>
      </c>
      <c r="D8" s="20" t="s">
        <v>48</v>
      </c>
      <c r="E8" s="21" t="s">
        <v>49</v>
      </c>
      <c r="F8" s="20" t="s">
        <v>50</v>
      </c>
      <c r="G8" s="20" t="s">
        <v>51</v>
      </c>
      <c r="H8" s="20">
        <v>965741001</v>
      </c>
      <c r="I8" s="22" t="s">
        <v>25</v>
      </c>
      <c r="J8" s="22" t="s">
        <v>25</v>
      </c>
      <c r="K8" s="22" t="s">
        <v>26</v>
      </c>
      <c r="L8" s="22" t="s">
        <v>25</v>
      </c>
      <c r="M8" s="22" t="s">
        <v>26</v>
      </c>
      <c r="N8" s="23" t="s">
        <v>52</v>
      </c>
      <c r="O8" s="24">
        <v>46761</v>
      </c>
      <c r="P8" s="25"/>
    </row>
    <row r="9" spans="1:16" ht="17.25" customHeight="1" x14ac:dyDescent="0.25">
      <c r="A9" s="19" t="s">
        <v>35</v>
      </c>
      <c r="B9" s="20" t="s">
        <v>36</v>
      </c>
      <c r="C9" s="20" t="s">
        <v>20</v>
      </c>
      <c r="D9" s="20" t="s">
        <v>48</v>
      </c>
      <c r="E9" s="21">
        <v>2040618</v>
      </c>
      <c r="F9" s="20" t="s">
        <v>53</v>
      </c>
      <c r="G9" s="20" t="s">
        <v>54</v>
      </c>
      <c r="H9" s="20">
        <v>962354196</v>
      </c>
      <c r="I9" s="22" t="s">
        <v>26</v>
      </c>
      <c r="J9" s="22" t="s">
        <v>26</v>
      </c>
      <c r="K9" s="22" t="s">
        <v>26</v>
      </c>
      <c r="L9" s="22" t="s">
        <v>25</v>
      </c>
      <c r="M9" s="22" t="s">
        <v>26</v>
      </c>
      <c r="N9" s="23" t="s">
        <v>55</v>
      </c>
      <c r="O9" s="24">
        <v>46737</v>
      </c>
      <c r="P9" s="25"/>
    </row>
    <row r="10" spans="1:16" ht="17.25" customHeight="1" x14ac:dyDescent="0.25">
      <c r="A10" s="19" t="s">
        <v>35</v>
      </c>
      <c r="B10" s="20" t="s">
        <v>36</v>
      </c>
      <c r="C10" s="20" t="s">
        <v>20</v>
      </c>
      <c r="D10" s="20" t="s">
        <v>30</v>
      </c>
      <c r="E10" s="21">
        <v>2090487</v>
      </c>
      <c r="F10" s="20" t="s">
        <v>56</v>
      </c>
      <c r="G10" s="20" t="s">
        <v>57</v>
      </c>
      <c r="H10" s="20">
        <v>911057601</v>
      </c>
      <c r="I10" s="22" t="s">
        <v>25</v>
      </c>
      <c r="J10" s="22" t="s">
        <v>26</v>
      </c>
      <c r="K10" s="22" t="s">
        <v>26</v>
      </c>
      <c r="L10" s="22" t="s">
        <v>25</v>
      </c>
      <c r="M10" s="22" t="s">
        <v>26</v>
      </c>
      <c r="N10" s="23" t="s">
        <v>58</v>
      </c>
      <c r="O10" s="24">
        <v>46753</v>
      </c>
      <c r="P10" s="25" t="s">
        <v>41</v>
      </c>
    </row>
    <row r="11" spans="1:16" ht="17.25" customHeight="1" x14ac:dyDescent="0.25">
      <c r="A11" s="19" t="s">
        <v>35</v>
      </c>
      <c r="B11" s="20" t="s">
        <v>36</v>
      </c>
      <c r="C11" s="20" t="s">
        <v>20</v>
      </c>
      <c r="D11" s="20" t="s">
        <v>30</v>
      </c>
      <c r="E11" s="21" t="s">
        <v>59</v>
      </c>
      <c r="F11" s="20" t="s">
        <v>60</v>
      </c>
      <c r="G11" s="20" t="s">
        <v>61</v>
      </c>
      <c r="H11" s="20">
        <v>968351779</v>
      </c>
      <c r="I11" s="22" t="s">
        <v>26</v>
      </c>
      <c r="J11" s="22" t="s">
        <v>26</v>
      </c>
      <c r="K11" s="22" t="s">
        <v>26</v>
      </c>
      <c r="L11" s="22" t="s">
        <v>26</v>
      </c>
      <c r="M11" s="22" t="s">
        <v>26</v>
      </c>
      <c r="N11" s="23" t="s">
        <v>62</v>
      </c>
      <c r="O11" s="24">
        <v>47328</v>
      </c>
      <c r="P11" s="25"/>
    </row>
    <row r="12" spans="1:16" ht="17.25" customHeight="1" x14ac:dyDescent="0.25">
      <c r="A12" s="19" t="s">
        <v>35</v>
      </c>
      <c r="B12" s="20" t="s">
        <v>36</v>
      </c>
      <c r="C12" s="20" t="s">
        <v>20</v>
      </c>
      <c r="D12" s="20" t="s">
        <v>30</v>
      </c>
      <c r="E12" s="21">
        <v>2030052</v>
      </c>
      <c r="F12" s="20" t="s">
        <v>63</v>
      </c>
      <c r="G12" s="20" t="s">
        <v>64</v>
      </c>
      <c r="H12" s="20">
        <v>918192135</v>
      </c>
      <c r="I12" s="22" t="s">
        <v>26</v>
      </c>
      <c r="J12" s="22" t="s">
        <v>26</v>
      </c>
      <c r="K12" s="22" t="s">
        <v>26</v>
      </c>
      <c r="L12" s="22" t="s">
        <v>25</v>
      </c>
      <c r="M12" s="22" t="s">
        <v>26</v>
      </c>
      <c r="N12" s="23" t="s">
        <v>65</v>
      </c>
      <c r="O12" s="24">
        <v>46754</v>
      </c>
      <c r="P12" s="25"/>
    </row>
    <row r="13" spans="1:16" ht="17.25" customHeight="1" x14ac:dyDescent="0.25">
      <c r="A13" s="19" t="s">
        <v>35</v>
      </c>
      <c r="B13" s="20" t="s">
        <v>36</v>
      </c>
      <c r="C13" s="20" t="s">
        <v>20</v>
      </c>
      <c r="D13" s="20" t="s">
        <v>30</v>
      </c>
      <c r="E13" s="21" t="s">
        <v>66</v>
      </c>
      <c r="F13" s="20" t="s">
        <v>67</v>
      </c>
      <c r="G13" s="20" t="s">
        <v>68</v>
      </c>
      <c r="H13" s="20">
        <v>966228675</v>
      </c>
      <c r="I13" s="22" t="s">
        <v>25</v>
      </c>
      <c r="J13" s="22" t="s">
        <v>25</v>
      </c>
      <c r="K13" s="22" t="s">
        <v>26</v>
      </c>
      <c r="L13" s="22" t="s">
        <v>25</v>
      </c>
      <c r="M13" s="22" t="s">
        <v>26</v>
      </c>
      <c r="N13" s="23" t="s">
        <v>69</v>
      </c>
      <c r="O13" s="24">
        <v>46788</v>
      </c>
      <c r="P13" s="25"/>
    </row>
    <row r="14" spans="1:16" ht="17.25" customHeight="1" x14ac:dyDescent="0.25">
      <c r="A14" s="19" t="s">
        <v>35</v>
      </c>
      <c r="B14" s="20" t="s">
        <v>36</v>
      </c>
      <c r="C14" s="20" t="s">
        <v>20</v>
      </c>
      <c r="D14" s="20" t="s">
        <v>30</v>
      </c>
      <c r="E14" s="21">
        <v>2070317</v>
      </c>
      <c r="F14" s="20" t="s">
        <v>70</v>
      </c>
      <c r="G14" s="20" t="s">
        <v>71</v>
      </c>
      <c r="H14" s="20">
        <v>969747877</v>
      </c>
      <c r="I14" s="22" t="s">
        <v>25</v>
      </c>
      <c r="J14" s="22" t="s">
        <v>25</v>
      </c>
      <c r="K14" s="22" t="s">
        <v>26</v>
      </c>
      <c r="L14" s="22" t="s">
        <v>25</v>
      </c>
      <c r="M14" s="22" t="s">
        <v>26</v>
      </c>
      <c r="N14" s="23" t="s">
        <v>72</v>
      </c>
      <c r="O14" s="24">
        <v>47750</v>
      </c>
      <c r="P14" s="25"/>
    </row>
    <row r="15" spans="1:16" ht="17.25" customHeight="1" x14ac:dyDescent="0.25">
      <c r="A15" s="19" t="s">
        <v>35</v>
      </c>
      <c r="B15" s="20" t="s">
        <v>36</v>
      </c>
      <c r="C15" s="20" t="s">
        <v>20</v>
      </c>
      <c r="D15" s="20" t="s">
        <v>30</v>
      </c>
      <c r="E15" s="21">
        <v>2050124</v>
      </c>
      <c r="F15" s="20" t="s">
        <v>73</v>
      </c>
      <c r="G15" s="20" t="s">
        <v>74</v>
      </c>
      <c r="H15" s="20">
        <v>962991874</v>
      </c>
      <c r="I15" s="22" t="s">
        <v>25</v>
      </c>
      <c r="J15" s="22" t="s">
        <v>25</v>
      </c>
      <c r="K15" s="22" t="s">
        <v>26</v>
      </c>
      <c r="L15" s="22" t="s">
        <v>25</v>
      </c>
      <c r="M15" s="22" t="s">
        <v>26</v>
      </c>
      <c r="N15" s="23" t="s">
        <v>75</v>
      </c>
      <c r="O15" s="24" t="s">
        <v>76</v>
      </c>
      <c r="P15" s="25" t="s">
        <v>77</v>
      </c>
    </row>
    <row r="16" spans="1:16" ht="17.25" customHeight="1" x14ac:dyDescent="0.25">
      <c r="A16" s="26" t="s">
        <v>78</v>
      </c>
      <c r="B16" s="27" t="s">
        <v>79</v>
      </c>
      <c r="C16" s="27" t="s">
        <v>80</v>
      </c>
      <c r="D16" s="27" t="s">
        <v>81</v>
      </c>
      <c r="E16" s="28" t="s">
        <v>82</v>
      </c>
      <c r="F16" s="27" t="s">
        <v>83</v>
      </c>
      <c r="G16" s="27" t="s">
        <v>84</v>
      </c>
      <c r="H16" s="27">
        <v>938807924</v>
      </c>
      <c r="I16" s="29" t="s">
        <v>26</v>
      </c>
      <c r="J16" s="29" t="s">
        <v>25</v>
      </c>
      <c r="K16" s="29" t="s">
        <v>26</v>
      </c>
      <c r="L16" s="29" t="s">
        <v>25</v>
      </c>
      <c r="M16" s="29" t="s">
        <v>26</v>
      </c>
      <c r="N16" s="30" t="s">
        <v>85</v>
      </c>
      <c r="O16" s="31">
        <v>46783</v>
      </c>
      <c r="P16" s="32"/>
    </row>
    <row r="17" spans="1:16" ht="17.25" customHeight="1" x14ac:dyDescent="0.25">
      <c r="A17" s="33" t="s">
        <v>86</v>
      </c>
      <c r="B17" s="34" t="s">
        <v>79</v>
      </c>
      <c r="C17" s="34" t="s">
        <v>80</v>
      </c>
      <c r="D17" s="34" t="s">
        <v>30</v>
      </c>
      <c r="E17" s="35">
        <v>1970349</v>
      </c>
      <c r="F17" s="34" t="s">
        <v>87</v>
      </c>
      <c r="G17" s="34" t="s">
        <v>88</v>
      </c>
      <c r="H17" s="34">
        <v>967001966</v>
      </c>
      <c r="I17" s="36" t="s">
        <v>25</v>
      </c>
      <c r="J17" s="36" t="s">
        <v>25</v>
      </c>
      <c r="K17" s="36" t="s">
        <v>26</v>
      </c>
      <c r="L17" s="36" t="s">
        <v>25</v>
      </c>
      <c r="M17" s="36" t="s">
        <v>26</v>
      </c>
      <c r="N17" s="37" t="s">
        <v>89</v>
      </c>
      <c r="O17" s="38">
        <v>48046</v>
      </c>
      <c r="P17" s="39"/>
    </row>
    <row r="18" spans="1:16" ht="17.25" customHeight="1" x14ac:dyDescent="0.25">
      <c r="A18" s="33" t="s">
        <v>86</v>
      </c>
      <c r="B18" s="34" t="s">
        <v>79</v>
      </c>
      <c r="C18" s="34" t="s">
        <v>80</v>
      </c>
      <c r="D18" s="34" t="s">
        <v>30</v>
      </c>
      <c r="E18" s="35">
        <v>2000796</v>
      </c>
      <c r="F18" s="34" t="s">
        <v>90</v>
      </c>
      <c r="G18" s="34" t="s">
        <v>91</v>
      </c>
      <c r="H18" s="34">
        <v>931117347</v>
      </c>
      <c r="I18" s="36" t="s">
        <v>26</v>
      </c>
      <c r="J18" s="36" t="s">
        <v>25</v>
      </c>
      <c r="K18" s="36" t="s">
        <v>26</v>
      </c>
      <c r="L18" s="36" t="s">
        <v>25</v>
      </c>
      <c r="M18" s="36" t="s">
        <v>26</v>
      </c>
      <c r="N18" s="37" t="s">
        <v>92</v>
      </c>
      <c r="O18" s="38">
        <v>48023</v>
      </c>
      <c r="P18" s="39"/>
    </row>
    <row r="19" spans="1:16" ht="17.25" customHeight="1" x14ac:dyDescent="0.25">
      <c r="A19" s="33" t="s">
        <v>86</v>
      </c>
      <c r="B19" s="34" t="s">
        <v>79</v>
      </c>
      <c r="C19" s="34" t="s">
        <v>80</v>
      </c>
      <c r="D19" s="34" t="s">
        <v>30</v>
      </c>
      <c r="E19" s="35" t="s">
        <v>93</v>
      </c>
      <c r="F19" s="34" t="s">
        <v>94</v>
      </c>
      <c r="G19" s="34" t="s">
        <v>95</v>
      </c>
      <c r="H19" s="34">
        <v>915568450</v>
      </c>
      <c r="I19" s="36" t="s">
        <v>25</v>
      </c>
      <c r="J19" s="36" t="s">
        <v>25</v>
      </c>
      <c r="K19" s="36" t="s">
        <v>26</v>
      </c>
      <c r="L19" s="36" t="s">
        <v>25</v>
      </c>
      <c r="M19" s="36" t="s">
        <v>26</v>
      </c>
      <c r="N19" s="37" t="s">
        <v>96</v>
      </c>
      <c r="O19" s="38">
        <v>48047</v>
      </c>
      <c r="P19" s="39"/>
    </row>
    <row r="20" spans="1:16" ht="17.25" customHeight="1" x14ac:dyDescent="0.25">
      <c r="A20" s="33" t="s">
        <v>86</v>
      </c>
      <c r="B20" s="34" t="s">
        <v>79</v>
      </c>
      <c r="C20" s="34" t="s">
        <v>80</v>
      </c>
      <c r="D20" s="34" t="s">
        <v>97</v>
      </c>
      <c r="E20" s="35">
        <v>2150382</v>
      </c>
      <c r="F20" s="34" t="s">
        <v>98</v>
      </c>
      <c r="G20" s="34" t="s">
        <v>99</v>
      </c>
      <c r="H20" s="34">
        <v>912334272</v>
      </c>
      <c r="I20" s="36" t="s">
        <v>25</v>
      </c>
      <c r="J20" s="36" t="s">
        <v>25</v>
      </c>
      <c r="K20" s="36" t="s">
        <v>26</v>
      </c>
      <c r="L20" s="36" t="s">
        <v>25</v>
      </c>
      <c r="M20" s="36" t="s">
        <v>26</v>
      </c>
      <c r="N20" s="37" t="s">
        <v>100</v>
      </c>
      <c r="O20" s="38">
        <v>48043</v>
      </c>
      <c r="P20" s="39"/>
    </row>
    <row r="21" spans="1:16" ht="17.25" customHeight="1" x14ac:dyDescent="0.25">
      <c r="A21" s="33" t="s">
        <v>86</v>
      </c>
      <c r="B21" s="34" t="s">
        <v>79</v>
      </c>
      <c r="C21" s="34" t="s">
        <v>80</v>
      </c>
      <c r="D21" s="34" t="s">
        <v>101</v>
      </c>
      <c r="E21" s="35" t="s">
        <v>102</v>
      </c>
      <c r="F21" s="34" t="s">
        <v>103</v>
      </c>
      <c r="G21" s="34" t="s">
        <v>64</v>
      </c>
      <c r="H21" s="34">
        <v>916029284</v>
      </c>
      <c r="I21" s="36" t="s">
        <v>25</v>
      </c>
      <c r="J21" s="36" t="s">
        <v>25</v>
      </c>
      <c r="K21" s="36" t="s">
        <v>26</v>
      </c>
      <c r="L21" s="36" t="s">
        <v>25</v>
      </c>
      <c r="M21" s="36" t="s">
        <v>26</v>
      </c>
      <c r="N21" s="37" t="s">
        <v>104</v>
      </c>
      <c r="O21" s="38">
        <v>48047</v>
      </c>
      <c r="P21" s="39"/>
    </row>
    <row r="22" spans="1:16" ht="17.25" customHeight="1" x14ac:dyDescent="0.25">
      <c r="A22" s="26" t="s">
        <v>78</v>
      </c>
      <c r="B22" s="27" t="s">
        <v>79</v>
      </c>
      <c r="C22" s="27" t="s">
        <v>105</v>
      </c>
      <c r="D22" s="27" t="s">
        <v>81</v>
      </c>
      <c r="E22" s="28" t="s">
        <v>106</v>
      </c>
      <c r="F22" s="27" t="s">
        <v>107</v>
      </c>
      <c r="G22" s="27" t="s">
        <v>108</v>
      </c>
      <c r="H22" s="27">
        <v>969341443</v>
      </c>
      <c r="I22" s="29" t="s">
        <v>25</v>
      </c>
      <c r="J22" s="29" t="s">
        <v>25</v>
      </c>
      <c r="K22" s="29" t="s">
        <v>26</v>
      </c>
      <c r="L22" s="29" t="s">
        <v>25</v>
      </c>
      <c r="M22" s="29" t="s">
        <v>26</v>
      </c>
      <c r="N22" s="30" t="s">
        <v>109</v>
      </c>
      <c r="O22" s="31">
        <v>48056</v>
      </c>
      <c r="P22" s="32"/>
    </row>
    <row r="23" spans="1:16" ht="17.25" customHeight="1" x14ac:dyDescent="0.25">
      <c r="A23" s="33" t="s">
        <v>86</v>
      </c>
      <c r="B23" s="34" t="s">
        <v>79</v>
      </c>
      <c r="C23" s="34" t="s">
        <v>105</v>
      </c>
      <c r="D23" s="34" t="s">
        <v>48</v>
      </c>
      <c r="E23" s="35">
        <v>2000318</v>
      </c>
      <c r="F23" s="34" t="s">
        <v>110</v>
      </c>
      <c r="G23" s="34" t="s">
        <v>111</v>
      </c>
      <c r="H23" s="34">
        <v>926674323</v>
      </c>
      <c r="I23" s="36" t="s">
        <v>25</v>
      </c>
      <c r="J23" s="36" t="s">
        <v>25</v>
      </c>
      <c r="K23" s="36" t="s">
        <v>26</v>
      </c>
      <c r="L23" s="36" t="s">
        <v>25</v>
      </c>
      <c r="M23" s="36" t="s">
        <v>26</v>
      </c>
      <c r="N23" s="37" t="s">
        <v>112</v>
      </c>
      <c r="O23" s="38">
        <v>48042</v>
      </c>
      <c r="P23" s="39"/>
    </row>
    <row r="24" spans="1:16" ht="17.25" customHeight="1" x14ac:dyDescent="0.25">
      <c r="A24" s="33" t="s">
        <v>86</v>
      </c>
      <c r="B24" s="34" t="s">
        <v>79</v>
      </c>
      <c r="C24" s="34" t="s">
        <v>105</v>
      </c>
      <c r="D24" s="34" t="s">
        <v>30</v>
      </c>
      <c r="E24" s="35" t="s">
        <v>113</v>
      </c>
      <c r="F24" s="34" t="s">
        <v>114</v>
      </c>
      <c r="G24" s="34" t="s">
        <v>115</v>
      </c>
      <c r="H24" s="34">
        <v>934475861</v>
      </c>
      <c r="I24" s="36" t="s">
        <v>25</v>
      </c>
      <c r="J24" s="36" t="s">
        <v>25</v>
      </c>
      <c r="K24" s="36" t="s">
        <v>26</v>
      </c>
      <c r="L24" s="36" t="s">
        <v>26</v>
      </c>
      <c r="M24" s="36" t="s">
        <v>26</v>
      </c>
      <c r="N24" s="37" t="s">
        <v>116</v>
      </c>
      <c r="O24" s="38">
        <v>47892</v>
      </c>
      <c r="P24" s="39"/>
    </row>
    <row r="25" spans="1:16" ht="17.25" customHeight="1" x14ac:dyDescent="0.25">
      <c r="A25" s="33" t="s">
        <v>86</v>
      </c>
      <c r="B25" s="34" t="s">
        <v>79</v>
      </c>
      <c r="C25" s="34" t="s">
        <v>105</v>
      </c>
      <c r="D25" s="34" t="s">
        <v>30</v>
      </c>
      <c r="E25" s="35">
        <v>2040499</v>
      </c>
      <c r="F25" s="34" t="s">
        <v>117</v>
      </c>
      <c r="G25" s="34" t="s">
        <v>118</v>
      </c>
      <c r="H25" s="34">
        <v>963783179</v>
      </c>
      <c r="I25" s="36" t="s">
        <v>26</v>
      </c>
      <c r="J25" s="36" t="s">
        <v>25</v>
      </c>
      <c r="K25" s="36" t="s">
        <v>26</v>
      </c>
      <c r="L25" s="36" t="s">
        <v>25</v>
      </c>
      <c r="M25" s="36" t="s">
        <v>26</v>
      </c>
      <c r="N25" s="37" t="s">
        <v>119</v>
      </c>
      <c r="O25" s="38">
        <v>46754</v>
      </c>
      <c r="P25" s="39"/>
    </row>
    <row r="26" spans="1:16" ht="17.25" customHeight="1" x14ac:dyDescent="0.25">
      <c r="A26" s="33" t="s">
        <v>86</v>
      </c>
      <c r="B26" s="34" t="s">
        <v>79</v>
      </c>
      <c r="C26" s="34" t="s">
        <v>105</v>
      </c>
      <c r="D26" s="34" t="s">
        <v>30</v>
      </c>
      <c r="E26" s="35" t="s">
        <v>120</v>
      </c>
      <c r="F26" s="34" t="s">
        <v>121</v>
      </c>
      <c r="G26" s="34" t="s">
        <v>122</v>
      </c>
      <c r="H26" s="34">
        <v>968137808</v>
      </c>
      <c r="I26" s="36" t="s">
        <v>25</v>
      </c>
      <c r="J26" s="36" t="s">
        <v>25</v>
      </c>
      <c r="K26" s="36" t="s">
        <v>26</v>
      </c>
      <c r="L26" s="36" t="s">
        <v>25</v>
      </c>
      <c r="M26" s="36" t="s">
        <v>26</v>
      </c>
      <c r="N26" s="37" t="s">
        <v>123</v>
      </c>
      <c r="O26" s="38">
        <v>47901</v>
      </c>
      <c r="P26" s="39"/>
    </row>
    <row r="27" spans="1:16" ht="17.25" customHeight="1" x14ac:dyDescent="0.25">
      <c r="A27" s="33" t="s">
        <v>86</v>
      </c>
      <c r="B27" s="34" t="s">
        <v>79</v>
      </c>
      <c r="C27" s="34" t="s">
        <v>105</v>
      </c>
      <c r="D27" s="34" t="s">
        <v>30</v>
      </c>
      <c r="E27" s="35" t="s">
        <v>124</v>
      </c>
      <c r="F27" s="34" t="s">
        <v>125</v>
      </c>
      <c r="G27" s="34" t="s">
        <v>68</v>
      </c>
      <c r="H27" s="34">
        <v>966722389</v>
      </c>
      <c r="I27" s="36" t="s">
        <v>25</v>
      </c>
      <c r="J27" s="36" t="s">
        <v>25</v>
      </c>
      <c r="K27" s="36" t="s">
        <v>26</v>
      </c>
      <c r="L27" s="36" t="s">
        <v>25</v>
      </c>
      <c r="M27" s="36" t="s">
        <v>26</v>
      </c>
      <c r="N27" s="37" t="s">
        <v>126</v>
      </c>
      <c r="O27" s="38">
        <v>47870</v>
      </c>
      <c r="P27" s="39"/>
    </row>
    <row r="28" spans="1:16" ht="17.25" customHeight="1" x14ac:dyDescent="0.25">
      <c r="A28" s="33" t="s">
        <v>86</v>
      </c>
      <c r="B28" s="34" t="s">
        <v>79</v>
      </c>
      <c r="C28" s="34" t="s">
        <v>105</v>
      </c>
      <c r="D28" s="34" t="s">
        <v>97</v>
      </c>
      <c r="E28" s="35">
        <v>2100421</v>
      </c>
      <c r="F28" s="34" t="s">
        <v>127</v>
      </c>
      <c r="G28" s="34" t="s">
        <v>128</v>
      </c>
      <c r="H28" s="34">
        <v>938311662</v>
      </c>
      <c r="I28" s="36" t="s">
        <v>25</v>
      </c>
      <c r="J28" s="36" t="s">
        <v>25</v>
      </c>
      <c r="K28" s="36" t="s">
        <v>26</v>
      </c>
      <c r="L28" s="36" t="s">
        <v>25</v>
      </c>
      <c r="M28" s="36" t="s">
        <v>26</v>
      </c>
      <c r="N28" s="37" t="s">
        <v>129</v>
      </c>
      <c r="O28" s="38">
        <v>48042</v>
      </c>
      <c r="P28" s="39" t="s">
        <v>41</v>
      </c>
    </row>
    <row r="29" spans="1:16" ht="17.25" customHeight="1" x14ac:dyDescent="0.25">
      <c r="A29" s="33" t="s">
        <v>86</v>
      </c>
      <c r="B29" s="34" t="s">
        <v>79</v>
      </c>
      <c r="C29" s="34" t="s">
        <v>105</v>
      </c>
      <c r="D29" s="34" t="s">
        <v>97</v>
      </c>
      <c r="E29" s="35" t="s">
        <v>130</v>
      </c>
      <c r="F29" s="34" t="s">
        <v>131</v>
      </c>
      <c r="G29" s="34" t="s">
        <v>132</v>
      </c>
      <c r="H29" s="34">
        <v>919909638</v>
      </c>
      <c r="I29" s="36" t="s">
        <v>25</v>
      </c>
      <c r="J29" s="36" t="s">
        <v>25</v>
      </c>
      <c r="K29" s="36" t="s">
        <v>26</v>
      </c>
      <c r="L29" s="36" t="s">
        <v>25</v>
      </c>
      <c r="M29" s="36" t="s">
        <v>26</v>
      </c>
      <c r="N29" s="37" t="s">
        <v>133</v>
      </c>
      <c r="O29" s="38">
        <v>47887</v>
      </c>
      <c r="P29" s="39"/>
    </row>
    <row r="30" spans="1:16" ht="17.25" customHeight="1" x14ac:dyDescent="0.25">
      <c r="A30" s="26" t="s">
        <v>78</v>
      </c>
      <c r="B30" s="27" t="s">
        <v>79</v>
      </c>
      <c r="C30" s="27" t="s">
        <v>134</v>
      </c>
      <c r="D30" s="27" t="s">
        <v>42</v>
      </c>
      <c r="E30" s="28">
        <v>2060327</v>
      </c>
      <c r="F30" s="27" t="s">
        <v>135</v>
      </c>
      <c r="G30" s="27" t="s">
        <v>136</v>
      </c>
      <c r="H30" s="27">
        <v>936962179</v>
      </c>
      <c r="I30" s="29" t="s">
        <v>25</v>
      </c>
      <c r="J30" s="29" t="s">
        <v>25</v>
      </c>
      <c r="K30" s="29" t="s">
        <v>26</v>
      </c>
      <c r="L30" s="29" t="s">
        <v>25</v>
      </c>
      <c r="M30" s="29" t="s">
        <v>26</v>
      </c>
      <c r="N30" s="30" t="s">
        <v>137</v>
      </c>
      <c r="O30" s="31">
        <v>47865</v>
      </c>
      <c r="P30" s="32"/>
    </row>
    <row r="31" spans="1:16" ht="17.25" customHeight="1" x14ac:dyDescent="0.25">
      <c r="A31" s="33" t="s">
        <v>86</v>
      </c>
      <c r="B31" s="34" t="s">
        <v>79</v>
      </c>
      <c r="C31" s="34" t="s">
        <v>134</v>
      </c>
      <c r="D31" s="34" t="s">
        <v>30</v>
      </c>
      <c r="E31" s="35" t="s">
        <v>138</v>
      </c>
      <c r="F31" s="34" t="s">
        <v>139</v>
      </c>
      <c r="G31" s="34" t="s">
        <v>140</v>
      </c>
      <c r="H31" s="34">
        <v>964432379</v>
      </c>
      <c r="I31" s="36" t="s">
        <v>25</v>
      </c>
      <c r="J31" s="36" t="s">
        <v>25</v>
      </c>
      <c r="K31" s="36" t="s">
        <v>26</v>
      </c>
      <c r="L31" s="36" t="s">
        <v>25</v>
      </c>
      <c r="M31" s="36" t="s">
        <v>26</v>
      </c>
      <c r="N31" s="37" t="s">
        <v>141</v>
      </c>
      <c r="O31" s="38">
        <v>46752</v>
      </c>
      <c r="P31" s="39"/>
    </row>
    <row r="32" spans="1:16" ht="17.25" customHeight="1" x14ac:dyDescent="0.25">
      <c r="A32" s="33" t="s">
        <v>86</v>
      </c>
      <c r="B32" s="34" t="s">
        <v>79</v>
      </c>
      <c r="C32" s="34" t="s">
        <v>134</v>
      </c>
      <c r="D32" s="34" t="s">
        <v>30</v>
      </c>
      <c r="E32" s="35">
        <v>2040351</v>
      </c>
      <c r="F32" s="34" t="s">
        <v>142</v>
      </c>
      <c r="G32" s="34" t="s">
        <v>84</v>
      </c>
      <c r="H32" s="34">
        <v>925305752</v>
      </c>
      <c r="I32" s="36" t="s">
        <v>25</v>
      </c>
      <c r="J32" s="36" t="s">
        <v>25</v>
      </c>
      <c r="K32" s="36" t="s">
        <v>26</v>
      </c>
      <c r="L32" s="36" t="s">
        <v>25</v>
      </c>
      <c r="M32" s="36" t="s">
        <v>26</v>
      </c>
      <c r="N32" s="37" t="s">
        <v>143</v>
      </c>
      <c r="O32" s="38">
        <v>46749</v>
      </c>
      <c r="P32" s="39"/>
    </row>
    <row r="33" spans="1:16" ht="17.25" customHeight="1" x14ac:dyDescent="0.25">
      <c r="A33" s="33" t="s">
        <v>86</v>
      </c>
      <c r="B33" s="34" t="s">
        <v>79</v>
      </c>
      <c r="C33" s="34" t="s">
        <v>134</v>
      </c>
      <c r="D33" s="34" t="s">
        <v>30</v>
      </c>
      <c r="E33" s="35">
        <v>2090816</v>
      </c>
      <c r="F33" s="34" t="s">
        <v>144</v>
      </c>
      <c r="G33" s="34" t="s">
        <v>145</v>
      </c>
      <c r="H33" s="34">
        <v>933266501</v>
      </c>
      <c r="I33" s="36" t="s">
        <v>25</v>
      </c>
      <c r="J33" s="36" t="s">
        <v>25</v>
      </c>
      <c r="K33" s="36" t="s">
        <v>26</v>
      </c>
      <c r="L33" s="36" t="s">
        <v>25</v>
      </c>
      <c r="M33" s="36" t="s">
        <v>26</v>
      </c>
      <c r="N33" s="37" t="s">
        <v>146</v>
      </c>
      <c r="O33" s="38">
        <v>48045</v>
      </c>
      <c r="P33" s="39"/>
    </row>
    <row r="34" spans="1:16" ht="17.25" customHeight="1" x14ac:dyDescent="0.25">
      <c r="A34" s="33" t="s">
        <v>86</v>
      </c>
      <c r="B34" s="34" t="s">
        <v>79</v>
      </c>
      <c r="C34" s="34" t="s">
        <v>134</v>
      </c>
      <c r="D34" s="34" t="s">
        <v>30</v>
      </c>
      <c r="E34" s="35">
        <v>2020440</v>
      </c>
      <c r="F34" s="34" t="s">
        <v>147</v>
      </c>
      <c r="G34" s="34" t="s">
        <v>148</v>
      </c>
      <c r="H34" s="34">
        <v>919500626</v>
      </c>
      <c r="I34" s="36" t="s">
        <v>25</v>
      </c>
      <c r="J34" s="36" t="s">
        <v>25</v>
      </c>
      <c r="K34" s="36" t="s">
        <v>26</v>
      </c>
      <c r="L34" s="36" t="s">
        <v>25</v>
      </c>
      <c r="M34" s="36" t="s">
        <v>26</v>
      </c>
      <c r="N34" s="37" t="s">
        <v>149</v>
      </c>
      <c r="O34" s="38">
        <v>46754</v>
      </c>
      <c r="P34" s="39"/>
    </row>
    <row r="35" spans="1:16" ht="17.25" customHeight="1" x14ac:dyDescent="0.25">
      <c r="A35" s="33" t="s">
        <v>86</v>
      </c>
      <c r="B35" s="34" t="s">
        <v>79</v>
      </c>
      <c r="C35" s="34" t="s">
        <v>134</v>
      </c>
      <c r="D35" s="34" t="s">
        <v>97</v>
      </c>
      <c r="E35" s="35">
        <v>2160312</v>
      </c>
      <c r="F35" s="34" t="s">
        <v>150</v>
      </c>
      <c r="G35" s="34" t="s">
        <v>45</v>
      </c>
      <c r="H35" s="34">
        <v>968101366</v>
      </c>
      <c r="I35" s="36" t="s">
        <v>25</v>
      </c>
      <c r="J35" s="36" t="s">
        <v>25</v>
      </c>
      <c r="K35" s="36" t="s">
        <v>26</v>
      </c>
      <c r="L35" s="36" t="s">
        <v>25</v>
      </c>
      <c r="M35" s="36" t="s">
        <v>26</v>
      </c>
      <c r="N35" s="37" t="s">
        <v>151</v>
      </c>
      <c r="O35" s="38">
        <v>48051</v>
      </c>
      <c r="P35" s="39"/>
    </row>
    <row r="36" spans="1:16" ht="17.25" customHeight="1" x14ac:dyDescent="0.25">
      <c r="A36" s="33" t="s">
        <v>86</v>
      </c>
      <c r="B36" s="34" t="s">
        <v>79</v>
      </c>
      <c r="C36" s="34" t="s">
        <v>134</v>
      </c>
      <c r="D36" s="34" t="s">
        <v>101</v>
      </c>
      <c r="E36" s="35">
        <v>2180148</v>
      </c>
      <c r="F36" s="34" t="s">
        <v>152</v>
      </c>
      <c r="G36" s="34" t="s">
        <v>153</v>
      </c>
      <c r="H36" s="34">
        <v>918859280</v>
      </c>
      <c r="I36" s="36" t="s">
        <v>26</v>
      </c>
      <c r="J36" s="36" t="s">
        <v>25</v>
      </c>
      <c r="K36" s="36" t="s">
        <v>26</v>
      </c>
      <c r="L36" s="36" t="s">
        <v>25</v>
      </c>
      <c r="M36" s="36" t="s">
        <v>26</v>
      </c>
      <c r="N36" s="37" t="s">
        <v>154</v>
      </c>
      <c r="O36" s="38">
        <v>46750</v>
      </c>
      <c r="P36" s="39" t="s">
        <v>41</v>
      </c>
    </row>
    <row r="37" spans="1:16" ht="17.25" customHeight="1" x14ac:dyDescent="0.25">
      <c r="A37" s="33" t="s">
        <v>86</v>
      </c>
      <c r="B37" s="34" t="s">
        <v>79</v>
      </c>
      <c r="C37" s="34" t="s">
        <v>134</v>
      </c>
      <c r="D37" s="34" t="s">
        <v>101</v>
      </c>
      <c r="E37" s="35" t="s">
        <v>155</v>
      </c>
      <c r="F37" s="34" t="s">
        <v>156</v>
      </c>
      <c r="G37" s="34" t="s">
        <v>157</v>
      </c>
      <c r="H37" s="34">
        <v>913178281</v>
      </c>
      <c r="I37" s="36" t="s">
        <v>25</v>
      </c>
      <c r="J37" s="36" t="s">
        <v>25</v>
      </c>
      <c r="K37" s="36" t="s">
        <v>26</v>
      </c>
      <c r="L37" s="36" t="s">
        <v>25</v>
      </c>
      <c r="M37" s="36" t="s">
        <v>26</v>
      </c>
      <c r="N37" s="37" t="s">
        <v>158</v>
      </c>
      <c r="O37" s="38">
        <v>48046</v>
      </c>
      <c r="P37" s="39"/>
    </row>
    <row r="38" spans="1:16" ht="17.25" customHeight="1" x14ac:dyDescent="0.25">
      <c r="A38" s="40" t="s">
        <v>159</v>
      </c>
      <c r="B38" s="41" t="s">
        <v>160</v>
      </c>
      <c r="C38" s="41" t="s">
        <v>161</v>
      </c>
      <c r="D38" s="41" t="s">
        <v>48</v>
      </c>
      <c r="E38" s="42" t="s">
        <v>162</v>
      </c>
      <c r="F38" s="41" t="s">
        <v>163</v>
      </c>
      <c r="G38" s="41" t="s">
        <v>164</v>
      </c>
      <c r="H38" s="41">
        <v>966146592</v>
      </c>
      <c r="I38" s="43" t="s">
        <v>25</v>
      </c>
      <c r="J38" s="43" t="s">
        <v>25</v>
      </c>
      <c r="K38" s="43" t="s">
        <v>26</v>
      </c>
      <c r="L38" s="43" t="s">
        <v>25</v>
      </c>
      <c r="M38" s="43" t="s">
        <v>26</v>
      </c>
      <c r="N38" s="44" t="s">
        <v>165</v>
      </c>
      <c r="O38" s="45">
        <v>46745</v>
      </c>
      <c r="P38" s="46" t="s">
        <v>41</v>
      </c>
    </row>
    <row r="39" spans="1:16" ht="17.25" customHeight="1" x14ac:dyDescent="0.25">
      <c r="A39" s="40" t="s">
        <v>159</v>
      </c>
      <c r="B39" s="41" t="s">
        <v>160</v>
      </c>
      <c r="C39" s="41" t="s">
        <v>161</v>
      </c>
      <c r="D39" s="41" t="s">
        <v>30</v>
      </c>
      <c r="E39" s="42">
        <v>2060540</v>
      </c>
      <c r="F39" s="41" t="s">
        <v>166</v>
      </c>
      <c r="G39" s="41" t="s">
        <v>167</v>
      </c>
      <c r="H39" s="41"/>
      <c r="I39" s="43" t="s">
        <v>25</v>
      </c>
      <c r="J39" s="43" t="s">
        <v>25</v>
      </c>
      <c r="K39" s="43" t="s">
        <v>26</v>
      </c>
      <c r="L39" s="43" t="s">
        <v>25</v>
      </c>
      <c r="M39" s="43" t="s">
        <v>26</v>
      </c>
      <c r="N39" s="44"/>
      <c r="O39" s="45"/>
      <c r="P39" s="46" t="s">
        <v>168</v>
      </c>
    </row>
    <row r="40" spans="1:16" ht="17.25" x14ac:dyDescent="0.25">
      <c r="A40" s="89" t="s">
        <v>159</v>
      </c>
      <c r="B40" s="89" t="s">
        <v>160</v>
      </c>
      <c r="C40" s="89" t="s">
        <v>161</v>
      </c>
      <c r="D40" s="89" t="s">
        <v>97</v>
      </c>
      <c r="E40" s="93">
        <v>2150076</v>
      </c>
      <c r="F40" s="89" t="s">
        <v>169</v>
      </c>
      <c r="G40" s="89" t="s">
        <v>170</v>
      </c>
      <c r="H40" s="92">
        <v>919194098</v>
      </c>
      <c r="I40" s="43" t="s">
        <v>25</v>
      </c>
      <c r="J40" s="43" t="s">
        <v>25</v>
      </c>
      <c r="K40" s="43" t="s">
        <v>25</v>
      </c>
      <c r="L40" s="43" t="s">
        <v>25</v>
      </c>
      <c r="M40" s="43" t="s">
        <v>25</v>
      </c>
      <c r="N40" s="90"/>
      <c r="O40" s="90"/>
      <c r="P40" s="91"/>
    </row>
    <row r="41" spans="1:16" ht="17.25" customHeight="1" x14ac:dyDescent="0.25">
      <c r="A41" s="5" t="s">
        <v>171</v>
      </c>
      <c r="B41" s="6" t="s">
        <v>160</v>
      </c>
      <c r="C41" s="6" t="s">
        <v>172</v>
      </c>
      <c r="D41" s="6" t="s">
        <v>42</v>
      </c>
      <c r="E41" s="7">
        <v>2150448</v>
      </c>
      <c r="F41" s="6" t="s">
        <v>173</v>
      </c>
      <c r="G41" s="6" t="s">
        <v>174</v>
      </c>
      <c r="H41" s="6">
        <v>927446989</v>
      </c>
      <c r="I41" s="8" t="s">
        <v>25</v>
      </c>
      <c r="J41" s="8" t="s">
        <v>25</v>
      </c>
      <c r="K41" s="8" t="s">
        <v>26</v>
      </c>
      <c r="L41" s="8" t="s">
        <v>25</v>
      </c>
      <c r="M41" s="8" t="s">
        <v>26</v>
      </c>
      <c r="N41" s="9" t="s">
        <v>175</v>
      </c>
      <c r="O41" s="10">
        <v>47862</v>
      </c>
      <c r="P41" s="11"/>
    </row>
    <row r="42" spans="1:16" ht="17.25" customHeight="1" x14ac:dyDescent="0.25">
      <c r="A42" s="40" t="s">
        <v>159</v>
      </c>
      <c r="B42" s="41" t="s">
        <v>160</v>
      </c>
      <c r="C42" s="41" t="s">
        <v>172</v>
      </c>
      <c r="D42" s="41" t="s">
        <v>30</v>
      </c>
      <c r="E42" s="42">
        <v>1991035</v>
      </c>
      <c r="F42" s="41" t="s">
        <v>176</v>
      </c>
      <c r="G42" s="41" t="s">
        <v>177</v>
      </c>
      <c r="H42" s="41">
        <v>963082343</v>
      </c>
      <c r="I42" s="43" t="s">
        <v>25</v>
      </c>
      <c r="J42" s="43" t="s">
        <v>25</v>
      </c>
      <c r="K42" s="43" t="s">
        <v>26</v>
      </c>
      <c r="L42" s="43" t="s">
        <v>25</v>
      </c>
      <c r="M42" s="43" t="s">
        <v>26</v>
      </c>
      <c r="N42" s="44" t="s">
        <v>178</v>
      </c>
      <c r="O42" s="45">
        <v>48044</v>
      </c>
      <c r="P42" s="46"/>
    </row>
    <row r="43" spans="1:16" ht="17.25" customHeight="1" x14ac:dyDescent="0.25">
      <c r="A43" s="40" t="s">
        <v>159</v>
      </c>
      <c r="B43" s="41" t="s">
        <v>160</v>
      </c>
      <c r="C43" s="41" t="s">
        <v>172</v>
      </c>
      <c r="D43" s="41" t="s">
        <v>30</v>
      </c>
      <c r="E43" s="42" t="s">
        <v>179</v>
      </c>
      <c r="F43" s="41" t="s">
        <v>180</v>
      </c>
      <c r="G43" s="41" t="s">
        <v>181</v>
      </c>
      <c r="H43" s="41">
        <v>910296109</v>
      </c>
      <c r="I43" s="43" t="s">
        <v>25</v>
      </c>
      <c r="J43" s="43" t="s">
        <v>25</v>
      </c>
      <c r="K43" s="43" t="s">
        <v>26</v>
      </c>
      <c r="L43" s="43" t="s">
        <v>25</v>
      </c>
      <c r="M43" s="43" t="s">
        <v>26</v>
      </c>
      <c r="N43" s="44" t="s">
        <v>182</v>
      </c>
      <c r="O43" s="45">
        <v>48044</v>
      </c>
      <c r="P43" s="46"/>
    </row>
    <row r="44" spans="1:16" ht="17.25" customHeight="1" x14ac:dyDescent="0.25">
      <c r="A44" s="40" t="s">
        <v>159</v>
      </c>
      <c r="B44" s="41" t="s">
        <v>160</v>
      </c>
      <c r="C44" s="41" t="s">
        <v>172</v>
      </c>
      <c r="D44" s="41" t="s">
        <v>30</v>
      </c>
      <c r="E44" s="42">
        <v>2070922</v>
      </c>
      <c r="F44" s="41" t="s">
        <v>183</v>
      </c>
      <c r="G44" s="41" t="s">
        <v>184</v>
      </c>
      <c r="H44" s="41">
        <v>967377359</v>
      </c>
      <c r="I44" s="43" t="s">
        <v>25</v>
      </c>
      <c r="J44" s="43" t="s">
        <v>25</v>
      </c>
      <c r="K44" s="43" t="s">
        <v>26</v>
      </c>
      <c r="L44" s="43" t="s">
        <v>25</v>
      </c>
      <c r="M44" s="43" t="s">
        <v>26</v>
      </c>
      <c r="N44" s="44" t="s">
        <v>185</v>
      </c>
      <c r="O44" s="45">
        <v>46749</v>
      </c>
      <c r="P44" s="46" t="s">
        <v>41</v>
      </c>
    </row>
    <row r="45" spans="1:16" ht="17.25" customHeight="1" x14ac:dyDescent="0.25">
      <c r="A45" s="40" t="s">
        <v>159</v>
      </c>
      <c r="B45" s="41" t="s">
        <v>160</v>
      </c>
      <c r="C45" s="41" t="s">
        <v>172</v>
      </c>
      <c r="D45" s="41" t="s">
        <v>30</v>
      </c>
      <c r="E45" s="42" t="s">
        <v>186</v>
      </c>
      <c r="F45" s="41" t="s">
        <v>187</v>
      </c>
      <c r="G45" s="41" t="s">
        <v>181</v>
      </c>
      <c r="H45" s="41">
        <v>918116642</v>
      </c>
      <c r="I45" s="43" t="s">
        <v>25</v>
      </c>
      <c r="J45" s="43" t="s">
        <v>25</v>
      </c>
      <c r="K45" s="43" t="s">
        <v>26</v>
      </c>
      <c r="L45" s="43" t="s">
        <v>25</v>
      </c>
      <c r="M45" s="43" t="s">
        <v>26</v>
      </c>
      <c r="N45" s="44" t="s">
        <v>188</v>
      </c>
      <c r="O45" s="45">
        <v>48043</v>
      </c>
      <c r="P45" s="46"/>
    </row>
    <row r="46" spans="1:16" ht="17.25" customHeight="1" x14ac:dyDescent="0.25">
      <c r="A46" s="40" t="s">
        <v>159</v>
      </c>
      <c r="B46" s="41" t="s">
        <v>160</v>
      </c>
      <c r="C46" s="41" t="s">
        <v>172</v>
      </c>
      <c r="D46" s="41" t="s">
        <v>97</v>
      </c>
      <c r="E46" s="42">
        <v>2120476</v>
      </c>
      <c r="F46" s="41" t="s">
        <v>189</v>
      </c>
      <c r="G46" s="41" t="s">
        <v>145</v>
      </c>
      <c r="H46" s="41">
        <v>967155895</v>
      </c>
      <c r="I46" s="43" t="s">
        <v>25</v>
      </c>
      <c r="J46" s="43" t="s">
        <v>25</v>
      </c>
      <c r="K46" s="43" t="s">
        <v>26</v>
      </c>
      <c r="L46" s="43" t="s">
        <v>25</v>
      </c>
      <c r="M46" s="43" t="s">
        <v>26</v>
      </c>
      <c r="N46" s="44" t="s">
        <v>190</v>
      </c>
      <c r="O46" s="45">
        <v>48045</v>
      </c>
      <c r="P46" s="46"/>
    </row>
    <row r="47" spans="1:16" ht="17.25" customHeight="1" x14ac:dyDescent="0.25">
      <c r="A47" s="40" t="s">
        <v>159</v>
      </c>
      <c r="B47" s="41" t="s">
        <v>160</v>
      </c>
      <c r="C47" s="41" t="s">
        <v>172</v>
      </c>
      <c r="D47" s="41" t="s">
        <v>101</v>
      </c>
      <c r="E47" s="42">
        <v>2220821</v>
      </c>
      <c r="F47" s="41" t="s">
        <v>191</v>
      </c>
      <c r="G47" s="41" t="s">
        <v>45</v>
      </c>
      <c r="H47" s="41">
        <v>912453568</v>
      </c>
      <c r="I47" s="43" t="s">
        <v>25</v>
      </c>
      <c r="J47" s="43" t="s">
        <v>25</v>
      </c>
      <c r="K47" s="43" t="s">
        <v>26</v>
      </c>
      <c r="L47" s="43" t="s">
        <v>25</v>
      </c>
      <c r="M47" s="43" t="s">
        <v>26</v>
      </c>
      <c r="N47" s="44" t="s">
        <v>192</v>
      </c>
      <c r="O47" s="45">
        <v>48043</v>
      </c>
      <c r="P47" s="46"/>
    </row>
    <row r="48" spans="1:16" ht="17.25" customHeight="1" x14ac:dyDescent="0.25">
      <c r="A48" s="5" t="s">
        <v>171</v>
      </c>
      <c r="B48" s="6" t="s">
        <v>160</v>
      </c>
      <c r="C48" s="6" t="s">
        <v>193</v>
      </c>
      <c r="D48" s="6" t="s">
        <v>42</v>
      </c>
      <c r="E48" s="7">
        <v>2090305</v>
      </c>
      <c r="F48" s="6" t="s">
        <v>194</v>
      </c>
      <c r="G48" s="6" t="s">
        <v>195</v>
      </c>
      <c r="H48" s="6">
        <v>969469127</v>
      </c>
      <c r="I48" s="8" t="s">
        <v>25</v>
      </c>
      <c r="J48" s="8" t="s">
        <v>25</v>
      </c>
      <c r="K48" s="8" t="s">
        <v>26</v>
      </c>
      <c r="L48" s="8" t="s">
        <v>25</v>
      </c>
      <c r="M48" s="8" t="s">
        <v>26</v>
      </c>
      <c r="N48" s="9" t="s">
        <v>196</v>
      </c>
      <c r="O48" s="10">
        <v>48044</v>
      </c>
      <c r="P48" s="11"/>
    </row>
    <row r="49" spans="1:16" ht="17.25" customHeight="1" x14ac:dyDescent="0.25">
      <c r="A49" s="40" t="s">
        <v>159</v>
      </c>
      <c r="B49" s="41" t="s">
        <v>160</v>
      </c>
      <c r="C49" s="41" t="s">
        <v>193</v>
      </c>
      <c r="D49" s="41" t="s">
        <v>197</v>
      </c>
      <c r="E49" s="42">
        <v>1970446</v>
      </c>
      <c r="F49" s="41" t="s">
        <v>198</v>
      </c>
      <c r="G49" s="41" t="s">
        <v>199</v>
      </c>
      <c r="H49" s="41">
        <v>962361432</v>
      </c>
      <c r="I49" s="43" t="s">
        <v>25</v>
      </c>
      <c r="J49" s="43" t="s">
        <v>25</v>
      </c>
      <c r="K49" s="43" t="s">
        <v>26</v>
      </c>
      <c r="L49" s="43" t="s">
        <v>25</v>
      </c>
      <c r="M49" s="43" t="s">
        <v>26</v>
      </c>
      <c r="N49" s="44" t="s">
        <v>200</v>
      </c>
      <c r="O49" s="45">
        <v>46748</v>
      </c>
      <c r="P49" s="46"/>
    </row>
    <row r="50" spans="1:16" ht="17.25" customHeight="1" x14ac:dyDescent="0.25">
      <c r="A50" s="40" t="s">
        <v>159</v>
      </c>
      <c r="B50" s="41" t="s">
        <v>160</v>
      </c>
      <c r="C50" s="41" t="s">
        <v>193</v>
      </c>
      <c r="D50" s="41" t="s">
        <v>30</v>
      </c>
      <c r="E50" s="42" t="s">
        <v>201</v>
      </c>
      <c r="F50" s="41" t="s">
        <v>202</v>
      </c>
      <c r="G50" s="41" t="s">
        <v>203</v>
      </c>
      <c r="H50" s="41">
        <v>963891293</v>
      </c>
      <c r="I50" s="43" t="s">
        <v>25</v>
      </c>
      <c r="J50" s="43" t="s">
        <v>25</v>
      </c>
      <c r="K50" s="43" t="s">
        <v>26</v>
      </c>
      <c r="L50" s="43" t="s">
        <v>25</v>
      </c>
      <c r="M50" s="43" t="s">
        <v>26</v>
      </c>
      <c r="N50" s="44" t="s">
        <v>204</v>
      </c>
      <c r="O50" s="45">
        <v>46757</v>
      </c>
      <c r="P50" s="46" t="s">
        <v>168</v>
      </c>
    </row>
    <row r="51" spans="1:16" ht="17.25" customHeight="1" x14ac:dyDescent="0.25">
      <c r="A51" s="40" t="s">
        <v>159</v>
      </c>
      <c r="B51" s="41" t="s">
        <v>160</v>
      </c>
      <c r="C51" s="41" t="s">
        <v>193</v>
      </c>
      <c r="D51" s="41" t="s">
        <v>30</v>
      </c>
      <c r="E51" s="42" t="s">
        <v>205</v>
      </c>
      <c r="F51" s="41" t="s">
        <v>206</v>
      </c>
      <c r="G51" s="41" t="s">
        <v>207</v>
      </c>
      <c r="H51" s="41">
        <v>963051870</v>
      </c>
      <c r="I51" s="43" t="s">
        <v>25</v>
      </c>
      <c r="J51" s="43" t="s">
        <v>25</v>
      </c>
      <c r="K51" s="43" t="s">
        <v>26</v>
      </c>
      <c r="L51" s="43" t="s">
        <v>25</v>
      </c>
      <c r="M51" s="43" t="s">
        <v>26</v>
      </c>
      <c r="N51" s="44" t="s">
        <v>208</v>
      </c>
      <c r="O51" s="45">
        <v>48044</v>
      </c>
      <c r="P51" s="46"/>
    </row>
    <row r="52" spans="1:16" ht="17.25" customHeight="1" x14ac:dyDescent="0.25">
      <c r="A52" s="40" t="s">
        <v>159</v>
      </c>
      <c r="B52" s="41" t="s">
        <v>160</v>
      </c>
      <c r="C52" s="41" t="s">
        <v>193</v>
      </c>
      <c r="D52" s="41" t="s">
        <v>30</v>
      </c>
      <c r="E52" s="42">
        <v>2040406</v>
      </c>
      <c r="F52" s="41" t="s">
        <v>209</v>
      </c>
      <c r="G52" s="41" t="s">
        <v>210</v>
      </c>
      <c r="H52" s="41">
        <v>918253991</v>
      </c>
      <c r="I52" s="43" t="s">
        <v>25</v>
      </c>
      <c r="J52" s="43" t="s">
        <v>25</v>
      </c>
      <c r="K52" s="43" t="s">
        <v>26</v>
      </c>
      <c r="L52" s="43" t="s">
        <v>25</v>
      </c>
      <c r="M52" s="43" t="s">
        <v>26</v>
      </c>
      <c r="N52" s="44" t="s">
        <v>211</v>
      </c>
      <c r="O52" s="45">
        <v>48051</v>
      </c>
      <c r="P52" s="46"/>
    </row>
    <row r="53" spans="1:16" ht="17.25" customHeight="1" x14ac:dyDescent="0.25">
      <c r="A53" s="40" t="s">
        <v>159</v>
      </c>
      <c r="B53" s="41" t="s">
        <v>160</v>
      </c>
      <c r="C53" s="41" t="s">
        <v>193</v>
      </c>
      <c r="D53" s="41" t="s">
        <v>30</v>
      </c>
      <c r="E53" s="42" t="s">
        <v>212</v>
      </c>
      <c r="F53" s="41" t="s">
        <v>213</v>
      </c>
      <c r="G53" s="41" t="s">
        <v>214</v>
      </c>
      <c r="H53" s="41">
        <v>962767029</v>
      </c>
      <c r="I53" s="43" t="s">
        <v>25</v>
      </c>
      <c r="J53" s="43" t="s">
        <v>25</v>
      </c>
      <c r="K53" s="43" t="s">
        <v>26</v>
      </c>
      <c r="L53" s="43" t="s">
        <v>25</v>
      </c>
      <c r="M53" s="43" t="s">
        <v>26</v>
      </c>
      <c r="N53" s="44" t="s">
        <v>215</v>
      </c>
      <c r="O53" s="45">
        <v>46800</v>
      </c>
      <c r="P53" s="46"/>
    </row>
    <row r="54" spans="1:16" ht="17.25" customHeight="1" x14ac:dyDescent="0.25">
      <c r="A54" s="40" t="s">
        <v>159</v>
      </c>
      <c r="B54" s="41" t="s">
        <v>160</v>
      </c>
      <c r="C54" s="41" t="s">
        <v>193</v>
      </c>
      <c r="D54" s="41" t="s">
        <v>30</v>
      </c>
      <c r="E54" s="42" t="s">
        <v>216</v>
      </c>
      <c r="F54" s="41" t="s">
        <v>217</v>
      </c>
      <c r="G54" s="41" t="s">
        <v>218</v>
      </c>
      <c r="H54" s="41">
        <v>964622967</v>
      </c>
      <c r="I54" s="43" t="s">
        <v>25</v>
      </c>
      <c r="J54" s="43" t="s">
        <v>25</v>
      </c>
      <c r="K54" s="43" t="s">
        <v>26</v>
      </c>
      <c r="L54" s="43" t="s">
        <v>25</v>
      </c>
      <c r="M54" s="43" t="s">
        <v>26</v>
      </c>
      <c r="N54" s="44" t="s">
        <v>219</v>
      </c>
      <c r="O54" s="45" t="s">
        <v>47</v>
      </c>
      <c r="P54" s="46"/>
    </row>
    <row r="55" spans="1:16" ht="17.25" customHeight="1" x14ac:dyDescent="0.25">
      <c r="A55" s="40" t="s">
        <v>159</v>
      </c>
      <c r="B55" s="41" t="s">
        <v>160</v>
      </c>
      <c r="C55" s="41" t="s">
        <v>193</v>
      </c>
      <c r="D55" s="41" t="s">
        <v>101</v>
      </c>
      <c r="E55" s="42">
        <v>2210169</v>
      </c>
      <c r="F55" s="41" t="s">
        <v>220</v>
      </c>
      <c r="G55" s="41" t="s">
        <v>221</v>
      </c>
      <c r="H55" s="41">
        <v>917164128</v>
      </c>
      <c r="I55" s="43" t="s">
        <v>25</v>
      </c>
      <c r="J55" s="43" t="s">
        <v>25</v>
      </c>
      <c r="K55" s="43" t="s">
        <v>26</v>
      </c>
      <c r="L55" s="43" t="s">
        <v>25</v>
      </c>
      <c r="M55" s="43" t="s">
        <v>26</v>
      </c>
      <c r="N55" s="44" t="s">
        <v>222</v>
      </c>
      <c r="O55" s="45">
        <v>48044</v>
      </c>
      <c r="P55" s="46"/>
    </row>
    <row r="56" spans="1:16" ht="17.25" customHeight="1" x14ac:dyDescent="0.25">
      <c r="A56" s="12" t="s">
        <v>223</v>
      </c>
      <c r="B56" s="13" t="s">
        <v>224</v>
      </c>
      <c r="C56" s="13" t="s">
        <v>225</v>
      </c>
      <c r="D56" s="13" t="s">
        <v>42</v>
      </c>
      <c r="E56" s="14">
        <v>2100420</v>
      </c>
      <c r="F56" s="13" t="s">
        <v>226</v>
      </c>
      <c r="G56" s="13" t="s">
        <v>227</v>
      </c>
      <c r="H56" s="13">
        <v>914116418</v>
      </c>
      <c r="I56" s="15" t="s">
        <v>25</v>
      </c>
      <c r="J56" s="15" t="s">
        <v>25</v>
      </c>
      <c r="K56" s="15" t="s">
        <v>26</v>
      </c>
      <c r="L56" s="15" t="s">
        <v>25</v>
      </c>
      <c r="M56" s="15" t="s">
        <v>26</v>
      </c>
      <c r="N56" s="16" t="s">
        <v>228</v>
      </c>
      <c r="O56" s="17">
        <v>48047</v>
      </c>
      <c r="P56" s="18"/>
    </row>
    <row r="57" spans="1:16" ht="17.25" customHeight="1" x14ac:dyDescent="0.25">
      <c r="A57" s="19" t="s">
        <v>229</v>
      </c>
      <c r="B57" s="20" t="s">
        <v>224</v>
      </c>
      <c r="C57" s="20" t="s">
        <v>225</v>
      </c>
      <c r="D57" s="20" t="s">
        <v>48</v>
      </c>
      <c r="E57" s="21" t="s">
        <v>230</v>
      </c>
      <c r="F57" s="20" t="s">
        <v>231</v>
      </c>
      <c r="G57" s="20" t="s">
        <v>232</v>
      </c>
      <c r="H57" s="20">
        <v>917353149</v>
      </c>
      <c r="I57" s="22" t="s">
        <v>25</v>
      </c>
      <c r="J57" s="22" t="s">
        <v>25</v>
      </c>
      <c r="K57" s="22" t="s">
        <v>26</v>
      </c>
      <c r="L57" s="22" t="s">
        <v>25</v>
      </c>
      <c r="M57" s="22" t="s">
        <v>26</v>
      </c>
      <c r="N57" s="23" t="s">
        <v>233</v>
      </c>
      <c r="O57" s="24">
        <v>46757</v>
      </c>
      <c r="P57" s="25" t="s">
        <v>168</v>
      </c>
    </row>
    <row r="58" spans="1:16" ht="17.25" customHeight="1" x14ac:dyDescent="0.25">
      <c r="A58" s="19" t="s">
        <v>229</v>
      </c>
      <c r="B58" s="20" t="s">
        <v>224</v>
      </c>
      <c r="C58" s="20" t="s">
        <v>225</v>
      </c>
      <c r="D58" s="20" t="s">
        <v>30</v>
      </c>
      <c r="E58" s="21">
        <v>2010798</v>
      </c>
      <c r="F58" s="20" t="s">
        <v>234</v>
      </c>
      <c r="G58" s="20" t="s">
        <v>140</v>
      </c>
      <c r="H58" s="20">
        <v>918770073</v>
      </c>
      <c r="I58" s="22" t="s">
        <v>25</v>
      </c>
      <c r="J58" s="22" t="s">
        <v>25</v>
      </c>
      <c r="K58" s="22" t="s">
        <v>26</v>
      </c>
      <c r="L58" s="22" t="s">
        <v>25</v>
      </c>
      <c r="M58" s="22" t="s">
        <v>26</v>
      </c>
      <c r="N58" s="23" t="s">
        <v>235</v>
      </c>
      <c r="O58" s="24">
        <v>48050</v>
      </c>
      <c r="P58" s="25" t="s">
        <v>41</v>
      </c>
    </row>
    <row r="59" spans="1:16" ht="17.25" customHeight="1" x14ac:dyDescent="0.25">
      <c r="A59" s="19" t="s">
        <v>229</v>
      </c>
      <c r="B59" s="20" t="s">
        <v>224</v>
      </c>
      <c r="C59" s="20" t="s">
        <v>225</v>
      </c>
      <c r="D59" s="20" t="s">
        <v>97</v>
      </c>
      <c r="E59" s="21" t="s">
        <v>236</v>
      </c>
      <c r="F59" s="20" t="s">
        <v>237</v>
      </c>
      <c r="G59" s="20" t="s">
        <v>238</v>
      </c>
      <c r="H59" s="20">
        <v>969592500</v>
      </c>
      <c r="I59" s="22" t="s">
        <v>25</v>
      </c>
      <c r="J59" s="22" t="s">
        <v>25</v>
      </c>
      <c r="K59" s="22" t="s">
        <v>25</v>
      </c>
      <c r="L59" s="22" t="s">
        <v>25</v>
      </c>
      <c r="M59" s="22" t="s">
        <v>25</v>
      </c>
      <c r="N59" s="23"/>
      <c r="O59" s="24"/>
      <c r="P59" s="25"/>
    </row>
    <row r="60" spans="1:16" ht="17.25" customHeight="1" x14ac:dyDescent="0.25">
      <c r="A60" s="19" t="s">
        <v>229</v>
      </c>
      <c r="B60" s="20" t="s">
        <v>224</v>
      </c>
      <c r="C60" s="20" t="s">
        <v>225</v>
      </c>
      <c r="D60" s="20" t="s">
        <v>30</v>
      </c>
      <c r="E60" s="21" t="s">
        <v>239</v>
      </c>
      <c r="F60" s="20" t="s">
        <v>240</v>
      </c>
      <c r="G60" s="20" t="s">
        <v>88</v>
      </c>
      <c r="H60" s="20">
        <v>914767475</v>
      </c>
      <c r="I60" s="22" t="s">
        <v>25</v>
      </c>
      <c r="J60" s="22" t="s">
        <v>25</v>
      </c>
      <c r="K60" s="22" t="s">
        <v>25</v>
      </c>
      <c r="L60" s="22" t="s">
        <v>25</v>
      </c>
      <c r="M60" s="22" t="s">
        <v>25</v>
      </c>
      <c r="N60" s="23"/>
      <c r="O60" s="24"/>
      <c r="P60" s="25"/>
    </row>
    <row r="61" spans="1:16" ht="17.25" customHeight="1" x14ac:dyDescent="0.25">
      <c r="A61" s="19" t="s">
        <v>229</v>
      </c>
      <c r="B61" s="20" t="s">
        <v>224</v>
      </c>
      <c r="C61" s="20" t="s">
        <v>225</v>
      </c>
      <c r="D61" s="20" t="s">
        <v>97</v>
      </c>
      <c r="E61" s="21" t="s">
        <v>241</v>
      </c>
      <c r="F61" s="20" t="s">
        <v>242</v>
      </c>
      <c r="G61" s="20" t="s">
        <v>157</v>
      </c>
      <c r="H61" s="20">
        <v>963729653</v>
      </c>
      <c r="I61" s="22" t="s">
        <v>25</v>
      </c>
      <c r="J61" s="22" t="s">
        <v>25</v>
      </c>
      <c r="K61" s="22" t="s">
        <v>25</v>
      </c>
      <c r="L61" s="22" t="s">
        <v>25</v>
      </c>
      <c r="M61" s="22" t="s">
        <v>25</v>
      </c>
      <c r="N61" s="23"/>
      <c r="O61" s="24"/>
      <c r="P61" s="25"/>
    </row>
    <row r="62" spans="1:16" ht="17.25" customHeight="1" x14ac:dyDescent="0.25">
      <c r="A62" s="19" t="s">
        <v>229</v>
      </c>
      <c r="B62" s="20" t="s">
        <v>224</v>
      </c>
      <c r="C62" s="20" t="s">
        <v>225</v>
      </c>
      <c r="D62" s="20" t="s">
        <v>97</v>
      </c>
      <c r="E62" s="21">
        <v>2150227</v>
      </c>
      <c r="F62" s="20" t="s">
        <v>243</v>
      </c>
      <c r="G62" s="20" t="s">
        <v>244</v>
      </c>
      <c r="H62" s="20">
        <v>910864449</v>
      </c>
      <c r="I62" s="22" t="s">
        <v>25</v>
      </c>
      <c r="J62" s="22" t="s">
        <v>25</v>
      </c>
      <c r="K62" s="22" t="s">
        <v>26</v>
      </c>
      <c r="L62" s="22" t="s">
        <v>25</v>
      </c>
      <c r="M62" s="22" t="s">
        <v>26</v>
      </c>
      <c r="N62" s="23" t="s">
        <v>245</v>
      </c>
      <c r="O62" s="24">
        <v>46751</v>
      </c>
      <c r="P62" s="25"/>
    </row>
    <row r="63" spans="1:16" ht="17.25" customHeight="1" x14ac:dyDescent="0.25">
      <c r="A63" s="19" t="s">
        <v>229</v>
      </c>
      <c r="B63" s="20" t="s">
        <v>224</v>
      </c>
      <c r="C63" s="20" t="s">
        <v>225</v>
      </c>
      <c r="D63" s="20" t="s">
        <v>101</v>
      </c>
      <c r="E63" s="21" t="s">
        <v>246</v>
      </c>
      <c r="F63" s="20" t="s">
        <v>247</v>
      </c>
      <c r="G63" s="20" t="s">
        <v>64</v>
      </c>
      <c r="H63" s="20">
        <v>961664154</v>
      </c>
      <c r="I63" s="22" t="s">
        <v>25</v>
      </c>
      <c r="J63" s="22" t="s">
        <v>25</v>
      </c>
      <c r="K63" s="22" t="s">
        <v>26</v>
      </c>
      <c r="L63" s="22" t="s">
        <v>25</v>
      </c>
      <c r="M63" s="22" t="s">
        <v>26</v>
      </c>
      <c r="N63" s="23" t="s">
        <v>248</v>
      </c>
      <c r="O63" s="24">
        <v>48190</v>
      </c>
      <c r="P63" s="25"/>
    </row>
    <row r="64" spans="1:16" ht="17.25" customHeight="1" x14ac:dyDescent="0.25">
      <c r="A64" s="19" t="s">
        <v>229</v>
      </c>
      <c r="B64" s="20" t="s">
        <v>224</v>
      </c>
      <c r="C64" s="20" t="s">
        <v>225</v>
      </c>
      <c r="D64" s="20" t="s">
        <v>101</v>
      </c>
      <c r="E64" s="21">
        <v>2225091</v>
      </c>
      <c r="F64" s="20" t="s">
        <v>249</v>
      </c>
      <c r="G64" s="20" t="s">
        <v>250</v>
      </c>
      <c r="H64" s="20">
        <v>915196841</v>
      </c>
      <c r="I64" s="22" t="s">
        <v>25</v>
      </c>
      <c r="J64" s="22" t="s">
        <v>25</v>
      </c>
      <c r="K64" s="22" t="s">
        <v>26</v>
      </c>
      <c r="L64" s="22" t="s">
        <v>25</v>
      </c>
      <c r="M64" s="22" t="s">
        <v>26</v>
      </c>
      <c r="N64" s="23" t="s">
        <v>251</v>
      </c>
      <c r="O64" s="24">
        <v>47527</v>
      </c>
      <c r="P64" s="25"/>
    </row>
    <row r="65" spans="1:16" ht="17.25" customHeight="1" x14ac:dyDescent="0.25">
      <c r="A65" s="12" t="s">
        <v>223</v>
      </c>
      <c r="B65" s="13" t="s">
        <v>224</v>
      </c>
      <c r="C65" s="13" t="s">
        <v>252</v>
      </c>
      <c r="D65" s="13" t="s">
        <v>42</v>
      </c>
      <c r="E65" s="14" t="s">
        <v>253</v>
      </c>
      <c r="F65" s="13" t="s">
        <v>254</v>
      </c>
      <c r="G65" s="13" t="s">
        <v>71</v>
      </c>
      <c r="H65" s="13">
        <v>914297805</v>
      </c>
      <c r="I65" s="15" t="s">
        <v>25</v>
      </c>
      <c r="J65" s="15" t="s">
        <v>25</v>
      </c>
      <c r="K65" s="15" t="s">
        <v>26</v>
      </c>
      <c r="L65" s="15" t="s">
        <v>25</v>
      </c>
      <c r="M65" s="15" t="s">
        <v>26</v>
      </c>
      <c r="N65" s="16" t="s">
        <v>255</v>
      </c>
      <c r="O65" s="17" t="s">
        <v>256</v>
      </c>
      <c r="P65" s="18" t="s">
        <v>168</v>
      </c>
    </row>
    <row r="66" spans="1:16" ht="17.25" customHeight="1" x14ac:dyDescent="0.25">
      <c r="A66" s="19" t="s">
        <v>229</v>
      </c>
      <c r="B66" s="20" t="s">
        <v>224</v>
      </c>
      <c r="C66" s="20" t="s">
        <v>252</v>
      </c>
      <c r="D66" s="20" t="s">
        <v>30</v>
      </c>
      <c r="E66" s="21">
        <v>2030055</v>
      </c>
      <c r="F66" s="20" t="s">
        <v>257</v>
      </c>
      <c r="G66" s="20" t="s">
        <v>258</v>
      </c>
      <c r="H66" s="20">
        <v>932802244</v>
      </c>
      <c r="I66" s="22" t="s">
        <v>25</v>
      </c>
      <c r="J66" s="22" t="s">
        <v>25</v>
      </c>
      <c r="K66" s="22" t="s">
        <v>26</v>
      </c>
      <c r="L66" s="22" t="s">
        <v>25</v>
      </c>
      <c r="M66" s="22" t="s">
        <v>26</v>
      </c>
      <c r="N66" s="23" t="s">
        <v>259</v>
      </c>
      <c r="O66" s="24">
        <v>48061</v>
      </c>
      <c r="P66" s="25"/>
    </row>
    <row r="67" spans="1:16" ht="17.25" customHeight="1" x14ac:dyDescent="0.25">
      <c r="A67" s="19" t="s">
        <v>229</v>
      </c>
      <c r="B67" s="20" t="s">
        <v>224</v>
      </c>
      <c r="C67" s="20" t="s">
        <v>252</v>
      </c>
      <c r="D67" s="20" t="s">
        <v>30</v>
      </c>
      <c r="E67" s="21" t="s">
        <v>260</v>
      </c>
      <c r="F67" s="20" t="s">
        <v>261</v>
      </c>
      <c r="G67" s="20" t="s">
        <v>68</v>
      </c>
      <c r="H67" s="20">
        <v>918948928</v>
      </c>
      <c r="I67" s="22" t="s">
        <v>26</v>
      </c>
      <c r="J67" s="22" t="s">
        <v>25</v>
      </c>
      <c r="K67" s="22" t="s">
        <v>26</v>
      </c>
      <c r="L67" s="22" t="s">
        <v>25</v>
      </c>
      <c r="M67" s="22" t="s">
        <v>26</v>
      </c>
      <c r="N67" s="23" t="s">
        <v>262</v>
      </c>
      <c r="O67" s="24">
        <v>48023</v>
      </c>
      <c r="P67" s="25"/>
    </row>
    <row r="68" spans="1:16" ht="17.25" customHeight="1" x14ac:dyDescent="0.25">
      <c r="A68" s="19" t="s">
        <v>229</v>
      </c>
      <c r="B68" s="20" t="s">
        <v>224</v>
      </c>
      <c r="C68" s="20" t="s">
        <v>252</v>
      </c>
      <c r="D68" s="20" t="s">
        <v>97</v>
      </c>
      <c r="E68" s="21">
        <v>2140751</v>
      </c>
      <c r="F68" s="20" t="s">
        <v>263</v>
      </c>
      <c r="G68" s="20" t="s">
        <v>195</v>
      </c>
      <c r="H68" s="20">
        <v>916954543</v>
      </c>
      <c r="I68" s="22" t="s">
        <v>25</v>
      </c>
      <c r="J68" s="22" t="s">
        <v>25</v>
      </c>
      <c r="K68" s="22" t="s">
        <v>26</v>
      </c>
      <c r="L68" s="22" t="s">
        <v>25</v>
      </c>
      <c r="M68" s="22" t="s">
        <v>26</v>
      </c>
      <c r="N68" s="23" t="s">
        <v>264</v>
      </c>
      <c r="O68" s="24">
        <v>48061</v>
      </c>
      <c r="P68" s="25"/>
    </row>
    <row r="69" spans="1:16" ht="17.25" customHeight="1" x14ac:dyDescent="0.25">
      <c r="A69" s="19" t="s">
        <v>229</v>
      </c>
      <c r="B69" s="20" t="s">
        <v>224</v>
      </c>
      <c r="C69" s="20" t="s">
        <v>252</v>
      </c>
      <c r="D69" s="20" t="s">
        <v>97</v>
      </c>
      <c r="E69" s="21">
        <v>2140884</v>
      </c>
      <c r="F69" s="20" t="s">
        <v>265</v>
      </c>
      <c r="G69" s="20" t="s">
        <v>266</v>
      </c>
      <c r="H69" s="20">
        <v>915538692</v>
      </c>
      <c r="I69" s="22" t="s">
        <v>25</v>
      </c>
      <c r="J69" s="22" t="s">
        <v>25</v>
      </c>
      <c r="K69" s="22" t="s">
        <v>26</v>
      </c>
      <c r="L69" s="22" t="s">
        <v>25</v>
      </c>
      <c r="M69" s="22" t="s">
        <v>26</v>
      </c>
      <c r="N69" s="23" t="s">
        <v>267</v>
      </c>
      <c r="O69" s="24">
        <v>48068</v>
      </c>
      <c r="P69" s="25"/>
    </row>
    <row r="70" spans="1:16" ht="17.25" customHeight="1" x14ac:dyDescent="0.25">
      <c r="A70" s="19" t="s">
        <v>229</v>
      </c>
      <c r="B70" s="20" t="s">
        <v>224</v>
      </c>
      <c r="C70" s="20" t="s">
        <v>252</v>
      </c>
      <c r="D70" s="20" t="s">
        <v>97</v>
      </c>
      <c r="E70" s="21">
        <v>2150206</v>
      </c>
      <c r="F70" s="20" t="s">
        <v>268</v>
      </c>
      <c r="G70" s="20" t="s">
        <v>269</v>
      </c>
      <c r="H70" s="20">
        <v>961536537</v>
      </c>
      <c r="I70" s="22" t="s">
        <v>25</v>
      </c>
      <c r="J70" s="22" t="s">
        <v>25</v>
      </c>
      <c r="K70" s="22" t="s">
        <v>26</v>
      </c>
      <c r="L70" s="22" t="s">
        <v>25</v>
      </c>
      <c r="M70" s="22" t="s">
        <v>26</v>
      </c>
      <c r="N70" s="23" t="s">
        <v>270</v>
      </c>
      <c r="O70" s="24">
        <v>47856</v>
      </c>
      <c r="P70" s="25"/>
    </row>
    <row r="71" spans="1:16" ht="17.25" customHeight="1" x14ac:dyDescent="0.25">
      <c r="A71" s="19" t="s">
        <v>229</v>
      </c>
      <c r="B71" s="20" t="s">
        <v>224</v>
      </c>
      <c r="C71" s="20" t="s">
        <v>252</v>
      </c>
      <c r="D71" s="20" t="s">
        <v>101</v>
      </c>
      <c r="E71" s="21">
        <v>2211470</v>
      </c>
      <c r="F71" s="20" t="s">
        <v>271</v>
      </c>
      <c r="G71" s="20" t="s">
        <v>272</v>
      </c>
      <c r="H71" s="20">
        <v>912051389</v>
      </c>
      <c r="I71" s="22" t="s">
        <v>25</v>
      </c>
      <c r="J71" s="22" t="s">
        <v>25</v>
      </c>
      <c r="K71" s="22" t="s">
        <v>26</v>
      </c>
      <c r="L71" s="22" t="s">
        <v>25</v>
      </c>
      <c r="M71" s="22" t="s">
        <v>26</v>
      </c>
      <c r="N71" s="23" t="s">
        <v>273</v>
      </c>
      <c r="O71" s="24">
        <v>48053</v>
      </c>
      <c r="P71" s="25"/>
    </row>
    <row r="72" spans="1:16" ht="17.25" customHeight="1" x14ac:dyDescent="0.25">
      <c r="A72" s="12" t="s">
        <v>223</v>
      </c>
      <c r="B72" s="13" t="s">
        <v>224</v>
      </c>
      <c r="C72" s="13" t="s">
        <v>274</v>
      </c>
      <c r="D72" s="13" t="s">
        <v>275</v>
      </c>
      <c r="E72" s="14" t="s">
        <v>276</v>
      </c>
      <c r="F72" s="13" t="s">
        <v>277</v>
      </c>
      <c r="G72" s="13" t="s">
        <v>221</v>
      </c>
      <c r="H72" s="13">
        <v>917467681</v>
      </c>
      <c r="I72" s="15" t="s">
        <v>25</v>
      </c>
      <c r="J72" s="15" t="s">
        <v>25</v>
      </c>
      <c r="K72" s="15" t="s">
        <v>26</v>
      </c>
      <c r="L72" s="15" t="s">
        <v>25</v>
      </c>
      <c r="M72" s="15" t="s">
        <v>26</v>
      </c>
      <c r="N72" s="16" t="s">
        <v>278</v>
      </c>
      <c r="O72" s="17" t="s">
        <v>279</v>
      </c>
      <c r="P72" s="18"/>
    </row>
    <row r="73" spans="1:16" ht="17.25" customHeight="1" x14ac:dyDescent="0.25">
      <c r="A73" s="19" t="s">
        <v>229</v>
      </c>
      <c r="B73" s="20" t="s">
        <v>224</v>
      </c>
      <c r="C73" s="20" t="s">
        <v>274</v>
      </c>
      <c r="D73" s="20" t="s">
        <v>30</v>
      </c>
      <c r="E73" s="21" t="s">
        <v>280</v>
      </c>
      <c r="F73" s="20" t="s">
        <v>281</v>
      </c>
      <c r="G73" s="20" t="s">
        <v>232</v>
      </c>
      <c r="H73" s="20">
        <v>965414976</v>
      </c>
      <c r="I73" s="22" t="s">
        <v>26</v>
      </c>
      <c r="J73" s="22" t="s">
        <v>25</v>
      </c>
      <c r="K73" s="22" t="s">
        <v>26</v>
      </c>
      <c r="L73" s="22" t="s">
        <v>25</v>
      </c>
      <c r="M73" s="22" t="s">
        <v>26</v>
      </c>
      <c r="N73" s="23" t="s">
        <v>282</v>
      </c>
      <c r="O73" s="24" t="s">
        <v>283</v>
      </c>
      <c r="P73" s="25"/>
    </row>
    <row r="74" spans="1:16" ht="17.25" customHeight="1" x14ac:dyDescent="0.25">
      <c r="A74" s="19" t="s">
        <v>229</v>
      </c>
      <c r="B74" s="20" t="s">
        <v>224</v>
      </c>
      <c r="C74" s="20" t="s">
        <v>274</v>
      </c>
      <c r="D74" s="20" t="s">
        <v>30</v>
      </c>
      <c r="E74" s="21">
        <v>2060261</v>
      </c>
      <c r="F74" s="20" t="s">
        <v>284</v>
      </c>
      <c r="G74" s="20" t="s">
        <v>285</v>
      </c>
      <c r="H74" s="20">
        <v>965537424</v>
      </c>
      <c r="I74" s="22" t="s">
        <v>25</v>
      </c>
      <c r="J74" s="22" t="s">
        <v>25</v>
      </c>
      <c r="K74" s="22" t="s">
        <v>26</v>
      </c>
      <c r="L74" s="22" t="s">
        <v>25</v>
      </c>
      <c r="M74" s="22" t="s">
        <v>26</v>
      </c>
      <c r="N74" s="23" t="s">
        <v>286</v>
      </c>
      <c r="O74" s="24">
        <v>48046</v>
      </c>
      <c r="P74" s="25" t="s">
        <v>41</v>
      </c>
    </row>
    <row r="75" spans="1:16" ht="17.25" customHeight="1" x14ac:dyDescent="0.25">
      <c r="A75" s="19" t="s">
        <v>229</v>
      </c>
      <c r="B75" s="20" t="s">
        <v>224</v>
      </c>
      <c r="C75" s="20" t="s">
        <v>274</v>
      </c>
      <c r="D75" s="20" t="s">
        <v>101</v>
      </c>
      <c r="E75" s="21">
        <v>2190314</v>
      </c>
      <c r="F75" s="20" t="s">
        <v>287</v>
      </c>
      <c r="G75" s="20" t="s">
        <v>64</v>
      </c>
      <c r="H75" s="20">
        <v>914628127</v>
      </c>
      <c r="I75" s="22" t="s">
        <v>25</v>
      </c>
      <c r="J75" s="22" t="s">
        <v>25</v>
      </c>
      <c r="K75" s="22" t="s">
        <v>26</v>
      </c>
      <c r="L75" s="22" t="s">
        <v>25</v>
      </c>
      <c r="M75" s="22" t="s">
        <v>26</v>
      </c>
      <c r="N75" s="23" t="s">
        <v>288</v>
      </c>
      <c r="O75" s="31">
        <v>48044</v>
      </c>
      <c r="P75" s="25" t="s">
        <v>41</v>
      </c>
    </row>
    <row r="76" spans="1:16" ht="17.25" customHeight="1" x14ac:dyDescent="0.25">
      <c r="A76" s="26" t="s">
        <v>289</v>
      </c>
      <c r="B76" s="27" t="s">
        <v>290</v>
      </c>
      <c r="C76" s="27" t="s">
        <v>291</v>
      </c>
      <c r="D76" s="27" t="s">
        <v>275</v>
      </c>
      <c r="E76" s="28">
        <v>2160072</v>
      </c>
      <c r="F76" s="27" t="s">
        <v>292</v>
      </c>
      <c r="G76" s="27" t="s">
        <v>293</v>
      </c>
      <c r="H76" s="27">
        <v>918321702</v>
      </c>
      <c r="I76" s="29" t="s">
        <v>25</v>
      </c>
      <c r="J76" s="29" t="s">
        <v>25</v>
      </c>
      <c r="K76" s="29" t="s">
        <v>26</v>
      </c>
      <c r="L76" s="29" t="s">
        <v>25</v>
      </c>
      <c r="M76" s="29" t="s">
        <v>26</v>
      </c>
      <c r="N76" s="30" t="s">
        <v>294</v>
      </c>
      <c r="O76" s="31">
        <v>48044</v>
      </c>
      <c r="P76" s="32"/>
    </row>
    <row r="77" spans="1:16" ht="17.25" customHeight="1" x14ac:dyDescent="0.25">
      <c r="A77" s="33" t="s">
        <v>295</v>
      </c>
      <c r="B77" s="34" t="s">
        <v>290</v>
      </c>
      <c r="C77" s="34" t="s">
        <v>291</v>
      </c>
      <c r="D77" s="34" t="s">
        <v>97</v>
      </c>
      <c r="E77" s="35" t="s">
        <v>296</v>
      </c>
      <c r="F77" s="34" t="s">
        <v>297</v>
      </c>
      <c r="G77" s="34" t="s">
        <v>298</v>
      </c>
      <c r="H77" s="34">
        <v>969352421</v>
      </c>
      <c r="I77" s="36" t="s">
        <v>26</v>
      </c>
      <c r="J77" s="36" t="s">
        <v>25</v>
      </c>
      <c r="K77" s="36" t="s">
        <v>26</v>
      </c>
      <c r="L77" s="36" t="s">
        <v>25</v>
      </c>
      <c r="M77" s="36" t="s">
        <v>26</v>
      </c>
      <c r="N77" s="37" t="s">
        <v>299</v>
      </c>
      <c r="O77" s="38">
        <v>47722</v>
      </c>
      <c r="P77" s="39"/>
    </row>
    <row r="78" spans="1:16" ht="17.25" customHeight="1" x14ac:dyDescent="0.25">
      <c r="A78" s="33" t="s">
        <v>295</v>
      </c>
      <c r="B78" s="34" t="s">
        <v>290</v>
      </c>
      <c r="C78" s="34" t="s">
        <v>291</v>
      </c>
      <c r="D78" s="34" t="s">
        <v>97</v>
      </c>
      <c r="E78" s="35" t="s">
        <v>300</v>
      </c>
      <c r="F78" s="34" t="s">
        <v>301</v>
      </c>
      <c r="G78" s="34" t="s">
        <v>302</v>
      </c>
      <c r="H78" s="34">
        <v>937626453</v>
      </c>
      <c r="I78" s="36" t="s">
        <v>25</v>
      </c>
      <c r="J78" s="36" t="s">
        <v>25</v>
      </c>
      <c r="K78" s="36" t="s">
        <v>26</v>
      </c>
      <c r="L78" s="36" t="s">
        <v>25</v>
      </c>
      <c r="M78" s="36" t="s">
        <v>26</v>
      </c>
      <c r="N78" s="37" t="s">
        <v>303</v>
      </c>
      <c r="O78" s="38">
        <v>46727</v>
      </c>
      <c r="P78" s="39" t="s">
        <v>41</v>
      </c>
    </row>
    <row r="79" spans="1:16" ht="17.25" customHeight="1" x14ac:dyDescent="0.25">
      <c r="A79" s="33" t="s">
        <v>295</v>
      </c>
      <c r="B79" s="34" t="s">
        <v>290</v>
      </c>
      <c r="C79" s="34" t="s">
        <v>304</v>
      </c>
      <c r="D79" s="34" t="s">
        <v>30</v>
      </c>
      <c r="E79" s="35" t="s">
        <v>305</v>
      </c>
      <c r="F79" s="34" t="s">
        <v>306</v>
      </c>
      <c r="G79" s="34" t="s">
        <v>307</v>
      </c>
      <c r="H79" s="34">
        <v>917281461</v>
      </c>
      <c r="I79" s="36" t="s">
        <v>25</v>
      </c>
      <c r="J79" s="36" t="s">
        <v>25</v>
      </c>
      <c r="K79" s="36" t="s">
        <v>26</v>
      </c>
      <c r="L79" s="36" t="s">
        <v>25</v>
      </c>
      <c r="M79" s="36" t="s">
        <v>26</v>
      </c>
      <c r="N79" s="37" t="s">
        <v>308</v>
      </c>
      <c r="O79" s="38">
        <v>46732</v>
      </c>
      <c r="P79" s="39"/>
    </row>
    <row r="80" spans="1:16" ht="17.25" customHeight="1" x14ac:dyDescent="0.25">
      <c r="A80" s="33" t="s">
        <v>295</v>
      </c>
      <c r="B80" s="34" t="s">
        <v>290</v>
      </c>
      <c r="C80" s="34" t="s">
        <v>304</v>
      </c>
      <c r="D80" s="34" t="s">
        <v>97</v>
      </c>
      <c r="E80" s="35" t="s">
        <v>309</v>
      </c>
      <c r="F80" s="34" t="s">
        <v>310</v>
      </c>
      <c r="G80" s="34" t="s">
        <v>153</v>
      </c>
      <c r="H80" s="34">
        <v>911521375</v>
      </c>
      <c r="I80" s="36" t="s">
        <v>25</v>
      </c>
      <c r="J80" s="36" t="s">
        <v>25</v>
      </c>
      <c r="K80" s="36" t="s">
        <v>26</v>
      </c>
      <c r="L80" s="36" t="s">
        <v>25</v>
      </c>
      <c r="M80" s="36" t="s">
        <v>26</v>
      </c>
      <c r="N80" s="37" t="s">
        <v>311</v>
      </c>
      <c r="O80" s="38">
        <v>46750</v>
      </c>
      <c r="P80" s="39"/>
    </row>
    <row r="81" spans="1:16" ht="17.25" customHeight="1" x14ac:dyDescent="0.25">
      <c r="A81" s="47" t="s">
        <v>295</v>
      </c>
      <c r="B81" s="48" t="s">
        <v>290</v>
      </c>
      <c r="C81" s="48" t="s">
        <v>312</v>
      </c>
      <c r="D81" s="48" t="s">
        <v>30</v>
      </c>
      <c r="E81" s="49" t="s">
        <v>313</v>
      </c>
      <c r="F81" s="48" t="s">
        <v>314</v>
      </c>
      <c r="G81" s="48" t="s">
        <v>315</v>
      </c>
      <c r="H81" s="48">
        <v>966628006</v>
      </c>
      <c r="I81" s="50" t="s">
        <v>25</v>
      </c>
      <c r="J81" s="50" t="s">
        <v>25</v>
      </c>
      <c r="K81" s="50" t="s">
        <v>26</v>
      </c>
      <c r="L81" s="50" t="s">
        <v>25</v>
      </c>
      <c r="M81" s="50" t="s">
        <v>26</v>
      </c>
      <c r="N81" s="51" t="s">
        <v>316</v>
      </c>
      <c r="O81" s="52">
        <v>46726</v>
      </c>
      <c r="P81" s="53" t="s">
        <v>41</v>
      </c>
    </row>
  </sheetData>
  <mergeCells count="2">
    <mergeCell ref="A1:P1"/>
    <mergeCell ref="A2:P2"/>
  </mergeCells>
  <conditionalFormatting sqref="I4:M81">
    <cfRule type="cellIs" dxfId="2" priority="2" operator="equal">
      <formula>"☑"</formula>
    </cfRule>
  </conditionalFormatting>
  <dataValidations count="1">
    <dataValidation type="list" sqref="O44:O81 O4:O36 O38:O39 O41:O42 I4:M81">
      <formula1>"☐,☑"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showGridLines="0" zoomScaleNormal="100" workbookViewId="0">
      <selection activeCell="B8" sqref="B8"/>
    </sheetView>
  </sheetViews>
  <sheetFormatPr defaultColWidth="8.7109375" defaultRowHeight="15" x14ac:dyDescent="0.25"/>
  <cols>
    <col min="1" max="1" width="30" customWidth="1"/>
    <col min="2" max="2" width="14" customWidth="1"/>
    <col min="3" max="3" width="11" customWidth="1"/>
    <col min="4" max="4" width="16" customWidth="1"/>
    <col min="5" max="5" width="11" customWidth="1"/>
    <col min="6" max="6" width="9" customWidth="1"/>
    <col min="7" max="7" width="22" customWidth="1"/>
    <col min="8" max="8" width="9" customWidth="1"/>
    <col min="9" max="9" width="12" customWidth="1"/>
    <col min="10" max="10" width="30" customWidth="1"/>
    <col min="11" max="11" width="9" customWidth="1"/>
  </cols>
  <sheetData>
    <row r="1" spans="1:8" ht="25.5" customHeight="1" x14ac:dyDescent="0.25">
      <c r="A1" s="94" t="s">
        <v>317</v>
      </c>
      <c r="B1" s="94"/>
      <c r="C1" s="94"/>
      <c r="D1" s="94"/>
      <c r="E1" s="94"/>
      <c r="F1" s="94"/>
      <c r="G1" s="94"/>
      <c r="H1" s="94"/>
    </row>
    <row r="3" spans="1:8" x14ac:dyDescent="0.25">
      <c r="A3" s="54" t="s">
        <v>318</v>
      </c>
      <c r="D3" s="54" t="s">
        <v>319</v>
      </c>
      <c r="G3" s="54" t="s">
        <v>320</v>
      </c>
    </row>
    <row r="4" spans="1:8" x14ac:dyDescent="0.25">
      <c r="A4" s="55" t="s">
        <v>321</v>
      </c>
      <c r="B4" s="55" t="s">
        <v>322</v>
      </c>
      <c r="C4" s="55"/>
      <c r="D4" s="55" t="s">
        <v>5</v>
      </c>
      <c r="E4" s="55" t="s">
        <v>322</v>
      </c>
      <c r="G4" s="56" t="s">
        <v>323</v>
      </c>
      <c r="H4" s="56" t="s">
        <v>324</v>
      </c>
    </row>
    <row r="5" spans="1:8" x14ac:dyDescent="0.25">
      <c r="A5" s="57" t="s">
        <v>19</v>
      </c>
      <c r="B5" s="58">
        <f>COUNTIF('Capacidade UAS-CUAS'!$B$4:$B$81,"Comando / SOI")+COUNTIF('Capacidade UAS-CUAS'!$B$4:$B$81,"Secretaria GIOP")+COUNTIF('Capacidade UAS-CUAS'!$B$4:$B$81,"SOI")</f>
        <v>12</v>
      </c>
      <c r="D5" s="57" t="s">
        <v>21</v>
      </c>
      <c r="E5" s="58">
        <f>COUNTIF('Capacidade UAS-CUAS'!$D$4:$D$81,"Tenente")</f>
        <v>1</v>
      </c>
      <c r="G5" s="57" t="s">
        <v>325</v>
      </c>
      <c r="H5" s="58">
        <f>COUNTIF('Capacidade UAS-CUAS'!$A$4:$A$81,"Coordenação")</f>
        <v>1</v>
      </c>
    </row>
    <row r="6" spans="1:8" x14ac:dyDescent="0.25">
      <c r="A6" s="57" t="s">
        <v>79</v>
      </c>
      <c r="B6" s="58">
        <f>COUNTIF('Capacidade UAS-CUAS'!$B$4:$B$81,"1.ª Companhia")</f>
        <v>22</v>
      </c>
      <c r="D6" s="57" t="s">
        <v>37</v>
      </c>
      <c r="E6" s="58">
        <f>COUNTIF('Capacidade UAS-CUAS'!$D$4:$D$81,"Sarg. Ch")</f>
        <v>1</v>
      </c>
      <c r="G6" s="57" t="s">
        <v>326</v>
      </c>
      <c r="H6" s="58">
        <f>COUNTIF('Capacidade UAS-CUAS'!$D$4:$D$81,"Sarg. Ch")+COUNTIF('Capacidade UAS-CUAS'!$D$4:$D$81,"Sarg. Aj")+COUNTIF('Capacidade UAS-CUAS'!$D$4:$D$81,"1º Sarg.")+COUNTIF('Capacidade UAS-CUAS'!$D$4:$D$81,"2º Sarg.")</f>
        <v>11</v>
      </c>
    </row>
    <row r="7" spans="1:8" x14ac:dyDescent="0.25">
      <c r="A7" s="57" t="s">
        <v>160</v>
      </c>
      <c r="B7" s="58">
        <f>COUNTIF('Capacidade UAS-CUAS'!$B$4:$B$81,"2.ª Companhia")</f>
        <v>18</v>
      </c>
      <c r="D7" s="57" t="s">
        <v>81</v>
      </c>
      <c r="E7" s="58">
        <f>COUNTIF('Capacidade UAS-CUAS'!$D$4:$D$81,"Sarg. Aj")</f>
        <v>2</v>
      </c>
      <c r="G7" s="57" t="s">
        <v>327</v>
      </c>
      <c r="H7" s="58">
        <f>COUNTA('Capacidade UAS-CUAS'!$D$4:$D$81)-H5-H6</f>
        <v>66</v>
      </c>
    </row>
    <row r="8" spans="1:8" x14ac:dyDescent="0.25">
      <c r="A8" s="57" t="s">
        <v>224</v>
      </c>
      <c r="B8" s="58">
        <f>COUNTIF('Capacidade UAS-CUAS'!$B$4:$B$81,"3.ª Companhia")</f>
        <v>20</v>
      </c>
      <c r="D8" s="57" t="s">
        <v>42</v>
      </c>
      <c r="E8" s="58">
        <f>COUNTIF('Capacidade UAS-CUAS'!$D$4:$D$81,"1º Sarg.")</f>
        <v>6</v>
      </c>
    </row>
    <row r="9" spans="1:8" x14ac:dyDescent="0.25">
      <c r="A9" s="57" t="s">
        <v>290</v>
      </c>
      <c r="B9" s="58">
        <f>COUNTIF('Capacidade UAS-CUAS'!$B$4:$B$81,"4.ª Companhia")</f>
        <v>6</v>
      </c>
      <c r="D9" s="57" t="s">
        <v>275</v>
      </c>
      <c r="E9" s="58">
        <f>COUNTIF('Capacidade UAS-CUAS'!$D$4:$D$81,"2º Sarg.")</f>
        <v>2</v>
      </c>
    </row>
    <row r="10" spans="1:8" x14ac:dyDescent="0.25">
      <c r="A10" s="59" t="s">
        <v>328</v>
      </c>
      <c r="B10" s="60">
        <f>SUM(B5:B9)</f>
        <v>78</v>
      </c>
      <c r="D10" s="57" t="s">
        <v>197</v>
      </c>
      <c r="E10" s="58">
        <f>COUNTIF('Capacidade UAS-CUAS'!$D$4:$D$81,"Cabo Mor")</f>
        <v>1</v>
      </c>
    </row>
    <row r="11" spans="1:8" x14ac:dyDescent="0.25">
      <c r="D11" s="57" t="s">
        <v>48</v>
      </c>
      <c r="E11" s="58">
        <f>COUNTIF('Capacidade UAS-CUAS'!$D$4:$D$81,"Cabo Ch")</f>
        <v>5</v>
      </c>
    </row>
    <row r="12" spans="1:8" x14ac:dyDescent="0.25">
      <c r="D12" s="57" t="s">
        <v>30</v>
      </c>
      <c r="E12" s="58">
        <f>COUNTIF('Capacidade UAS-CUAS'!$D$4:$D$81,"Cabo")</f>
        <v>36</v>
      </c>
    </row>
    <row r="13" spans="1:8" x14ac:dyDescent="0.25">
      <c r="D13" s="57" t="s">
        <v>97</v>
      </c>
      <c r="E13" s="58">
        <f>COUNTIF('Capacidade UAS-CUAS'!$D$4:$D$81,"Grd Pr")</f>
        <v>15</v>
      </c>
    </row>
    <row r="14" spans="1:8" x14ac:dyDescent="0.25">
      <c r="D14" s="57" t="s">
        <v>101</v>
      </c>
      <c r="E14" s="58">
        <f>COUNTIF('Capacidade UAS-CUAS'!$D$4:$D$81,"Grd")</f>
        <v>9</v>
      </c>
    </row>
    <row r="15" spans="1:8" x14ac:dyDescent="0.25">
      <c r="D15" s="59" t="s">
        <v>328</v>
      </c>
      <c r="E15" s="60">
        <f>SUM(E5:E14)</f>
        <v>78</v>
      </c>
    </row>
    <row r="18" spans="1:3" x14ac:dyDescent="0.25">
      <c r="A18" s="54" t="s">
        <v>329</v>
      </c>
    </row>
    <row r="19" spans="1:3" x14ac:dyDescent="0.25">
      <c r="A19" s="56" t="s">
        <v>330</v>
      </c>
      <c r="B19" s="56" t="s">
        <v>331</v>
      </c>
      <c r="C19" s="56" t="s">
        <v>332</v>
      </c>
    </row>
    <row r="20" spans="1:3" x14ac:dyDescent="0.25">
      <c r="A20" s="57" t="s">
        <v>10</v>
      </c>
      <c r="B20" s="58">
        <f>COUNTIF('Capacidade UAS-CUAS'!$I$4:$I$81,"☑")</f>
        <v>12</v>
      </c>
      <c r="C20" s="61">
        <f>B20/COUNTA('Capacidade UAS-CUAS'!$E$4:$E$81)</f>
        <v>0.15384615384615385</v>
      </c>
    </row>
    <row r="21" spans="1:3" x14ac:dyDescent="0.25">
      <c r="A21" s="57" t="s">
        <v>11</v>
      </c>
      <c r="B21" s="58">
        <f>COUNTIF('Capacidade UAS-CUAS'!$J$4:$J$81,"☑")</f>
        <v>7</v>
      </c>
      <c r="C21" s="61">
        <f>B21/COUNTA('Capacidade UAS-CUAS'!$E$4:$E$81)</f>
        <v>8.9743589743589744E-2</v>
      </c>
    </row>
    <row r="22" spans="1:3" x14ac:dyDescent="0.25">
      <c r="A22" s="57" t="s">
        <v>12</v>
      </c>
      <c r="B22" s="58">
        <f>COUNTIF('Capacidade UAS-CUAS'!$K$4:$K$81,"☑")</f>
        <v>74</v>
      </c>
      <c r="C22" s="61">
        <f>B22/COUNTA('Capacidade UAS-CUAS'!$E$4:$E$81)</f>
        <v>0.94871794871794868</v>
      </c>
    </row>
    <row r="23" spans="1:3" x14ac:dyDescent="0.25">
      <c r="A23" s="57" t="s">
        <v>13</v>
      </c>
      <c r="B23" s="58">
        <f>COUNTIF('Capacidade UAS-CUAS'!$L$4:$L$81,"☑")</f>
        <v>2</v>
      </c>
      <c r="C23" s="61">
        <f>B23/COUNTA('Capacidade UAS-CUAS'!$E$4:$E$81)</f>
        <v>2.564102564102564E-2</v>
      </c>
    </row>
    <row r="24" spans="1:3" x14ac:dyDescent="0.25">
      <c r="A24" s="57" t="s">
        <v>14</v>
      </c>
      <c r="B24" s="58">
        <f>COUNTIF('Capacidade UAS-CUAS'!$M$4:$M$81,"☑")</f>
        <v>74</v>
      </c>
      <c r="C24" s="61">
        <f>B24/COUNTA('Capacidade UAS-CUAS'!$E$4:$E$81)</f>
        <v>0.94871794871794868</v>
      </c>
    </row>
    <row r="38" spans="6:11" x14ac:dyDescent="0.25">
      <c r="F38" s="96" t="s">
        <v>333</v>
      </c>
      <c r="G38" s="96"/>
      <c r="H38" s="96"/>
      <c r="I38" s="96"/>
      <c r="J38" s="96"/>
      <c r="K38" s="96"/>
    </row>
    <row r="39" spans="6:11" x14ac:dyDescent="0.25">
      <c r="F39" s="62" t="s">
        <v>334</v>
      </c>
      <c r="G39" s="62" t="s">
        <v>5</v>
      </c>
      <c r="H39" s="62" t="s">
        <v>6</v>
      </c>
      <c r="I39" s="62" t="s">
        <v>335</v>
      </c>
      <c r="J39" s="62" t="s">
        <v>3</v>
      </c>
      <c r="K39" s="62" t="s">
        <v>336</v>
      </c>
    </row>
    <row r="40" spans="6:11" x14ac:dyDescent="0.25">
      <c r="F40" s="63">
        <v>1</v>
      </c>
      <c r="G40" s="64" t="s">
        <v>37</v>
      </c>
      <c r="H40" s="63" t="s">
        <v>337</v>
      </c>
      <c r="I40" s="64" t="s">
        <v>38</v>
      </c>
      <c r="J40" s="64" t="s">
        <v>36</v>
      </c>
      <c r="K40" s="63">
        <v>268</v>
      </c>
    </row>
    <row r="41" spans="6:11" x14ac:dyDescent="0.25">
      <c r="F41" s="14">
        <v>2</v>
      </c>
      <c r="G41" s="13" t="s">
        <v>81</v>
      </c>
      <c r="H41" s="14" t="s">
        <v>82</v>
      </c>
      <c r="I41" s="13" t="s">
        <v>83</v>
      </c>
      <c r="J41" s="13" t="s">
        <v>79</v>
      </c>
      <c r="K41" s="14">
        <v>1337</v>
      </c>
    </row>
    <row r="42" spans="6:11" x14ac:dyDescent="0.25">
      <c r="F42" s="14">
        <v>3</v>
      </c>
      <c r="G42" s="13" t="s">
        <v>81</v>
      </c>
      <c r="H42" s="14" t="s">
        <v>106</v>
      </c>
      <c r="I42" s="13" t="s">
        <v>107</v>
      </c>
      <c r="J42" s="13" t="s">
        <v>79</v>
      </c>
      <c r="K42" s="14">
        <v>1546</v>
      </c>
    </row>
    <row r="43" spans="6:11" x14ac:dyDescent="0.25">
      <c r="F43" s="63">
        <v>4</v>
      </c>
      <c r="G43" s="64" t="s">
        <v>42</v>
      </c>
      <c r="H43" s="63" t="s">
        <v>43</v>
      </c>
      <c r="I43" s="64" t="s">
        <v>44</v>
      </c>
      <c r="J43" s="64" t="s">
        <v>36</v>
      </c>
      <c r="K43" s="63">
        <v>1627</v>
      </c>
    </row>
    <row r="44" spans="6:11" x14ac:dyDescent="0.25">
      <c r="F44" s="14">
        <v>5</v>
      </c>
      <c r="G44" s="13" t="s">
        <v>42</v>
      </c>
      <c r="H44" s="14" t="s">
        <v>338</v>
      </c>
      <c r="I44" s="13" t="s">
        <v>135</v>
      </c>
      <c r="J44" s="13" t="s">
        <v>79</v>
      </c>
      <c r="K44" s="14">
        <v>1657</v>
      </c>
    </row>
    <row r="45" spans="6:11" x14ac:dyDescent="0.25">
      <c r="F45" s="14">
        <v>6</v>
      </c>
      <c r="G45" s="13" t="s">
        <v>42</v>
      </c>
      <c r="H45" s="14" t="s">
        <v>339</v>
      </c>
      <c r="I45" s="13" t="s">
        <v>226</v>
      </c>
      <c r="J45" s="13" t="s">
        <v>224</v>
      </c>
      <c r="K45" s="14">
        <v>1899</v>
      </c>
    </row>
    <row r="46" spans="6:11" x14ac:dyDescent="0.25">
      <c r="F46" s="14">
        <v>7</v>
      </c>
      <c r="G46" s="13" t="s">
        <v>42</v>
      </c>
      <c r="H46" s="14" t="s">
        <v>340</v>
      </c>
      <c r="I46" s="13" t="s">
        <v>173</v>
      </c>
      <c r="J46" s="13" t="s">
        <v>160</v>
      </c>
      <c r="K46" s="14">
        <v>1906</v>
      </c>
    </row>
    <row r="47" spans="6:11" x14ac:dyDescent="0.25">
      <c r="F47" s="14">
        <v>8</v>
      </c>
      <c r="G47" s="13" t="s">
        <v>42</v>
      </c>
      <c r="H47" s="14" t="s">
        <v>253</v>
      </c>
      <c r="I47" s="13" t="s">
        <v>254</v>
      </c>
      <c r="J47" s="13" t="s">
        <v>224</v>
      </c>
      <c r="K47" s="14">
        <v>1908</v>
      </c>
    </row>
    <row r="48" spans="6:11" x14ac:dyDescent="0.25">
      <c r="F48" s="14">
        <v>9</v>
      </c>
      <c r="G48" s="13" t="s">
        <v>42</v>
      </c>
      <c r="H48" s="14" t="s">
        <v>341</v>
      </c>
      <c r="I48" s="13" t="s">
        <v>194</v>
      </c>
      <c r="J48" s="13" t="s">
        <v>160</v>
      </c>
      <c r="K48" s="14">
        <v>1984</v>
      </c>
    </row>
    <row r="49" spans="6:11" x14ac:dyDescent="0.25">
      <c r="F49" s="14">
        <v>10</v>
      </c>
      <c r="G49" s="13" t="s">
        <v>275</v>
      </c>
      <c r="H49" s="14" t="s">
        <v>342</v>
      </c>
      <c r="I49" s="13" t="s">
        <v>292</v>
      </c>
      <c r="J49" s="13" t="s">
        <v>290</v>
      </c>
      <c r="K49" s="14">
        <v>2027</v>
      </c>
    </row>
    <row r="50" spans="6:11" x14ac:dyDescent="0.25">
      <c r="F50" s="14">
        <v>11</v>
      </c>
      <c r="G50" s="13" t="s">
        <v>275</v>
      </c>
      <c r="H50" s="14" t="s">
        <v>276</v>
      </c>
      <c r="I50" s="13" t="s">
        <v>277</v>
      </c>
      <c r="J50" s="13" t="s">
        <v>224</v>
      </c>
      <c r="K50" s="14">
        <v>2098</v>
      </c>
    </row>
    <row r="51" spans="6:11" x14ac:dyDescent="0.25">
      <c r="F51" s="65" t="s">
        <v>343</v>
      </c>
      <c r="I51" s="65">
        <v>11</v>
      </c>
    </row>
  </sheetData>
  <mergeCells count="2">
    <mergeCell ref="A1:H1"/>
    <mergeCell ref="F38:K3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6"/>
  <sheetViews>
    <sheetView tabSelected="1" zoomScaleNormal="100" workbookViewId="0">
      <pane ySplit="3" topLeftCell="A9" activePane="bottomLeft" state="frozen"/>
      <selection pane="bottomLeft" activeCell="A23" sqref="A23"/>
    </sheetView>
  </sheetViews>
  <sheetFormatPr defaultColWidth="8.7109375" defaultRowHeight="15" x14ac:dyDescent="0.25"/>
  <cols>
    <col min="1" max="1" width="12" customWidth="1"/>
    <col min="2" max="2" width="11" customWidth="1"/>
    <col min="3" max="3" width="36" bestFit="1" customWidth="1"/>
    <col min="4" max="4" width="16" customWidth="1"/>
    <col min="5" max="5" width="10" customWidth="1"/>
    <col min="6" max="7" width="15" customWidth="1"/>
    <col min="8" max="8" width="18" customWidth="1"/>
    <col min="9" max="9" width="15" customWidth="1"/>
    <col min="10" max="10" width="16" customWidth="1"/>
    <col min="11" max="11" width="30" customWidth="1"/>
    <col min="13" max="13" width="23.5703125" bestFit="1" customWidth="1"/>
    <col min="14" max="14" width="27" customWidth="1"/>
    <col min="15" max="15" width="16" customWidth="1"/>
    <col min="16" max="16" width="8" customWidth="1"/>
    <col min="17" max="17" width="7" customWidth="1"/>
    <col min="18" max="18" width="8" customWidth="1"/>
    <col min="19" max="21" width="10" customWidth="1"/>
    <col min="22" max="22" width="11" customWidth="1"/>
  </cols>
  <sheetData>
    <row r="1" spans="1:11" ht="25.5" customHeight="1" x14ac:dyDescent="0.25">
      <c r="A1" s="97" t="s">
        <v>344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ht="27" customHeight="1" x14ac:dyDescent="0.25">
      <c r="A2" s="98" t="s">
        <v>345</v>
      </c>
      <c r="B2" s="98"/>
      <c r="C2" s="98"/>
      <c r="D2" s="98"/>
      <c r="E2" s="98"/>
      <c r="F2" s="98"/>
      <c r="G2" s="98"/>
      <c r="H2" s="98"/>
      <c r="I2" s="98"/>
      <c r="J2" s="98"/>
      <c r="K2" s="98"/>
    </row>
    <row r="3" spans="1:11" ht="27" customHeight="1" x14ac:dyDescent="0.25">
      <c r="A3" s="66" t="s">
        <v>346</v>
      </c>
      <c r="B3" s="66" t="s">
        <v>6</v>
      </c>
      <c r="C3" s="66" t="s">
        <v>335</v>
      </c>
      <c r="D3" s="66" t="s">
        <v>3</v>
      </c>
      <c r="E3" s="66" t="s">
        <v>5</v>
      </c>
      <c r="F3" s="66" t="s">
        <v>347</v>
      </c>
      <c r="G3" s="66" t="s">
        <v>348</v>
      </c>
      <c r="H3" s="66" t="s">
        <v>349</v>
      </c>
      <c r="I3" s="66" t="s">
        <v>350</v>
      </c>
      <c r="J3" s="66" t="s">
        <v>351</v>
      </c>
      <c r="K3" s="66" t="s">
        <v>17</v>
      </c>
    </row>
    <row r="4" spans="1:11" x14ac:dyDescent="0.25">
      <c r="A4" s="71">
        <v>46198</v>
      </c>
      <c r="B4" s="72">
        <v>2040618</v>
      </c>
      <c r="C4" s="67" t="str">
        <f>IFERROR(INDEX('Capacidade UAS-CUAS'!$F$4:$F$81,MATCH($B4,'Capacidade UAS-CUAS'!$E$4:$E$81,0)),"")</f>
        <v>Paulo Alexandre Nunes Fernandes Estêvão</v>
      </c>
      <c r="D4" s="67" t="str">
        <f>IFERROR(INDEX('Capacidade UAS-CUAS'!$B$4:$B$81,MATCH($B4,'Capacidade UAS-CUAS'!$E$4:$E$81,0)),"")</f>
        <v>SOI</v>
      </c>
      <c r="E4" s="68" t="str">
        <f>IFERROR(INDEX('Capacidade UAS-CUAS'!$D$4:$D$81,MATCH($B4,'Capacidade UAS-CUAS'!$E$4:$E$81,0)),"")</f>
        <v>Cabo Ch</v>
      </c>
      <c r="F4" s="72" t="s">
        <v>352</v>
      </c>
      <c r="G4" s="72"/>
      <c r="H4" s="72" t="s">
        <v>353</v>
      </c>
      <c r="I4" s="72"/>
      <c r="J4" s="73" t="s">
        <v>354</v>
      </c>
      <c r="K4" s="73" t="s">
        <v>355</v>
      </c>
    </row>
    <row r="5" spans="1:11" x14ac:dyDescent="0.25">
      <c r="A5" s="71">
        <v>46198</v>
      </c>
      <c r="B5" s="72">
        <v>2090487</v>
      </c>
      <c r="C5" s="67" t="str">
        <f>IFERROR(INDEX('Capacidade UAS-CUAS'!$F$4:$F$81,MATCH($B5,'Capacidade UAS-CUAS'!$E$4:$E$81,0)),"")</f>
        <v>Wilson da Silva Sousa</v>
      </c>
      <c r="D5" s="67" t="str">
        <f>IFERROR(INDEX('Capacidade UAS-CUAS'!$B$4:$B$81,MATCH($B5,'Capacidade UAS-CUAS'!$E$4:$E$81,0)),"")</f>
        <v>SOI</v>
      </c>
      <c r="E5" s="68" t="str">
        <f>IFERROR(INDEX('Capacidade UAS-CUAS'!$D$4:$D$81,MATCH($B5,'Capacidade UAS-CUAS'!$E$4:$E$81,0)),"")</f>
        <v>Cabo</v>
      </c>
      <c r="F5" s="72" t="s">
        <v>352</v>
      </c>
      <c r="G5" s="72"/>
      <c r="H5" s="72" t="s">
        <v>353</v>
      </c>
      <c r="I5" s="72"/>
      <c r="J5" s="73" t="s">
        <v>354</v>
      </c>
      <c r="K5" s="73" t="s">
        <v>355</v>
      </c>
    </row>
    <row r="6" spans="1:11" x14ac:dyDescent="0.25">
      <c r="A6" s="71">
        <v>46198</v>
      </c>
      <c r="B6" s="72">
        <v>2040351</v>
      </c>
      <c r="C6" s="67" t="str">
        <f>IFERROR(INDEX('Capacidade UAS-CUAS'!$F$4:$F$81,MATCH($B6,'Capacidade UAS-CUAS'!$E$4:$E$81,0)),"")</f>
        <v>Nuno Gonçalo Moreira Rodrigues</v>
      </c>
      <c r="D6" s="67" t="str">
        <f>IFERROR(INDEX('Capacidade UAS-CUAS'!$B$4:$B$81,MATCH($B6,'Capacidade UAS-CUAS'!$E$4:$E$81,0)),"")</f>
        <v>1.ª Companhia</v>
      </c>
      <c r="E6" s="68" t="str">
        <f>IFERROR(INDEX('Capacidade UAS-CUAS'!$D$4:$D$81,MATCH($B6,'Capacidade UAS-CUAS'!$E$4:$E$81,0)),"")</f>
        <v>Cabo</v>
      </c>
      <c r="F6" s="72" t="s">
        <v>352</v>
      </c>
      <c r="G6" s="72"/>
      <c r="H6" s="72" t="s">
        <v>353</v>
      </c>
      <c r="I6" s="72"/>
      <c r="J6" s="73" t="s">
        <v>354</v>
      </c>
      <c r="K6" s="73" t="s">
        <v>355</v>
      </c>
    </row>
    <row r="7" spans="1:11" x14ac:dyDescent="0.25">
      <c r="A7" s="71">
        <v>46198</v>
      </c>
      <c r="B7" s="72">
        <v>2180148</v>
      </c>
      <c r="C7" s="67" t="str">
        <f>IFERROR(INDEX('Capacidade UAS-CUAS'!$F$4:$F$81,MATCH($B7,'Capacidade UAS-CUAS'!$E$4:$E$81,0)),"")</f>
        <v>Rui Miguel Gonçalves Ribeiro</v>
      </c>
      <c r="D7" s="67" t="str">
        <f>IFERROR(INDEX('Capacidade UAS-CUAS'!$B$4:$B$81,MATCH($B7,'Capacidade UAS-CUAS'!$E$4:$E$81,0)),"")</f>
        <v>1.ª Companhia</v>
      </c>
      <c r="E7" s="68" t="str">
        <f>IFERROR(INDEX('Capacidade UAS-CUAS'!$D$4:$D$81,MATCH($B7,'Capacidade UAS-CUAS'!$E$4:$E$81,0)),"")</f>
        <v>Grd</v>
      </c>
      <c r="F7" s="72" t="s">
        <v>352</v>
      </c>
      <c r="G7" s="72"/>
      <c r="H7" s="72" t="s">
        <v>353</v>
      </c>
      <c r="I7" s="72"/>
      <c r="J7" s="73" t="s">
        <v>354</v>
      </c>
      <c r="K7" s="73" t="s">
        <v>355</v>
      </c>
    </row>
    <row r="8" spans="1:11" x14ac:dyDescent="0.25">
      <c r="A8" s="71">
        <v>46204</v>
      </c>
      <c r="B8" s="72">
        <v>2040618</v>
      </c>
      <c r="C8" s="67" t="str">
        <f>IFERROR(INDEX('Capacidade UAS-CUAS'!$F$4:$F$81,MATCH($B8,'Capacidade UAS-CUAS'!$E$4:$E$81,0)),"")</f>
        <v>Paulo Alexandre Nunes Fernandes Estêvão</v>
      </c>
      <c r="D8" s="67" t="str">
        <f>IFERROR(INDEX('Capacidade UAS-CUAS'!$B$4:$B$81,MATCH($B8,'Capacidade UAS-CUAS'!$E$4:$E$81,0)),"")</f>
        <v>SOI</v>
      </c>
      <c r="E8" s="68" t="str">
        <f>IFERROR(INDEX('Capacidade UAS-CUAS'!$D$4:$D$81,MATCH($B8,'Capacidade UAS-CUAS'!$E$4:$E$81,0)),"")</f>
        <v>Cabo Ch</v>
      </c>
      <c r="F8" s="72" t="s">
        <v>356</v>
      </c>
      <c r="G8" s="72" t="s">
        <v>357</v>
      </c>
      <c r="H8" s="72" t="s">
        <v>358</v>
      </c>
      <c r="I8" s="72" t="s">
        <v>359</v>
      </c>
      <c r="J8" s="73" t="s">
        <v>360</v>
      </c>
      <c r="K8" s="73"/>
    </row>
    <row r="9" spans="1:11" x14ac:dyDescent="0.25">
      <c r="A9" s="71">
        <v>46204</v>
      </c>
      <c r="B9" s="72">
        <v>2070317</v>
      </c>
      <c r="C9" s="67" t="str">
        <f>IFERROR(INDEX('Capacidade UAS-CUAS'!$F$4:$F$81,MATCH($B9,'Capacidade UAS-CUAS'!$E$4:$E$81,0)),"")</f>
        <v>José Carlos Soares Gomes</v>
      </c>
      <c r="D9" s="67" t="str">
        <f>IFERROR(INDEX('Capacidade UAS-CUAS'!$B$4:$B$81,MATCH($B9,'Capacidade UAS-CUAS'!$E$4:$E$81,0)),"")</f>
        <v>SOI</v>
      </c>
      <c r="E9" s="68" t="str">
        <f>IFERROR(INDEX('Capacidade UAS-CUAS'!$D$4:$D$81,MATCH($B9,'Capacidade UAS-CUAS'!$E$4:$E$81,0)),"")</f>
        <v>Cabo</v>
      </c>
      <c r="F9" s="72" t="s">
        <v>356</v>
      </c>
      <c r="G9" s="72" t="s">
        <v>357</v>
      </c>
      <c r="H9" s="72" t="s">
        <v>358</v>
      </c>
      <c r="I9" s="72" t="s">
        <v>359</v>
      </c>
      <c r="J9" s="73" t="s">
        <v>360</v>
      </c>
      <c r="K9" s="73"/>
    </row>
    <row r="10" spans="1:11" x14ac:dyDescent="0.25">
      <c r="A10" s="71">
        <v>46206</v>
      </c>
      <c r="B10" s="72">
        <v>2040618</v>
      </c>
      <c r="C10" s="67" t="str">
        <f>IFERROR(INDEX('Capacidade UAS-CUAS'!$F$4:$F$81,MATCH($B10,'Capacidade UAS-CUAS'!$E$4:$E$81,0)),"")</f>
        <v>Paulo Alexandre Nunes Fernandes Estêvão</v>
      </c>
      <c r="D10" s="67" t="str">
        <f>IFERROR(INDEX('Capacidade UAS-CUAS'!$B$4:$B$81,MATCH($B10,'Capacidade UAS-CUAS'!$E$4:$E$81,0)),"")</f>
        <v>SOI</v>
      </c>
      <c r="E10" s="68" t="str">
        <f>IFERROR(INDEX('Capacidade UAS-CUAS'!$D$4:$D$81,MATCH($B10,'Capacidade UAS-CUAS'!$E$4:$E$81,0)),"")</f>
        <v>Cabo Ch</v>
      </c>
      <c r="F10" s="72" t="s">
        <v>356</v>
      </c>
      <c r="G10" s="72" t="s">
        <v>361</v>
      </c>
      <c r="H10" s="72" t="s">
        <v>353</v>
      </c>
      <c r="I10" s="72"/>
      <c r="J10" s="73" t="s">
        <v>362</v>
      </c>
      <c r="K10" s="73" t="s">
        <v>363</v>
      </c>
    </row>
    <row r="11" spans="1:11" x14ac:dyDescent="0.25">
      <c r="A11" s="71">
        <v>46206</v>
      </c>
      <c r="B11" s="72">
        <v>1970024</v>
      </c>
      <c r="C11" s="67" t="str">
        <f>IFERROR(INDEX('Capacidade UAS-CUAS'!$F$4:$F$81,MATCH($B11,'Capacidade UAS-CUAS'!$E$4:$E$81,0)),"")</f>
        <v>Manuel António Gonçalves Cordeiro</v>
      </c>
      <c r="D11" s="67" t="str">
        <f>IFERROR(INDEX('Capacidade UAS-CUAS'!$B$4:$B$81,MATCH($B11,'Capacidade UAS-CUAS'!$E$4:$E$81,0)),"")</f>
        <v>SOI</v>
      </c>
      <c r="E11" s="68" t="str">
        <f>IFERROR(INDEX('Capacidade UAS-CUAS'!$D$4:$D$81,MATCH($B11,'Capacidade UAS-CUAS'!$E$4:$E$81,0)),"")</f>
        <v>Sarg. Ch</v>
      </c>
      <c r="F11" s="72" t="s">
        <v>356</v>
      </c>
      <c r="G11" s="72" t="s">
        <v>361</v>
      </c>
      <c r="H11" s="72" t="s">
        <v>353</v>
      </c>
      <c r="I11" s="72"/>
      <c r="J11" s="73" t="s">
        <v>362</v>
      </c>
      <c r="K11" s="73" t="s">
        <v>363</v>
      </c>
    </row>
    <row r="12" spans="1:11" x14ac:dyDescent="0.25">
      <c r="A12" s="71">
        <v>46206</v>
      </c>
      <c r="B12" s="72">
        <v>2090487</v>
      </c>
      <c r="C12" s="67" t="str">
        <f>IFERROR(INDEX('Capacidade UAS-CUAS'!$F$4:$F$81,MATCH($B12,'Capacidade UAS-CUAS'!$E$4:$E$81,0)),"")</f>
        <v>Wilson da Silva Sousa</v>
      </c>
      <c r="D12" s="67" t="str">
        <f>IFERROR(INDEX('Capacidade UAS-CUAS'!$B$4:$B$81,MATCH($B12,'Capacidade UAS-CUAS'!$E$4:$E$81,0)),"")</f>
        <v>SOI</v>
      </c>
      <c r="E12" s="68" t="str">
        <f>IFERROR(INDEX('Capacidade UAS-CUAS'!$D$4:$D$81,MATCH($B12,'Capacidade UAS-CUAS'!$E$4:$E$81,0)),"")</f>
        <v>Cabo</v>
      </c>
      <c r="F12" s="72" t="s">
        <v>356</v>
      </c>
      <c r="G12" s="72" t="s">
        <v>361</v>
      </c>
      <c r="H12" s="72" t="s">
        <v>353</v>
      </c>
      <c r="I12" s="72"/>
      <c r="J12" s="73" t="s">
        <v>362</v>
      </c>
      <c r="K12" s="73" t="s">
        <v>363</v>
      </c>
    </row>
    <row r="13" spans="1:11" x14ac:dyDescent="0.25">
      <c r="A13" s="71">
        <v>46206</v>
      </c>
      <c r="B13" s="72">
        <v>2040618</v>
      </c>
      <c r="C13" s="67" t="str">
        <f>IFERROR(INDEX('Capacidade UAS-CUAS'!$F$4:$F$81,MATCH($B13,'Capacidade UAS-CUAS'!$E$4:$E$81,0)),"")</f>
        <v>Paulo Alexandre Nunes Fernandes Estêvão</v>
      </c>
      <c r="D13" s="67" t="str">
        <f>IFERROR(INDEX('Capacidade UAS-CUAS'!$B$4:$B$81,MATCH($B13,'Capacidade UAS-CUAS'!$E$4:$E$81,0)),"")</f>
        <v>SOI</v>
      </c>
      <c r="E13" s="68" t="str">
        <f>IFERROR(INDEX('Capacidade UAS-CUAS'!$D$4:$D$81,MATCH($B13,'Capacidade UAS-CUAS'!$E$4:$E$81,0)),"")</f>
        <v>Cabo Ch</v>
      </c>
      <c r="F13" s="72" t="s">
        <v>352</v>
      </c>
      <c r="G13" s="72"/>
      <c r="H13" s="72" t="s">
        <v>353</v>
      </c>
      <c r="I13" s="72"/>
      <c r="J13" s="73" t="s">
        <v>362</v>
      </c>
      <c r="K13" s="73" t="s">
        <v>363</v>
      </c>
    </row>
    <row r="14" spans="1:11" x14ac:dyDescent="0.25">
      <c r="A14" s="71">
        <v>46206</v>
      </c>
      <c r="B14" s="72">
        <v>1970024</v>
      </c>
      <c r="C14" s="67" t="str">
        <f>IFERROR(INDEX('Capacidade UAS-CUAS'!$F$4:$F$81,MATCH($B14,'Capacidade UAS-CUAS'!$E$4:$E$81,0)),"")</f>
        <v>Manuel António Gonçalves Cordeiro</v>
      </c>
      <c r="D14" s="67" t="str">
        <f>IFERROR(INDEX('Capacidade UAS-CUAS'!$B$4:$B$81,MATCH($B14,'Capacidade UAS-CUAS'!$E$4:$E$81,0)),"")</f>
        <v>SOI</v>
      </c>
      <c r="E14" s="68" t="str">
        <f>IFERROR(INDEX('Capacidade UAS-CUAS'!$D$4:$D$81,MATCH($B14,'Capacidade UAS-CUAS'!$E$4:$E$81,0)),"")</f>
        <v>Sarg. Ch</v>
      </c>
      <c r="F14" s="72" t="s">
        <v>352</v>
      </c>
      <c r="G14" s="72"/>
      <c r="H14" s="72" t="s">
        <v>353</v>
      </c>
      <c r="I14" s="72"/>
      <c r="J14" s="73" t="s">
        <v>362</v>
      </c>
      <c r="K14" s="73" t="s">
        <v>363</v>
      </c>
    </row>
    <row r="15" spans="1:11" x14ac:dyDescent="0.25">
      <c r="A15" s="71">
        <v>46206</v>
      </c>
      <c r="B15" s="72">
        <v>2090487</v>
      </c>
      <c r="C15" s="67" t="str">
        <f>IFERROR(INDEX('Capacidade UAS-CUAS'!$F$4:$F$81,MATCH($B15,'Capacidade UAS-CUAS'!$E$4:$E$81,0)),"")</f>
        <v>Wilson da Silva Sousa</v>
      </c>
      <c r="D15" s="67" t="str">
        <f>IFERROR(INDEX('Capacidade UAS-CUAS'!$B$4:$B$81,MATCH($B15,'Capacidade UAS-CUAS'!$E$4:$E$81,0)),"")</f>
        <v>SOI</v>
      </c>
      <c r="E15" s="68" t="str">
        <f>IFERROR(INDEX('Capacidade UAS-CUAS'!$D$4:$D$81,MATCH($B15,'Capacidade UAS-CUAS'!$E$4:$E$81,0)),"")</f>
        <v>Cabo</v>
      </c>
      <c r="F15" s="72" t="s">
        <v>352</v>
      </c>
      <c r="G15" s="72"/>
      <c r="H15" s="72" t="s">
        <v>353</v>
      </c>
      <c r="I15" s="72"/>
      <c r="J15" s="73" t="s">
        <v>362</v>
      </c>
      <c r="K15" s="73" t="s">
        <v>363</v>
      </c>
    </row>
    <row r="16" spans="1:11" x14ac:dyDescent="0.25">
      <c r="A16" s="71">
        <v>46237</v>
      </c>
      <c r="B16" s="72">
        <v>2040618</v>
      </c>
      <c r="C16" s="67" t="str">
        <f>IFERROR(INDEX('Capacidade UAS-CUAS'!$F$4:$F$81,MATCH($B16,'Capacidade UAS-CUAS'!$E$4:$E$81,0)),"")</f>
        <v>Paulo Alexandre Nunes Fernandes Estêvão</v>
      </c>
      <c r="D16" s="67" t="str">
        <f>IFERROR(INDEX('Capacidade UAS-CUAS'!$B$4:$B$81,MATCH($B16,'Capacidade UAS-CUAS'!$E$4:$E$81,0)),"")</f>
        <v>SOI</v>
      </c>
      <c r="E16" s="68" t="str">
        <f>IFERROR(INDEX('Capacidade UAS-CUAS'!$D$4:$D$81,MATCH($B16,'Capacidade UAS-CUAS'!$E$4:$E$81,0)),"")</f>
        <v>Cabo Ch</v>
      </c>
      <c r="F16" s="72" t="s">
        <v>356</v>
      </c>
      <c r="G16" s="72" t="s">
        <v>357</v>
      </c>
      <c r="H16" s="72" t="s">
        <v>364</v>
      </c>
      <c r="I16" s="72" t="s">
        <v>359</v>
      </c>
      <c r="J16" s="73" t="s">
        <v>365</v>
      </c>
      <c r="K16" s="73"/>
    </row>
    <row r="17" spans="1:11" x14ac:dyDescent="0.25">
      <c r="A17" s="71">
        <v>46237</v>
      </c>
      <c r="B17" s="72">
        <v>2030055</v>
      </c>
      <c r="C17" s="67" t="str">
        <f>IFERROR(INDEX('Capacidade UAS-CUAS'!$F$4:$F$81,MATCH($B17,'Capacidade UAS-CUAS'!$E$4:$E$81,0)),"")</f>
        <v>Victor Emanuel Cortinhas de Sousa Rosa</v>
      </c>
      <c r="D17" s="67" t="str">
        <f>IFERROR(INDEX('Capacidade UAS-CUAS'!$B$4:$B$81,MATCH($B17,'Capacidade UAS-CUAS'!$E$4:$E$81,0)),"")</f>
        <v>3.ª Companhia</v>
      </c>
      <c r="E17" s="68" t="str">
        <f>IFERROR(INDEX('Capacidade UAS-CUAS'!$D$4:$D$81,MATCH($B17,'Capacidade UAS-CUAS'!$E$4:$E$81,0)),"")</f>
        <v>Cabo</v>
      </c>
      <c r="F17" s="72" t="s">
        <v>356</v>
      </c>
      <c r="G17" s="72" t="s">
        <v>357</v>
      </c>
      <c r="H17" s="72" t="s">
        <v>364</v>
      </c>
      <c r="I17" s="72" t="s">
        <v>359</v>
      </c>
      <c r="J17" s="73" t="s">
        <v>365</v>
      </c>
      <c r="K17" s="73"/>
    </row>
    <row r="18" spans="1:11" x14ac:dyDescent="0.25">
      <c r="A18" s="71">
        <v>46242</v>
      </c>
      <c r="B18" s="72">
        <v>2040618</v>
      </c>
      <c r="C18" s="67" t="str">
        <f>IFERROR(INDEX('Capacidade UAS-CUAS'!$F$4:$F$81,MATCH($B18,'Capacidade UAS-CUAS'!$E$4:$E$81,0)),"")</f>
        <v>Paulo Alexandre Nunes Fernandes Estêvão</v>
      </c>
      <c r="D18" s="67" t="str">
        <f>IFERROR(INDEX('Capacidade UAS-CUAS'!$B$4:$B$81,MATCH($B18,'Capacidade UAS-CUAS'!$E$4:$E$81,0)),"")</f>
        <v>SOI</v>
      </c>
      <c r="E18" s="68" t="str">
        <f>IFERROR(INDEX('Capacidade UAS-CUAS'!$D$4:$D$81,MATCH($B18,'Capacidade UAS-CUAS'!$E$4:$E$81,0)),"")</f>
        <v>Cabo Ch</v>
      </c>
      <c r="F18" s="72" t="s">
        <v>356</v>
      </c>
      <c r="G18" s="72" t="s">
        <v>357</v>
      </c>
      <c r="H18" s="72" t="s">
        <v>358</v>
      </c>
      <c r="I18" s="72" t="s">
        <v>359</v>
      </c>
      <c r="J18" s="73" t="s">
        <v>366</v>
      </c>
      <c r="K18" s="73"/>
    </row>
    <row r="19" spans="1:11" x14ac:dyDescent="0.25">
      <c r="A19" s="71">
        <v>46242</v>
      </c>
      <c r="B19" s="72" t="s">
        <v>49</v>
      </c>
      <c r="C19" s="67" t="str">
        <f>IFERROR(INDEX('Capacidade UAS-CUAS'!$F$4:$F$81,MATCH($B19,'Capacidade UAS-CUAS'!$E$4:$E$81,0)),"")</f>
        <v>Paulo Sérgio Pessanha Saraiva Loureiro</v>
      </c>
      <c r="D19" s="67" t="str">
        <f>IFERROR(INDEX('Capacidade UAS-CUAS'!$B$4:$B$81,MATCH($B19,'Capacidade UAS-CUAS'!$E$4:$E$81,0)),"")</f>
        <v>SOI</v>
      </c>
      <c r="E19" s="68" t="str">
        <f>IFERROR(INDEX('Capacidade UAS-CUAS'!$D$4:$D$81,MATCH($B19,'Capacidade UAS-CUAS'!$E$4:$E$81,0)),"")</f>
        <v>Cabo Ch</v>
      </c>
      <c r="F19" s="72" t="s">
        <v>356</v>
      </c>
      <c r="G19" s="72" t="s">
        <v>357</v>
      </c>
      <c r="H19" s="72" t="s">
        <v>358</v>
      </c>
      <c r="I19" s="72" t="s">
        <v>359</v>
      </c>
      <c r="J19" s="73" t="s">
        <v>366</v>
      </c>
      <c r="K19" s="73"/>
    </row>
    <row r="20" spans="1:11" x14ac:dyDescent="0.25">
      <c r="A20" s="71" t="s">
        <v>367</v>
      </c>
      <c r="B20" s="72" t="s">
        <v>49</v>
      </c>
      <c r="C20" s="67" t="str">
        <f>IFERROR(INDEX('Capacidade UAS-CUAS'!$F$4:$F$81,MATCH($B20,'Capacidade UAS-CUAS'!$E$4:$E$81,0)),"")</f>
        <v>Paulo Sérgio Pessanha Saraiva Loureiro</v>
      </c>
      <c r="D20" s="67" t="str">
        <f>IFERROR(INDEX('Capacidade UAS-CUAS'!$B$4:$B$81,MATCH($B20,'Capacidade UAS-CUAS'!$E$4:$E$81,0)),"")</f>
        <v>SOI</v>
      </c>
      <c r="E20" s="68" t="str">
        <f>IFERROR(INDEX('Capacidade UAS-CUAS'!$D$4:$D$81,MATCH($B20,'Capacidade UAS-CUAS'!$E$4:$E$81,0)),"")</f>
        <v>Cabo Ch</v>
      </c>
      <c r="F20" s="72" t="s">
        <v>352</v>
      </c>
      <c r="G20" s="72" t="s">
        <v>368</v>
      </c>
      <c r="H20" s="72" t="s">
        <v>369</v>
      </c>
      <c r="I20" s="72"/>
      <c r="J20" s="73" t="s">
        <v>370</v>
      </c>
      <c r="K20" s="73"/>
    </row>
    <row r="21" spans="1:11" x14ac:dyDescent="0.25">
      <c r="A21" s="71" t="s">
        <v>367</v>
      </c>
      <c r="B21" s="72">
        <v>2070317</v>
      </c>
      <c r="C21" s="67" t="str">
        <f>IFERROR(INDEX('Capacidade UAS-CUAS'!$F$4:$F$81,MATCH($B21,'Capacidade UAS-CUAS'!$E$4:$E$81,0)),"")</f>
        <v>José Carlos Soares Gomes</v>
      </c>
      <c r="D21" s="67" t="str">
        <f>IFERROR(INDEX('Capacidade UAS-CUAS'!$B$4:$B$81,MATCH($B21,'Capacidade UAS-CUAS'!$E$4:$E$81,0)),"")</f>
        <v>SOI</v>
      </c>
      <c r="E21" s="68" t="str">
        <f>IFERROR(INDEX('Capacidade UAS-CUAS'!$D$4:$D$81,MATCH($B21,'Capacidade UAS-CUAS'!$E$4:$E$81,0)),"")</f>
        <v>Cabo</v>
      </c>
      <c r="F21" s="72" t="s">
        <v>352</v>
      </c>
      <c r="G21" s="72" t="s">
        <v>368</v>
      </c>
      <c r="H21" s="72" t="s">
        <v>369</v>
      </c>
      <c r="I21" s="72"/>
      <c r="J21" s="73" t="s">
        <v>370</v>
      </c>
      <c r="K21" s="73"/>
    </row>
    <row r="22" spans="1:11" x14ac:dyDescent="0.25">
      <c r="A22" s="71" t="s">
        <v>371</v>
      </c>
      <c r="B22" s="72">
        <v>2040618</v>
      </c>
      <c r="C22" s="67" t="str">
        <f>IFERROR(INDEX('Capacidade UAS-CUAS'!$F$4:$F$81,MATCH($B22,'Capacidade UAS-CUAS'!$E$4:$E$81,0)),"")</f>
        <v>Paulo Alexandre Nunes Fernandes Estêvão</v>
      </c>
      <c r="D22" s="67" t="str">
        <f>IFERROR(INDEX('Capacidade UAS-CUAS'!$B$4:$B$81,MATCH($B22,'Capacidade UAS-CUAS'!$E$4:$E$81,0)),"")</f>
        <v>SOI</v>
      </c>
      <c r="E22" s="68" t="str">
        <f>IFERROR(INDEX('Capacidade UAS-CUAS'!$D$4:$D$81,MATCH($B22,'Capacidade UAS-CUAS'!$E$4:$E$81,0)),"")</f>
        <v>Cabo Ch</v>
      </c>
      <c r="F22" s="72" t="s">
        <v>352</v>
      </c>
      <c r="G22" s="72" t="s">
        <v>368</v>
      </c>
      <c r="H22" s="72" t="s">
        <v>369</v>
      </c>
      <c r="I22" s="72"/>
      <c r="J22" s="73" t="s">
        <v>370</v>
      </c>
      <c r="K22" s="73"/>
    </row>
    <row r="23" spans="1:11" x14ac:dyDescent="0.25">
      <c r="A23" s="71">
        <v>46249</v>
      </c>
      <c r="B23" s="72" t="s">
        <v>31</v>
      </c>
      <c r="C23" s="67" t="str">
        <f>IFERROR(INDEX('Capacidade UAS-CUAS'!$F$4:$F$81,MATCH($B23,'Capacidade UAS-CUAS'!$E$4:$E$81,0)),"")</f>
        <v>António João Carlos e Granja</v>
      </c>
      <c r="D23" s="67" t="str">
        <f>IFERROR(INDEX('Capacidade UAS-CUAS'!$B$4:$B$81,MATCH($B23,'Capacidade UAS-CUAS'!$E$4:$E$81,0)),"")</f>
        <v>Secretaria GIOP</v>
      </c>
      <c r="E23" s="68" t="str">
        <f>IFERROR(INDEX('Capacidade UAS-CUAS'!$D$4:$D$81,MATCH($B23,'Capacidade UAS-CUAS'!$E$4:$E$81,0)),"")</f>
        <v>Cabo</v>
      </c>
      <c r="F23" s="72" t="s">
        <v>352</v>
      </c>
      <c r="G23" s="72" t="s">
        <v>368</v>
      </c>
      <c r="H23" s="72" t="s">
        <v>369</v>
      </c>
      <c r="I23" s="72"/>
      <c r="J23" s="73" t="s">
        <v>370</v>
      </c>
      <c r="K23" s="73"/>
    </row>
    <row r="24" spans="1:11" x14ac:dyDescent="0.25">
      <c r="A24" s="71" t="s">
        <v>372</v>
      </c>
      <c r="B24" s="72">
        <v>2040618</v>
      </c>
      <c r="C24" s="67" t="str">
        <f>IFERROR(INDEX('Capacidade UAS-CUAS'!$F$4:$F$81,MATCH($B24,'Capacidade UAS-CUAS'!$E$4:$E$81,0)),"")</f>
        <v>Paulo Alexandre Nunes Fernandes Estêvão</v>
      </c>
      <c r="D24" s="67" t="str">
        <f>IFERROR(INDEX('Capacidade UAS-CUAS'!$B$4:$B$81,MATCH($B24,'Capacidade UAS-CUAS'!$E$4:$E$81,0)),"")</f>
        <v>SOI</v>
      </c>
      <c r="E24" s="68" t="str">
        <f>IFERROR(INDEX('Capacidade UAS-CUAS'!$D$4:$D$81,MATCH($B24,'Capacidade UAS-CUAS'!$E$4:$E$81,0)),"")</f>
        <v>Cabo Ch</v>
      </c>
      <c r="F24" s="72" t="s">
        <v>356</v>
      </c>
      <c r="G24" s="72" t="s">
        <v>357</v>
      </c>
      <c r="H24" s="72" t="s">
        <v>358</v>
      </c>
      <c r="I24" s="72" t="s">
        <v>359</v>
      </c>
      <c r="J24" s="73" t="s">
        <v>373</v>
      </c>
      <c r="K24" s="73"/>
    </row>
    <row r="25" spans="1:11" x14ac:dyDescent="0.25">
      <c r="A25" s="71" t="s">
        <v>372</v>
      </c>
      <c r="B25" s="72" t="s">
        <v>31</v>
      </c>
      <c r="C25" s="67" t="str">
        <f>IFERROR(INDEX('Capacidade UAS-CUAS'!$F$4:$F$81,MATCH($B25,'Capacidade UAS-CUAS'!$E$4:$E$81,0)),"")</f>
        <v>António João Carlos e Granja</v>
      </c>
      <c r="D25" s="67" t="str">
        <f>IFERROR(INDEX('Capacidade UAS-CUAS'!$B$4:$B$81,MATCH($B25,'Capacidade UAS-CUAS'!$E$4:$E$81,0)),"")</f>
        <v>Secretaria GIOP</v>
      </c>
      <c r="E25" s="68" t="str">
        <f>IFERROR(INDEX('Capacidade UAS-CUAS'!$D$4:$D$81,MATCH($B25,'Capacidade UAS-CUAS'!$E$4:$E$81,0)),"")</f>
        <v>Cabo</v>
      </c>
      <c r="F25" s="72" t="s">
        <v>356</v>
      </c>
      <c r="G25" s="72" t="s">
        <v>357</v>
      </c>
      <c r="H25" s="72" t="s">
        <v>358</v>
      </c>
      <c r="I25" s="72" t="s">
        <v>359</v>
      </c>
      <c r="J25" s="73" t="s">
        <v>373</v>
      </c>
      <c r="K25" s="73"/>
    </row>
    <row r="26" spans="1:11" x14ac:dyDescent="0.25">
      <c r="A26" s="71" t="s">
        <v>374</v>
      </c>
      <c r="B26" s="72">
        <v>2030052</v>
      </c>
      <c r="C26" s="67" t="str">
        <f>IFERROR(INDEX('Capacidade UAS-CUAS'!$F$4:$F$81,MATCH($B26,'Capacidade UAS-CUAS'!$E$4:$E$81,0)),"")</f>
        <v>Filipe Jorge dos Santos Silva</v>
      </c>
      <c r="D26" s="67" t="str">
        <f>IFERROR(INDEX('Capacidade UAS-CUAS'!$B$4:$B$81,MATCH($B26,'Capacidade UAS-CUAS'!$E$4:$E$81,0)),"")</f>
        <v>SOI</v>
      </c>
      <c r="E26" s="68" t="str">
        <f>IFERROR(INDEX('Capacidade UAS-CUAS'!$D$4:$D$81,MATCH($B26,'Capacidade UAS-CUAS'!$E$4:$E$81,0)),"")</f>
        <v>Cabo</v>
      </c>
      <c r="F26" s="72" t="s">
        <v>356</v>
      </c>
      <c r="G26" s="72" t="s">
        <v>357</v>
      </c>
      <c r="H26" s="72" t="s">
        <v>364</v>
      </c>
      <c r="I26" s="72" t="s">
        <v>359</v>
      </c>
      <c r="J26" s="73" t="s">
        <v>375</v>
      </c>
      <c r="K26" s="73"/>
    </row>
    <row r="27" spans="1:11" x14ac:dyDescent="0.25">
      <c r="A27" s="71" t="s">
        <v>374</v>
      </c>
      <c r="B27" s="72">
        <v>2070922</v>
      </c>
      <c r="C27" s="67" t="str">
        <f>IFERROR(INDEX('Capacidade UAS-CUAS'!$F$4:$F$81,MATCH($B27,'Capacidade UAS-CUAS'!$E$4:$E$81,0)),"")</f>
        <v>Nuno Pedro Rolo Correia Veloso</v>
      </c>
      <c r="D27" s="67" t="str">
        <f>IFERROR(INDEX('Capacidade UAS-CUAS'!$B$4:$B$81,MATCH($B27,'Capacidade UAS-CUAS'!$E$4:$E$81,0)),"")</f>
        <v>2.ª Companhia</v>
      </c>
      <c r="E27" s="68" t="str">
        <f>IFERROR(INDEX('Capacidade UAS-CUAS'!$D$4:$D$81,MATCH($B27,'Capacidade UAS-CUAS'!$E$4:$E$81,0)),"")</f>
        <v>Cabo</v>
      </c>
      <c r="F27" s="72" t="s">
        <v>356</v>
      </c>
      <c r="G27" s="72" t="s">
        <v>357</v>
      </c>
      <c r="H27" s="72" t="s">
        <v>364</v>
      </c>
      <c r="I27" s="72" t="s">
        <v>359</v>
      </c>
      <c r="J27" s="73" t="s">
        <v>375</v>
      </c>
      <c r="K27" s="73"/>
    </row>
    <row r="28" spans="1:11" x14ac:dyDescent="0.25">
      <c r="A28" s="71">
        <v>46266</v>
      </c>
      <c r="B28" s="72">
        <v>2030052</v>
      </c>
      <c r="C28" s="67" t="str">
        <f>IFERROR(INDEX('Capacidade UAS-CUAS'!$F$4:$F$81,MATCH($B28,'Capacidade UAS-CUAS'!$E$4:$E$81,0)),"")</f>
        <v>Filipe Jorge dos Santos Silva</v>
      </c>
      <c r="D28" s="67" t="str">
        <f>IFERROR(INDEX('Capacidade UAS-CUAS'!$B$4:$B$81,MATCH($B28,'Capacidade UAS-CUAS'!$E$4:$E$81,0)),"")</f>
        <v>SOI</v>
      </c>
      <c r="E28" s="68" t="str">
        <f>IFERROR(INDEX('Capacidade UAS-CUAS'!$D$4:$D$81,MATCH($B28,'Capacidade UAS-CUAS'!$E$4:$E$81,0)),"")</f>
        <v>Cabo</v>
      </c>
      <c r="F28" s="72" t="s">
        <v>356</v>
      </c>
      <c r="G28" s="72" t="s">
        <v>357</v>
      </c>
      <c r="H28" s="72" t="s">
        <v>364</v>
      </c>
      <c r="I28" s="72" t="s">
        <v>359</v>
      </c>
      <c r="J28" s="73"/>
      <c r="K28" s="73"/>
    </row>
    <row r="29" spans="1:11" x14ac:dyDescent="0.25">
      <c r="A29" s="71">
        <v>46266</v>
      </c>
      <c r="B29" s="72">
        <v>2000796</v>
      </c>
      <c r="C29" s="67" t="str">
        <f>IFERROR(INDEX('Capacidade UAS-CUAS'!$F$4:$F$81,MATCH($B29,'Capacidade UAS-CUAS'!$E$4:$E$81,0)),"")</f>
        <v>Jorge António Monteiro Silvano</v>
      </c>
      <c r="D29" s="67" t="str">
        <f>IFERROR(INDEX('Capacidade UAS-CUAS'!$B$4:$B$81,MATCH($B29,'Capacidade UAS-CUAS'!$E$4:$E$81,0)),"")</f>
        <v>1.ª Companhia</v>
      </c>
      <c r="E29" s="68" t="str">
        <f>IFERROR(INDEX('Capacidade UAS-CUAS'!$D$4:$D$81,MATCH($B29,'Capacidade UAS-CUAS'!$E$4:$E$81,0)),"")</f>
        <v>Cabo</v>
      </c>
      <c r="F29" s="72" t="s">
        <v>356</v>
      </c>
      <c r="G29" s="72" t="s">
        <v>357</v>
      </c>
      <c r="H29" s="72" t="s">
        <v>364</v>
      </c>
      <c r="I29" s="72" t="s">
        <v>359</v>
      </c>
      <c r="J29" s="73"/>
      <c r="K29" s="73"/>
    </row>
    <row r="30" spans="1:11" x14ac:dyDescent="0.25">
      <c r="A30" s="71"/>
      <c r="B30" s="72"/>
      <c r="C30" s="67" t="str">
        <f>IFERROR(INDEX('Capacidade UAS-CUAS'!$F$4:$F$81,MATCH($B30,'Capacidade UAS-CUAS'!$E$4:$E$81,0)),"")</f>
        <v/>
      </c>
      <c r="D30" s="67" t="str">
        <f>IFERROR(INDEX('Capacidade UAS-CUAS'!$B$4:$B$81,MATCH($B30,'Capacidade UAS-CUAS'!$E$4:$E$81,0)),"")</f>
        <v/>
      </c>
      <c r="E30" s="68" t="str">
        <f>IFERROR(INDEX('Capacidade UAS-CUAS'!$D$4:$D$81,MATCH($B30,'Capacidade UAS-CUAS'!$E$4:$E$81,0)),"")</f>
        <v/>
      </c>
      <c r="F30" s="72"/>
      <c r="G30" s="72"/>
      <c r="H30" s="72"/>
      <c r="I30" s="72"/>
      <c r="J30" s="73"/>
      <c r="K30" s="73"/>
    </row>
    <row r="31" spans="1:11" x14ac:dyDescent="0.25">
      <c r="A31" s="71"/>
      <c r="B31" s="72"/>
      <c r="C31" s="67" t="str">
        <f>IFERROR(INDEX('Capacidade UAS-CUAS'!$F$4:$F$81,MATCH($B31,'Capacidade UAS-CUAS'!$E$4:$E$81,0)),"")</f>
        <v/>
      </c>
      <c r="D31" s="67" t="str">
        <f>IFERROR(INDEX('Capacidade UAS-CUAS'!$B$4:$B$81,MATCH($B31,'Capacidade UAS-CUAS'!$E$4:$E$81,0)),"")</f>
        <v/>
      </c>
      <c r="E31" s="68" t="str">
        <f>IFERROR(INDEX('Capacidade UAS-CUAS'!$D$4:$D$81,MATCH($B31,'Capacidade UAS-CUAS'!$E$4:$E$81,0)),"")</f>
        <v/>
      </c>
      <c r="F31" s="72"/>
      <c r="G31" s="72"/>
      <c r="H31" s="72"/>
      <c r="I31" s="72"/>
      <c r="J31" s="73"/>
      <c r="K31" s="73"/>
    </row>
    <row r="32" spans="1:11" x14ac:dyDescent="0.25">
      <c r="A32" s="71"/>
      <c r="B32" s="72"/>
      <c r="C32" s="67" t="str">
        <f>IFERROR(INDEX('Capacidade UAS-CUAS'!$F$4:$F$81,MATCH($B32,'Capacidade UAS-CUAS'!$E$4:$E$81,0)),"")</f>
        <v/>
      </c>
      <c r="D32" s="67" t="str">
        <f>IFERROR(INDEX('Capacidade UAS-CUAS'!$B$4:$B$81,MATCH($B32,'Capacidade UAS-CUAS'!$E$4:$E$81,0)),"")</f>
        <v/>
      </c>
      <c r="E32" s="68" t="str">
        <f>IFERROR(INDEX('Capacidade UAS-CUAS'!$D$4:$D$81,MATCH($B32,'Capacidade UAS-CUAS'!$E$4:$E$81,0)),"")</f>
        <v/>
      </c>
      <c r="F32" s="72"/>
      <c r="G32" s="72"/>
      <c r="H32" s="72"/>
      <c r="I32" s="72"/>
      <c r="J32" s="73"/>
      <c r="K32" s="73"/>
    </row>
    <row r="33" spans="1:11" x14ac:dyDescent="0.25">
      <c r="A33" s="71"/>
      <c r="B33" s="72"/>
      <c r="C33" s="67" t="str">
        <f>IFERROR(INDEX('Capacidade UAS-CUAS'!$F$4:$F$81,MATCH($B33,'Capacidade UAS-CUAS'!$E$4:$E$81,0)),"")</f>
        <v/>
      </c>
      <c r="D33" s="67" t="str">
        <f>IFERROR(INDEX('Capacidade UAS-CUAS'!$B$4:$B$81,MATCH($B33,'Capacidade UAS-CUAS'!$E$4:$E$81,0)),"")</f>
        <v/>
      </c>
      <c r="E33" s="68" t="str">
        <f>IFERROR(INDEX('Capacidade UAS-CUAS'!$D$4:$D$81,MATCH($B33,'Capacidade UAS-CUAS'!$E$4:$E$81,0)),"")</f>
        <v/>
      </c>
      <c r="F33" s="72"/>
      <c r="G33" s="72"/>
      <c r="H33" s="72"/>
      <c r="I33" s="72"/>
      <c r="J33" s="73"/>
      <c r="K33" s="73"/>
    </row>
    <row r="34" spans="1:11" x14ac:dyDescent="0.25">
      <c r="A34" s="71"/>
      <c r="B34" s="72"/>
      <c r="C34" s="67" t="str">
        <f>IFERROR(INDEX('Capacidade UAS-CUAS'!$F$4:$F$81,MATCH($B34,'Capacidade UAS-CUAS'!$E$4:$E$81,0)),"")</f>
        <v/>
      </c>
      <c r="D34" s="67" t="str">
        <f>IFERROR(INDEX('Capacidade UAS-CUAS'!$B$4:$B$81,MATCH($B34,'Capacidade UAS-CUAS'!$E$4:$E$81,0)),"")</f>
        <v/>
      </c>
      <c r="E34" s="68" t="str">
        <f>IFERROR(INDEX('Capacidade UAS-CUAS'!$D$4:$D$81,MATCH($B34,'Capacidade UAS-CUAS'!$E$4:$E$81,0)),"")</f>
        <v/>
      </c>
      <c r="F34" s="72"/>
      <c r="G34" s="72"/>
      <c r="H34" s="72"/>
      <c r="I34" s="72"/>
      <c r="J34" s="73"/>
      <c r="K34" s="73"/>
    </row>
    <row r="35" spans="1:11" x14ac:dyDescent="0.25">
      <c r="A35" s="71"/>
      <c r="B35" s="72"/>
      <c r="C35" s="67" t="str">
        <f>IFERROR(INDEX('Capacidade UAS-CUAS'!$F$4:$F$81,MATCH($B35,'Capacidade UAS-CUAS'!$E$4:$E$81,0)),"")</f>
        <v/>
      </c>
      <c r="D35" s="67" t="str">
        <f>IFERROR(INDEX('Capacidade UAS-CUAS'!$B$4:$B$81,MATCH($B35,'Capacidade UAS-CUAS'!$E$4:$E$81,0)),"")</f>
        <v/>
      </c>
      <c r="E35" s="68" t="str">
        <f>IFERROR(INDEX('Capacidade UAS-CUAS'!$D$4:$D$81,MATCH($B35,'Capacidade UAS-CUAS'!$E$4:$E$81,0)),"")</f>
        <v/>
      </c>
      <c r="F35" s="72"/>
      <c r="G35" s="72"/>
      <c r="H35" s="72"/>
      <c r="I35" s="72"/>
      <c r="J35" s="73"/>
      <c r="K35" s="73"/>
    </row>
    <row r="36" spans="1:11" x14ac:dyDescent="0.25">
      <c r="A36" s="71"/>
      <c r="B36" s="72"/>
      <c r="C36" s="67" t="str">
        <f>IFERROR(INDEX('Capacidade UAS-CUAS'!$F$4:$F$81,MATCH($B36,'Capacidade UAS-CUAS'!$E$4:$E$81,0)),"")</f>
        <v/>
      </c>
      <c r="D36" s="67" t="str">
        <f>IFERROR(INDEX('Capacidade UAS-CUAS'!$B$4:$B$81,MATCH($B36,'Capacidade UAS-CUAS'!$E$4:$E$81,0)),"")</f>
        <v/>
      </c>
      <c r="E36" s="68" t="str">
        <f>IFERROR(INDEX('Capacidade UAS-CUAS'!$D$4:$D$81,MATCH($B36,'Capacidade UAS-CUAS'!$E$4:$E$81,0)),"")</f>
        <v/>
      </c>
      <c r="F36" s="72"/>
      <c r="G36" s="72"/>
      <c r="H36" s="72"/>
      <c r="I36" s="72"/>
      <c r="J36" s="73"/>
      <c r="K36" s="73"/>
    </row>
    <row r="37" spans="1:11" x14ac:dyDescent="0.25">
      <c r="A37" s="71"/>
      <c r="B37" s="72"/>
      <c r="C37" s="67" t="str">
        <f>IFERROR(INDEX('Capacidade UAS-CUAS'!$F$4:$F$81,MATCH($B37,'Capacidade UAS-CUAS'!$E$4:$E$81,0)),"")</f>
        <v/>
      </c>
      <c r="D37" s="67" t="str">
        <f>IFERROR(INDEX('Capacidade UAS-CUAS'!$B$4:$B$81,MATCH($B37,'Capacidade UAS-CUAS'!$E$4:$E$81,0)),"")</f>
        <v/>
      </c>
      <c r="E37" s="68" t="str">
        <f>IFERROR(INDEX('Capacidade UAS-CUAS'!$D$4:$D$81,MATCH($B37,'Capacidade UAS-CUAS'!$E$4:$E$81,0)),"")</f>
        <v/>
      </c>
      <c r="F37" s="72"/>
      <c r="G37" s="72"/>
      <c r="H37" s="72"/>
      <c r="I37" s="72"/>
      <c r="J37" s="73"/>
      <c r="K37" s="73"/>
    </row>
    <row r="38" spans="1:11" x14ac:dyDescent="0.25">
      <c r="A38" s="71"/>
      <c r="B38" s="72"/>
      <c r="C38" s="67" t="str">
        <f>IFERROR(INDEX('Capacidade UAS-CUAS'!$F$4:$F$81,MATCH($B38,'Capacidade UAS-CUAS'!$E$4:$E$81,0)),"")</f>
        <v/>
      </c>
      <c r="D38" s="67" t="str">
        <f>IFERROR(INDEX('Capacidade UAS-CUAS'!$B$4:$B$81,MATCH($B38,'Capacidade UAS-CUAS'!$E$4:$E$81,0)),"")</f>
        <v/>
      </c>
      <c r="E38" s="68" t="str">
        <f>IFERROR(INDEX('Capacidade UAS-CUAS'!$D$4:$D$81,MATCH($B38,'Capacidade UAS-CUAS'!$E$4:$E$81,0)),"")</f>
        <v/>
      </c>
      <c r="F38" s="72"/>
      <c r="G38" s="72"/>
      <c r="H38" s="72"/>
      <c r="I38" s="72"/>
      <c r="J38" s="73"/>
      <c r="K38" s="73"/>
    </row>
    <row r="39" spans="1:11" x14ac:dyDescent="0.25">
      <c r="A39" s="71"/>
      <c r="B39" s="72"/>
      <c r="C39" s="67" t="str">
        <f>IFERROR(INDEX('Capacidade UAS-CUAS'!$F$4:$F$81,MATCH($B39,'Capacidade UAS-CUAS'!$E$4:$E$81,0)),"")</f>
        <v/>
      </c>
      <c r="D39" s="67" t="str">
        <f>IFERROR(INDEX('Capacidade UAS-CUAS'!$B$4:$B$81,MATCH($B39,'Capacidade UAS-CUAS'!$E$4:$E$81,0)),"")</f>
        <v/>
      </c>
      <c r="E39" s="68" t="str">
        <f>IFERROR(INDEX('Capacidade UAS-CUAS'!$D$4:$D$81,MATCH($B39,'Capacidade UAS-CUAS'!$E$4:$E$81,0)),"")</f>
        <v/>
      </c>
      <c r="F39" s="72"/>
      <c r="G39" s="72"/>
      <c r="H39" s="72"/>
      <c r="I39" s="72"/>
      <c r="J39" s="73"/>
      <c r="K39" s="73"/>
    </row>
    <row r="40" spans="1:11" x14ac:dyDescent="0.25">
      <c r="A40" s="71"/>
      <c r="B40" s="72"/>
      <c r="C40" s="67" t="str">
        <f>IFERROR(INDEX('Capacidade UAS-CUAS'!$F$4:$F$81,MATCH($B40,'Capacidade UAS-CUAS'!$E$4:$E$81,0)),"")</f>
        <v/>
      </c>
      <c r="D40" s="67" t="str">
        <f>IFERROR(INDEX('Capacidade UAS-CUAS'!$B$4:$B$81,MATCH($B40,'Capacidade UAS-CUAS'!$E$4:$E$81,0)),"")</f>
        <v/>
      </c>
      <c r="E40" s="68" t="str">
        <f>IFERROR(INDEX('Capacidade UAS-CUAS'!$D$4:$D$81,MATCH($B40,'Capacidade UAS-CUAS'!$E$4:$E$81,0)),"")</f>
        <v/>
      </c>
      <c r="F40" s="72"/>
      <c r="G40" s="72"/>
      <c r="H40" s="72"/>
      <c r="I40" s="72"/>
      <c r="J40" s="73"/>
      <c r="K40" s="73"/>
    </row>
    <row r="41" spans="1:11" x14ac:dyDescent="0.25">
      <c r="A41" s="71"/>
      <c r="B41" s="72"/>
      <c r="C41" s="67" t="str">
        <f>IFERROR(INDEX('Capacidade UAS-CUAS'!$F$4:$F$81,MATCH($B41,'Capacidade UAS-CUAS'!$E$4:$E$81,0)),"")</f>
        <v/>
      </c>
      <c r="D41" s="67" t="str">
        <f>IFERROR(INDEX('Capacidade UAS-CUAS'!$B$4:$B$81,MATCH($B41,'Capacidade UAS-CUAS'!$E$4:$E$81,0)),"")</f>
        <v/>
      </c>
      <c r="E41" s="68" t="str">
        <f>IFERROR(INDEX('Capacidade UAS-CUAS'!$D$4:$D$81,MATCH($B41,'Capacidade UAS-CUAS'!$E$4:$E$81,0)),"")</f>
        <v/>
      </c>
      <c r="F41" s="72"/>
      <c r="G41" s="72"/>
      <c r="H41" s="72"/>
      <c r="I41" s="72"/>
      <c r="J41" s="73"/>
      <c r="K41" s="73"/>
    </row>
    <row r="42" spans="1:11" x14ac:dyDescent="0.25">
      <c r="A42" s="71"/>
      <c r="B42" s="72"/>
      <c r="C42" s="67" t="str">
        <f>IFERROR(INDEX('Capacidade UAS-CUAS'!$F$4:$F$81,MATCH($B42,'Capacidade UAS-CUAS'!$E$4:$E$81,0)),"")</f>
        <v/>
      </c>
      <c r="D42" s="67" t="str">
        <f>IFERROR(INDEX('Capacidade UAS-CUAS'!$B$4:$B$81,MATCH($B42,'Capacidade UAS-CUAS'!$E$4:$E$81,0)),"")</f>
        <v/>
      </c>
      <c r="E42" s="68" t="str">
        <f>IFERROR(INDEX('Capacidade UAS-CUAS'!$D$4:$D$81,MATCH($B42,'Capacidade UAS-CUAS'!$E$4:$E$81,0)),"")</f>
        <v/>
      </c>
      <c r="F42" s="72"/>
      <c r="G42" s="72"/>
      <c r="H42" s="72"/>
      <c r="I42" s="72"/>
      <c r="J42" s="73"/>
      <c r="K42" s="73"/>
    </row>
    <row r="43" spans="1:11" x14ac:dyDescent="0.25">
      <c r="A43" s="71"/>
      <c r="B43" s="72"/>
      <c r="C43" s="67" t="str">
        <f>IFERROR(INDEX('Capacidade UAS-CUAS'!$F$4:$F$81,MATCH($B43,'Capacidade UAS-CUAS'!$E$4:$E$81,0)),"")</f>
        <v/>
      </c>
      <c r="D43" s="67" t="str">
        <f>IFERROR(INDEX('Capacidade UAS-CUAS'!$B$4:$B$81,MATCH($B43,'Capacidade UAS-CUAS'!$E$4:$E$81,0)),"")</f>
        <v/>
      </c>
      <c r="E43" s="68" t="str">
        <f>IFERROR(INDEX('Capacidade UAS-CUAS'!$D$4:$D$81,MATCH($B43,'Capacidade UAS-CUAS'!$E$4:$E$81,0)),"")</f>
        <v/>
      </c>
      <c r="F43" s="72"/>
      <c r="G43" s="72"/>
      <c r="H43" s="72"/>
      <c r="I43" s="72"/>
      <c r="J43" s="73"/>
      <c r="K43" s="73"/>
    </row>
    <row r="44" spans="1:11" x14ac:dyDescent="0.25">
      <c r="A44" s="71"/>
      <c r="B44" s="72"/>
      <c r="C44" s="67" t="str">
        <f>IFERROR(INDEX('Capacidade UAS-CUAS'!$F$4:$F$81,MATCH($B44,'Capacidade UAS-CUAS'!$E$4:$E$81,0)),"")</f>
        <v/>
      </c>
      <c r="D44" s="67" t="str">
        <f>IFERROR(INDEX('Capacidade UAS-CUAS'!$B$4:$B$81,MATCH($B44,'Capacidade UAS-CUAS'!$E$4:$E$81,0)),"")</f>
        <v/>
      </c>
      <c r="E44" s="68" t="str">
        <f>IFERROR(INDEX('Capacidade UAS-CUAS'!$D$4:$D$81,MATCH($B44,'Capacidade UAS-CUAS'!$E$4:$E$81,0)),"")</f>
        <v/>
      </c>
      <c r="F44" s="72"/>
      <c r="G44" s="72"/>
      <c r="H44" s="72"/>
      <c r="I44" s="72"/>
      <c r="J44" s="73"/>
      <c r="K44" s="73"/>
    </row>
    <row r="45" spans="1:11" x14ac:dyDescent="0.25">
      <c r="A45" s="71"/>
      <c r="B45" s="72"/>
      <c r="C45" s="67" t="str">
        <f>IFERROR(INDEX('Capacidade UAS-CUAS'!$F$4:$F$81,MATCH($B45,'Capacidade UAS-CUAS'!$E$4:$E$81,0)),"")</f>
        <v/>
      </c>
      <c r="D45" s="67" t="str">
        <f>IFERROR(INDEX('Capacidade UAS-CUAS'!$B$4:$B$81,MATCH($B45,'Capacidade UAS-CUAS'!$E$4:$E$81,0)),"")</f>
        <v/>
      </c>
      <c r="E45" s="68" t="str">
        <f>IFERROR(INDEX('Capacidade UAS-CUAS'!$D$4:$D$81,MATCH($B45,'Capacidade UAS-CUAS'!$E$4:$E$81,0)),"")</f>
        <v/>
      </c>
      <c r="F45" s="72"/>
      <c r="G45" s="72"/>
      <c r="H45" s="72"/>
      <c r="I45" s="72"/>
      <c r="J45" s="73"/>
      <c r="K45" s="73"/>
    </row>
    <row r="46" spans="1:11" x14ac:dyDescent="0.25">
      <c r="A46" s="71"/>
      <c r="B46" s="72"/>
      <c r="C46" s="67" t="str">
        <f>IFERROR(INDEX('Capacidade UAS-CUAS'!$F$4:$F$81,MATCH($B46,'Capacidade UAS-CUAS'!$E$4:$E$81,0)),"")</f>
        <v/>
      </c>
      <c r="D46" s="67" t="str">
        <f>IFERROR(INDEX('Capacidade UAS-CUAS'!$B$4:$B$81,MATCH($B46,'Capacidade UAS-CUAS'!$E$4:$E$81,0)),"")</f>
        <v/>
      </c>
      <c r="E46" s="68" t="str">
        <f>IFERROR(INDEX('Capacidade UAS-CUAS'!$D$4:$D$81,MATCH($B46,'Capacidade UAS-CUAS'!$E$4:$E$81,0)),"")</f>
        <v/>
      </c>
      <c r="F46" s="72"/>
      <c r="G46" s="72"/>
      <c r="H46" s="72"/>
      <c r="I46" s="72"/>
      <c r="J46" s="73"/>
      <c r="K46" s="73"/>
    </row>
    <row r="47" spans="1:11" x14ac:dyDescent="0.25">
      <c r="A47" s="71"/>
      <c r="B47" s="72"/>
      <c r="C47" s="67" t="str">
        <f>IFERROR(INDEX('Capacidade UAS-CUAS'!$F$4:$F$81,MATCH($B47,'Capacidade UAS-CUAS'!$E$4:$E$81,0)),"")</f>
        <v/>
      </c>
      <c r="D47" s="67" t="str">
        <f>IFERROR(INDEX('Capacidade UAS-CUAS'!$B$4:$B$81,MATCH($B47,'Capacidade UAS-CUAS'!$E$4:$E$81,0)),"")</f>
        <v/>
      </c>
      <c r="E47" s="68" t="str">
        <f>IFERROR(INDEX('Capacidade UAS-CUAS'!$D$4:$D$81,MATCH($B47,'Capacidade UAS-CUAS'!$E$4:$E$81,0)),"")</f>
        <v/>
      </c>
      <c r="F47" s="72"/>
      <c r="G47" s="72"/>
      <c r="H47" s="72"/>
      <c r="I47" s="72"/>
      <c r="J47" s="73"/>
      <c r="K47" s="73"/>
    </row>
    <row r="48" spans="1:11" x14ac:dyDescent="0.25">
      <c r="A48" s="71"/>
      <c r="B48" s="72"/>
      <c r="C48" s="67" t="str">
        <f>IFERROR(INDEX('Capacidade UAS-CUAS'!$F$4:$F$81,MATCH($B48,'Capacidade UAS-CUAS'!$E$4:$E$81,0)),"")</f>
        <v/>
      </c>
      <c r="D48" s="67" t="str">
        <f>IFERROR(INDEX('Capacidade UAS-CUAS'!$B$4:$B$81,MATCH($B48,'Capacidade UAS-CUAS'!$E$4:$E$81,0)),"")</f>
        <v/>
      </c>
      <c r="E48" s="68" t="str">
        <f>IFERROR(INDEX('Capacidade UAS-CUAS'!$D$4:$D$81,MATCH($B48,'Capacidade UAS-CUAS'!$E$4:$E$81,0)),"")</f>
        <v/>
      </c>
      <c r="F48" s="72"/>
      <c r="G48" s="72"/>
      <c r="H48" s="72"/>
      <c r="I48" s="72"/>
      <c r="J48" s="73"/>
      <c r="K48" s="73"/>
    </row>
    <row r="49" spans="1:11" x14ac:dyDescent="0.25">
      <c r="A49" s="71"/>
      <c r="B49" s="72"/>
      <c r="C49" s="67" t="str">
        <f>IFERROR(INDEX('Capacidade UAS-CUAS'!$F$4:$F$81,MATCH($B49,'Capacidade UAS-CUAS'!$E$4:$E$81,0)),"")</f>
        <v/>
      </c>
      <c r="D49" s="67" t="str">
        <f>IFERROR(INDEX('Capacidade UAS-CUAS'!$B$4:$B$81,MATCH($B49,'Capacidade UAS-CUAS'!$E$4:$E$81,0)),"")</f>
        <v/>
      </c>
      <c r="E49" s="68" t="str">
        <f>IFERROR(INDEX('Capacidade UAS-CUAS'!$D$4:$D$81,MATCH($B49,'Capacidade UAS-CUAS'!$E$4:$E$81,0)),"")</f>
        <v/>
      </c>
      <c r="F49" s="72"/>
      <c r="G49" s="72"/>
      <c r="H49" s="72"/>
      <c r="I49" s="72"/>
      <c r="J49" s="73"/>
      <c r="K49" s="73"/>
    </row>
    <row r="50" spans="1:11" x14ac:dyDescent="0.25">
      <c r="A50" s="71"/>
      <c r="B50" s="72"/>
      <c r="C50" s="67" t="str">
        <f>IFERROR(INDEX('Capacidade UAS-CUAS'!$F$4:$F$81,MATCH($B50,'Capacidade UAS-CUAS'!$E$4:$E$81,0)),"")</f>
        <v/>
      </c>
      <c r="D50" s="67" t="str">
        <f>IFERROR(INDEX('Capacidade UAS-CUAS'!$B$4:$B$81,MATCH($B50,'Capacidade UAS-CUAS'!$E$4:$E$81,0)),"")</f>
        <v/>
      </c>
      <c r="E50" s="68" t="str">
        <f>IFERROR(INDEX('Capacidade UAS-CUAS'!$D$4:$D$81,MATCH($B50,'Capacidade UAS-CUAS'!$E$4:$E$81,0)),"")</f>
        <v/>
      </c>
      <c r="F50" s="72"/>
      <c r="G50" s="72"/>
      <c r="H50" s="72"/>
      <c r="I50" s="72"/>
      <c r="J50" s="73"/>
      <c r="K50" s="73"/>
    </row>
    <row r="51" spans="1:11" x14ac:dyDescent="0.25">
      <c r="A51" s="71"/>
      <c r="B51" s="72"/>
      <c r="C51" s="67" t="str">
        <f>IFERROR(INDEX('Capacidade UAS-CUAS'!$F$4:$F$81,MATCH($B51,'Capacidade UAS-CUAS'!$E$4:$E$81,0)),"")</f>
        <v/>
      </c>
      <c r="D51" s="67" t="str">
        <f>IFERROR(INDEX('Capacidade UAS-CUAS'!$B$4:$B$81,MATCH($B51,'Capacidade UAS-CUAS'!$E$4:$E$81,0)),"")</f>
        <v/>
      </c>
      <c r="E51" s="68" t="str">
        <f>IFERROR(INDEX('Capacidade UAS-CUAS'!$D$4:$D$81,MATCH($B51,'Capacidade UAS-CUAS'!$E$4:$E$81,0)),"")</f>
        <v/>
      </c>
      <c r="F51" s="72"/>
      <c r="G51" s="72"/>
      <c r="H51" s="72"/>
      <c r="I51" s="72"/>
      <c r="J51" s="73"/>
      <c r="K51" s="73"/>
    </row>
    <row r="52" spans="1:11" x14ac:dyDescent="0.25">
      <c r="A52" s="71"/>
      <c r="B52" s="72"/>
      <c r="C52" s="67" t="str">
        <f>IFERROR(INDEX('Capacidade UAS-CUAS'!$F$4:$F$81,MATCH($B52,'Capacidade UAS-CUAS'!$E$4:$E$81,0)),"")</f>
        <v/>
      </c>
      <c r="D52" s="67" t="str">
        <f>IFERROR(INDEX('Capacidade UAS-CUAS'!$B$4:$B$81,MATCH($B52,'Capacidade UAS-CUAS'!$E$4:$E$81,0)),"")</f>
        <v/>
      </c>
      <c r="E52" s="68" t="str">
        <f>IFERROR(INDEX('Capacidade UAS-CUAS'!$D$4:$D$81,MATCH($B52,'Capacidade UAS-CUAS'!$E$4:$E$81,0)),"")</f>
        <v/>
      </c>
      <c r="F52" s="72"/>
      <c r="G52" s="72"/>
      <c r="H52" s="72"/>
      <c r="I52" s="72"/>
      <c r="J52" s="73"/>
      <c r="K52" s="73"/>
    </row>
    <row r="53" spans="1:11" x14ac:dyDescent="0.25">
      <c r="A53" s="71"/>
      <c r="B53" s="72"/>
      <c r="C53" s="67" t="str">
        <f>IFERROR(INDEX('Capacidade UAS-CUAS'!$F$4:$F$81,MATCH($B53,'Capacidade UAS-CUAS'!$E$4:$E$81,0)),"")</f>
        <v/>
      </c>
      <c r="D53" s="67" t="str">
        <f>IFERROR(INDEX('Capacidade UAS-CUAS'!$B$4:$B$81,MATCH($B53,'Capacidade UAS-CUAS'!$E$4:$E$81,0)),"")</f>
        <v/>
      </c>
      <c r="E53" s="68" t="str">
        <f>IFERROR(INDEX('Capacidade UAS-CUAS'!$D$4:$D$81,MATCH($B53,'Capacidade UAS-CUAS'!$E$4:$E$81,0)),"")</f>
        <v/>
      </c>
      <c r="F53" s="72"/>
      <c r="G53" s="72"/>
      <c r="H53" s="72"/>
      <c r="I53" s="72"/>
      <c r="J53" s="73"/>
      <c r="K53" s="73"/>
    </row>
    <row r="54" spans="1:11" x14ac:dyDescent="0.25">
      <c r="A54" s="71"/>
      <c r="B54" s="72"/>
      <c r="C54" s="67" t="str">
        <f>IFERROR(INDEX('Capacidade UAS-CUAS'!$F$4:$F$81,MATCH($B54,'Capacidade UAS-CUAS'!$E$4:$E$81,0)),"")</f>
        <v/>
      </c>
      <c r="D54" s="67" t="str">
        <f>IFERROR(INDEX('Capacidade UAS-CUAS'!$B$4:$B$81,MATCH($B54,'Capacidade UAS-CUAS'!$E$4:$E$81,0)),"")</f>
        <v/>
      </c>
      <c r="E54" s="68" t="str">
        <f>IFERROR(INDEX('Capacidade UAS-CUAS'!$D$4:$D$81,MATCH($B54,'Capacidade UAS-CUAS'!$E$4:$E$81,0)),"")</f>
        <v/>
      </c>
      <c r="F54" s="72"/>
      <c r="G54" s="72"/>
      <c r="H54" s="72"/>
      <c r="I54" s="72"/>
      <c r="J54" s="73"/>
      <c r="K54" s="73"/>
    </row>
    <row r="55" spans="1:11" x14ac:dyDescent="0.25">
      <c r="A55" s="71"/>
      <c r="B55" s="72"/>
      <c r="C55" s="67" t="str">
        <f>IFERROR(INDEX('Capacidade UAS-CUAS'!$F$4:$F$81,MATCH($B55,'Capacidade UAS-CUAS'!$E$4:$E$81,0)),"")</f>
        <v/>
      </c>
      <c r="D55" s="67" t="str">
        <f>IFERROR(INDEX('Capacidade UAS-CUAS'!$B$4:$B$81,MATCH($B55,'Capacidade UAS-CUAS'!$E$4:$E$81,0)),"")</f>
        <v/>
      </c>
      <c r="E55" s="68" t="str">
        <f>IFERROR(INDEX('Capacidade UAS-CUAS'!$D$4:$D$81,MATCH($B55,'Capacidade UAS-CUAS'!$E$4:$E$81,0)),"")</f>
        <v/>
      </c>
      <c r="F55" s="72"/>
      <c r="G55" s="72"/>
      <c r="H55" s="72"/>
      <c r="I55" s="72"/>
      <c r="J55" s="73"/>
      <c r="K55" s="73"/>
    </row>
    <row r="56" spans="1:11" x14ac:dyDescent="0.25">
      <c r="A56" s="71"/>
      <c r="B56" s="72"/>
      <c r="C56" s="67" t="str">
        <f>IFERROR(INDEX('Capacidade UAS-CUAS'!$F$4:$F$81,MATCH($B56,'Capacidade UAS-CUAS'!$E$4:$E$81,0)),"")</f>
        <v/>
      </c>
      <c r="D56" s="67" t="str">
        <f>IFERROR(INDEX('Capacidade UAS-CUAS'!$B$4:$B$81,MATCH($B56,'Capacidade UAS-CUAS'!$E$4:$E$81,0)),"")</f>
        <v/>
      </c>
      <c r="E56" s="68" t="str">
        <f>IFERROR(INDEX('Capacidade UAS-CUAS'!$D$4:$D$81,MATCH($B56,'Capacidade UAS-CUAS'!$E$4:$E$81,0)),"")</f>
        <v/>
      </c>
      <c r="F56" s="72"/>
      <c r="G56" s="72"/>
      <c r="H56" s="72"/>
      <c r="I56" s="72"/>
      <c r="J56" s="73"/>
      <c r="K56" s="73"/>
    </row>
    <row r="57" spans="1:11" x14ac:dyDescent="0.25">
      <c r="A57" s="71"/>
      <c r="B57" s="72"/>
      <c r="C57" s="67" t="str">
        <f>IFERROR(INDEX('Capacidade UAS-CUAS'!$F$4:$F$81,MATCH($B57,'Capacidade UAS-CUAS'!$E$4:$E$81,0)),"")</f>
        <v/>
      </c>
      <c r="D57" s="67" t="str">
        <f>IFERROR(INDEX('Capacidade UAS-CUAS'!$B$4:$B$81,MATCH($B57,'Capacidade UAS-CUAS'!$E$4:$E$81,0)),"")</f>
        <v/>
      </c>
      <c r="E57" s="68" t="str">
        <f>IFERROR(INDEX('Capacidade UAS-CUAS'!$D$4:$D$81,MATCH($B57,'Capacidade UAS-CUAS'!$E$4:$E$81,0)),"")</f>
        <v/>
      </c>
      <c r="F57" s="72"/>
      <c r="G57" s="72"/>
      <c r="H57" s="72"/>
      <c r="I57" s="72"/>
      <c r="J57" s="73"/>
      <c r="K57" s="73"/>
    </row>
    <row r="58" spans="1:11" x14ac:dyDescent="0.25">
      <c r="A58" s="71"/>
      <c r="B58" s="72"/>
      <c r="C58" s="67" t="str">
        <f>IFERROR(INDEX('Capacidade UAS-CUAS'!$F$4:$F$81,MATCH($B58,'Capacidade UAS-CUAS'!$E$4:$E$81,0)),"")</f>
        <v/>
      </c>
      <c r="D58" s="67" t="str">
        <f>IFERROR(INDEX('Capacidade UAS-CUAS'!$B$4:$B$81,MATCH($B58,'Capacidade UAS-CUAS'!$E$4:$E$81,0)),"")</f>
        <v/>
      </c>
      <c r="E58" s="68" t="str">
        <f>IFERROR(INDEX('Capacidade UAS-CUAS'!$D$4:$D$81,MATCH($B58,'Capacidade UAS-CUAS'!$E$4:$E$81,0)),"")</f>
        <v/>
      </c>
      <c r="F58" s="72"/>
      <c r="G58" s="72"/>
      <c r="H58" s="72"/>
      <c r="I58" s="72"/>
      <c r="J58" s="73"/>
      <c r="K58" s="73"/>
    </row>
    <row r="59" spans="1:11" x14ac:dyDescent="0.25">
      <c r="A59" s="71"/>
      <c r="B59" s="72"/>
      <c r="C59" s="67" t="str">
        <f>IFERROR(INDEX('Capacidade UAS-CUAS'!$F$4:$F$81,MATCH($B59,'Capacidade UAS-CUAS'!$E$4:$E$81,0)),"")</f>
        <v/>
      </c>
      <c r="D59" s="67" t="str">
        <f>IFERROR(INDEX('Capacidade UAS-CUAS'!$B$4:$B$81,MATCH($B59,'Capacidade UAS-CUAS'!$E$4:$E$81,0)),"")</f>
        <v/>
      </c>
      <c r="E59" s="68" t="str">
        <f>IFERROR(INDEX('Capacidade UAS-CUAS'!$D$4:$D$81,MATCH($B59,'Capacidade UAS-CUAS'!$E$4:$E$81,0)),"")</f>
        <v/>
      </c>
      <c r="F59" s="72"/>
      <c r="G59" s="72"/>
      <c r="H59" s="72"/>
      <c r="I59" s="72"/>
      <c r="J59" s="73"/>
      <c r="K59" s="73"/>
    </row>
    <row r="60" spans="1:11" x14ac:dyDescent="0.25">
      <c r="A60" s="71"/>
      <c r="B60" s="72"/>
      <c r="C60" s="67" t="str">
        <f>IFERROR(INDEX('Capacidade UAS-CUAS'!$F$4:$F$81,MATCH($B60,'Capacidade UAS-CUAS'!$E$4:$E$81,0)),"")</f>
        <v/>
      </c>
      <c r="D60" s="67" t="str">
        <f>IFERROR(INDEX('Capacidade UAS-CUAS'!$B$4:$B$81,MATCH($B60,'Capacidade UAS-CUAS'!$E$4:$E$81,0)),"")</f>
        <v/>
      </c>
      <c r="E60" s="68" t="str">
        <f>IFERROR(INDEX('Capacidade UAS-CUAS'!$D$4:$D$81,MATCH($B60,'Capacidade UAS-CUAS'!$E$4:$E$81,0)),"")</f>
        <v/>
      </c>
      <c r="F60" s="72"/>
      <c r="G60" s="72"/>
      <c r="H60" s="72"/>
      <c r="I60" s="72"/>
      <c r="J60" s="73"/>
      <c r="K60" s="73"/>
    </row>
    <row r="61" spans="1:11" x14ac:dyDescent="0.25">
      <c r="A61" s="71"/>
      <c r="B61" s="72"/>
      <c r="C61" s="67" t="str">
        <f>IFERROR(INDEX('Capacidade UAS-CUAS'!$F$4:$F$81,MATCH($B61,'Capacidade UAS-CUAS'!$E$4:$E$81,0)),"")</f>
        <v/>
      </c>
      <c r="D61" s="67" t="str">
        <f>IFERROR(INDEX('Capacidade UAS-CUAS'!$B$4:$B$81,MATCH($B61,'Capacidade UAS-CUAS'!$E$4:$E$81,0)),"")</f>
        <v/>
      </c>
      <c r="E61" s="68" t="str">
        <f>IFERROR(INDEX('Capacidade UAS-CUAS'!$D$4:$D$81,MATCH($B61,'Capacidade UAS-CUAS'!$E$4:$E$81,0)),"")</f>
        <v/>
      </c>
      <c r="F61" s="72"/>
      <c r="G61" s="72"/>
      <c r="H61" s="72"/>
      <c r="I61" s="72"/>
      <c r="J61" s="73"/>
      <c r="K61" s="73"/>
    </row>
    <row r="62" spans="1:11" x14ac:dyDescent="0.25">
      <c r="A62" s="71"/>
      <c r="B62" s="72"/>
      <c r="C62" s="67" t="str">
        <f>IFERROR(INDEX('Capacidade UAS-CUAS'!$F$4:$F$81,MATCH($B62,'Capacidade UAS-CUAS'!$E$4:$E$81,0)),"")</f>
        <v/>
      </c>
      <c r="D62" s="67" t="str">
        <f>IFERROR(INDEX('Capacidade UAS-CUAS'!$B$4:$B$81,MATCH($B62,'Capacidade UAS-CUAS'!$E$4:$E$81,0)),"")</f>
        <v/>
      </c>
      <c r="E62" s="68" t="str">
        <f>IFERROR(INDEX('Capacidade UAS-CUAS'!$D$4:$D$81,MATCH($B62,'Capacidade UAS-CUAS'!$E$4:$E$81,0)),"")</f>
        <v/>
      </c>
      <c r="F62" s="72"/>
      <c r="G62" s="72"/>
      <c r="H62" s="72"/>
      <c r="I62" s="72"/>
      <c r="J62" s="73"/>
      <c r="K62" s="73"/>
    </row>
    <row r="63" spans="1:11" x14ac:dyDescent="0.25">
      <c r="A63" s="71"/>
      <c r="B63" s="72"/>
      <c r="C63" s="67" t="str">
        <f>IFERROR(INDEX('Capacidade UAS-CUAS'!$F$4:$F$81,MATCH($B63,'Capacidade UAS-CUAS'!$E$4:$E$81,0)),"")</f>
        <v/>
      </c>
      <c r="D63" s="67" t="str">
        <f>IFERROR(INDEX('Capacidade UAS-CUAS'!$B$4:$B$81,MATCH($B63,'Capacidade UAS-CUAS'!$E$4:$E$81,0)),"")</f>
        <v/>
      </c>
      <c r="E63" s="68" t="str">
        <f>IFERROR(INDEX('Capacidade UAS-CUAS'!$D$4:$D$81,MATCH($B63,'Capacidade UAS-CUAS'!$E$4:$E$81,0)),"")</f>
        <v/>
      </c>
      <c r="F63" s="72"/>
      <c r="G63" s="72"/>
      <c r="H63" s="72"/>
      <c r="I63" s="72"/>
      <c r="J63" s="73"/>
      <c r="K63" s="73"/>
    </row>
    <row r="64" spans="1:11" x14ac:dyDescent="0.25">
      <c r="A64" s="71"/>
      <c r="B64" s="72"/>
      <c r="C64" s="67" t="str">
        <f>IFERROR(INDEX('Capacidade UAS-CUAS'!$F$4:$F$81,MATCH($B64,'Capacidade UAS-CUAS'!$E$4:$E$81,0)),"")</f>
        <v/>
      </c>
      <c r="D64" s="67" t="str">
        <f>IFERROR(INDEX('Capacidade UAS-CUAS'!$B$4:$B$81,MATCH($B64,'Capacidade UAS-CUAS'!$E$4:$E$81,0)),"")</f>
        <v/>
      </c>
      <c r="E64" s="68" t="str">
        <f>IFERROR(INDEX('Capacidade UAS-CUAS'!$D$4:$D$81,MATCH($B64,'Capacidade UAS-CUAS'!$E$4:$E$81,0)),"")</f>
        <v/>
      </c>
      <c r="F64" s="72"/>
      <c r="G64" s="72"/>
      <c r="H64" s="72"/>
      <c r="I64" s="72"/>
      <c r="J64" s="73"/>
      <c r="K64" s="73"/>
    </row>
    <row r="65" spans="1:11" x14ac:dyDescent="0.25">
      <c r="A65" s="71"/>
      <c r="B65" s="72"/>
      <c r="C65" s="67" t="str">
        <f>IFERROR(INDEX('Capacidade UAS-CUAS'!$F$4:$F$81,MATCH($B65,'Capacidade UAS-CUAS'!$E$4:$E$81,0)),"")</f>
        <v/>
      </c>
      <c r="D65" s="67" t="str">
        <f>IFERROR(INDEX('Capacidade UAS-CUAS'!$B$4:$B$81,MATCH($B65,'Capacidade UAS-CUAS'!$E$4:$E$81,0)),"")</f>
        <v/>
      </c>
      <c r="E65" s="68" t="str">
        <f>IFERROR(INDEX('Capacidade UAS-CUAS'!$D$4:$D$81,MATCH($B65,'Capacidade UAS-CUAS'!$E$4:$E$81,0)),"")</f>
        <v/>
      </c>
      <c r="F65" s="72"/>
      <c r="G65" s="72"/>
      <c r="H65" s="72"/>
      <c r="I65" s="72"/>
      <c r="J65" s="73"/>
      <c r="K65" s="73"/>
    </row>
    <row r="66" spans="1:11" x14ac:dyDescent="0.25">
      <c r="A66" s="71"/>
      <c r="B66" s="72"/>
      <c r="C66" s="67" t="str">
        <f>IFERROR(INDEX('Capacidade UAS-CUAS'!$F$4:$F$81,MATCH($B66,'Capacidade UAS-CUAS'!$E$4:$E$81,0)),"")</f>
        <v/>
      </c>
      <c r="D66" s="67" t="str">
        <f>IFERROR(INDEX('Capacidade UAS-CUAS'!$B$4:$B$81,MATCH($B66,'Capacidade UAS-CUAS'!$E$4:$E$81,0)),"")</f>
        <v/>
      </c>
      <c r="E66" s="68" t="str">
        <f>IFERROR(INDEX('Capacidade UAS-CUAS'!$D$4:$D$81,MATCH($B66,'Capacidade UAS-CUAS'!$E$4:$E$81,0)),"")</f>
        <v/>
      </c>
      <c r="F66" s="72"/>
      <c r="G66" s="72"/>
      <c r="H66" s="72"/>
      <c r="I66" s="72"/>
      <c r="J66" s="73"/>
      <c r="K66" s="73"/>
    </row>
    <row r="67" spans="1:11" x14ac:dyDescent="0.25">
      <c r="A67" s="71"/>
      <c r="B67" s="72"/>
      <c r="C67" s="67" t="str">
        <f>IFERROR(INDEX('Capacidade UAS-CUAS'!$F$4:$F$81,MATCH($B67,'Capacidade UAS-CUAS'!$E$4:$E$81,0)),"")</f>
        <v/>
      </c>
      <c r="D67" s="67" t="str">
        <f>IFERROR(INDEX('Capacidade UAS-CUAS'!$B$4:$B$81,MATCH($B67,'Capacidade UAS-CUAS'!$E$4:$E$81,0)),"")</f>
        <v/>
      </c>
      <c r="E67" s="68" t="str">
        <f>IFERROR(INDEX('Capacidade UAS-CUAS'!$D$4:$D$81,MATCH($B67,'Capacidade UAS-CUAS'!$E$4:$E$81,0)),"")</f>
        <v/>
      </c>
      <c r="F67" s="72"/>
      <c r="G67" s="72"/>
      <c r="H67" s="72"/>
      <c r="I67" s="72"/>
      <c r="J67" s="73"/>
      <c r="K67" s="73"/>
    </row>
    <row r="68" spans="1:11" x14ac:dyDescent="0.25">
      <c r="A68" s="71"/>
      <c r="B68" s="72"/>
      <c r="C68" s="67" t="str">
        <f>IFERROR(INDEX('Capacidade UAS-CUAS'!$F$4:$F$81,MATCH($B68,'Capacidade UAS-CUAS'!$E$4:$E$81,0)),"")</f>
        <v/>
      </c>
      <c r="D68" s="67" t="str">
        <f>IFERROR(INDEX('Capacidade UAS-CUAS'!$B$4:$B$81,MATCH($B68,'Capacidade UAS-CUAS'!$E$4:$E$81,0)),"")</f>
        <v/>
      </c>
      <c r="E68" s="68" t="str">
        <f>IFERROR(INDEX('Capacidade UAS-CUAS'!$D$4:$D$81,MATCH($B68,'Capacidade UAS-CUAS'!$E$4:$E$81,0)),"")</f>
        <v/>
      </c>
      <c r="F68" s="72"/>
      <c r="G68" s="72"/>
      <c r="H68" s="72"/>
      <c r="I68" s="72"/>
      <c r="J68" s="73"/>
      <c r="K68" s="73"/>
    </row>
    <row r="69" spans="1:11" x14ac:dyDescent="0.25">
      <c r="A69" s="71"/>
      <c r="B69" s="72"/>
      <c r="C69" s="67" t="str">
        <f>IFERROR(INDEX('Capacidade UAS-CUAS'!$F$4:$F$81,MATCH($B69,'Capacidade UAS-CUAS'!$E$4:$E$81,0)),"")</f>
        <v/>
      </c>
      <c r="D69" s="67" t="str">
        <f>IFERROR(INDEX('Capacidade UAS-CUAS'!$B$4:$B$81,MATCH($B69,'Capacidade UAS-CUAS'!$E$4:$E$81,0)),"")</f>
        <v/>
      </c>
      <c r="E69" s="68" t="str">
        <f>IFERROR(INDEX('Capacidade UAS-CUAS'!$D$4:$D$81,MATCH($B69,'Capacidade UAS-CUAS'!$E$4:$E$81,0)),"")</f>
        <v/>
      </c>
      <c r="F69" s="72"/>
      <c r="G69" s="72"/>
      <c r="H69" s="72"/>
      <c r="I69" s="72"/>
      <c r="J69" s="73"/>
      <c r="K69" s="73"/>
    </row>
    <row r="70" spans="1:11" x14ac:dyDescent="0.25">
      <c r="A70" s="71"/>
      <c r="B70" s="72"/>
      <c r="C70" s="67" t="str">
        <f>IFERROR(INDEX('Capacidade UAS-CUAS'!$F$4:$F$81,MATCH($B70,'Capacidade UAS-CUAS'!$E$4:$E$81,0)),"")</f>
        <v/>
      </c>
      <c r="D70" s="67" t="str">
        <f>IFERROR(INDEX('Capacidade UAS-CUAS'!$B$4:$B$81,MATCH($B70,'Capacidade UAS-CUAS'!$E$4:$E$81,0)),"")</f>
        <v/>
      </c>
      <c r="E70" s="68" t="str">
        <f>IFERROR(INDEX('Capacidade UAS-CUAS'!$D$4:$D$81,MATCH($B70,'Capacidade UAS-CUAS'!$E$4:$E$81,0)),"")</f>
        <v/>
      </c>
      <c r="F70" s="72"/>
      <c r="G70" s="72"/>
      <c r="H70" s="72"/>
      <c r="I70" s="72"/>
      <c r="J70" s="73"/>
      <c r="K70" s="73"/>
    </row>
    <row r="71" spans="1:11" x14ac:dyDescent="0.25">
      <c r="A71" s="71"/>
      <c r="B71" s="72"/>
      <c r="C71" s="67" t="str">
        <f>IFERROR(INDEX('Capacidade UAS-CUAS'!$F$4:$F$81,MATCH($B71,'Capacidade UAS-CUAS'!$E$4:$E$81,0)),"")</f>
        <v/>
      </c>
      <c r="D71" s="67" t="str">
        <f>IFERROR(INDEX('Capacidade UAS-CUAS'!$B$4:$B$81,MATCH($B71,'Capacidade UAS-CUAS'!$E$4:$E$81,0)),"")</f>
        <v/>
      </c>
      <c r="E71" s="68" t="str">
        <f>IFERROR(INDEX('Capacidade UAS-CUAS'!$D$4:$D$81,MATCH($B71,'Capacidade UAS-CUAS'!$E$4:$E$81,0)),"")</f>
        <v/>
      </c>
      <c r="F71" s="72"/>
      <c r="G71" s="72"/>
      <c r="H71" s="72"/>
      <c r="I71" s="72"/>
      <c r="J71" s="73"/>
      <c r="K71" s="73"/>
    </row>
    <row r="72" spans="1:11" x14ac:dyDescent="0.25">
      <c r="A72" s="71"/>
      <c r="B72" s="72"/>
      <c r="C72" s="67" t="str">
        <f>IFERROR(INDEX('Capacidade UAS-CUAS'!$F$4:$F$81,MATCH($B72,'Capacidade UAS-CUAS'!$E$4:$E$81,0)),"")</f>
        <v/>
      </c>
      <c r="D72" s="67" t="str">
        <f>IFERROR(INDEX('Capacidade UAS-CUAS'!$B$4:$B$81,MATCH($B72,'Capacidade UAS-CUAS'!$E$4:$E$81,0)),"")</f>
        <v/>
      </c>
      <c r="E72" s="68" t="str">
        <f>IFERROR(INDEX('Capacidade UAS-CUAS'!$D$4:$D$81,MATCH($B72,'Capacidade UAS-CUAS'!$E$4:$E$81,0)),"")</f>
        <v/>
      </c>
      <c r="F72" s="72"/>
      <c r="G72" s="72"/>
      <c r="H72" s="72"/>
      <c r="I72" s="72"/>
      <c r="J72" s="73"/>
      <c r="K72" s="73"/>
    </row>
    <row r="73" spans="1:11" x14ac:dyDescent="0.25">
      <c r="A73" s="71"/>
      <c r="B73" s="72"/>
      <c r="C73" s="67" t="str">
        <f>IFERROR(INDEX('Capacidade UAS-CUAS'!$F$4:$F$81,MATCH($B73,'Capacidade UAS-CUAS'!$E$4:$E$81,0)),"")</f>
        <v/>
      </c>
      <c r="D73" s="67" t="str">
        <f>IFERROR(INDEX('Capacidade UAS-CUAS'!$B$4:$B$81,MATCH($B73,'Capacidade UAS-CUAS'!$E$4:$E$81,0)),"")</f>
        <v/>
      </c>
      <c r="E73" s="68" t="str">
        <f>IFERROR(INDEX('Capacidade UAS-CUAS'!$D$4:$D$81,MATCH($B73,'Capacidade UAS-CUAS'!$E$4:$E$81,0)),"")</f>
        <v/>
      </c>
      <c r="F73" s="72"/>
      <c r="G73" s="72"/>
      <c r="H73" s="72"/>
      <c r="I73" s="72"/>
      <c r="J73" s="73"/>
      <c r="K73" s="73"/>
    </row>
    <row r="74" spans="1:11" x14ac:dyDescent="0.25">
      <c r="A74" s="71"/>
      <c r="B74" s="72"/>
      <c r="C74" s="67" t="str">
        <f>IFERROR(INDEX('Capacidade UAS-CUAS'!$F$4:$F$81,MATCH($B74,'Capacidade UAS-CUAS'!$E$4:$E$81,0)),"")</f>
        <v/>
      </c>
      <c r="D74" s="67" t="str">
        <f>IFERROR(INDEX('Capacidade UAS-CUAS'!$B$4:$B$81,MATCH($B74,'Capacidade UAS-CUAS'!$E$4:$E$81,0)),"")</f>
        <v/>
      </c>
      <c r="E74" s="68" t="str">
        <f>IFERROR(INDEX('Capacidade UAS-CUAS'!$D$4:$D$81,MATCH($B74,'Capacidade UAS-CUAS'!$E$4:$E$81,0)),"")</f>
        <v/>
      </c>
      <c r="F74" s="72"/>
      <c r="G74" s="72"/>
      <c r="H74" s="72"/>
      <c r="I74" s="72"/>
      <c r="J74" s="73"/>
      <c r="K74" s="73"/>
    </row>
    <row r="75" spans="1:11" x14ac:dyDescent="0.25">
      <c r="A75" s="71"/>
      <c r="B75" s="72"/>
      <c r="C75" s="67" t="str">
        <f>IFERROR(INDEX('Capacidade UAS-CUAS'!$F$4:$F$81,MATCH($B75,'Capacidade UAS-CUAS'!$E$4:$E$81,0)),"")</f>
        <v/>
      </c>
      <c r="D75" s="67" t="str">
        <f>IFERROR(INDEX('Capacidade UAS-CUAS'!$B$4:$B$81,MATCH($B75,'Capacidade UAS-CUAS'!$E$4:$E$81,0)),"")</f>
        <v/>
      </c>
      <c r="E75" s="68" t="str">
        <f>IFERROR(INDEX('Capacidade UAS-CUAS'!$D$4:$D$81,MATCH($B75,'Capacidade UAS-CUAS'!$E$4:$E$81,0)),"")</f>
        <v/>
      </c>
      <c r="F75" s="72"/>
      <c r="G75" s="72"/>
      <c r="H75" s="72"/>
      <c r="I75" s="72"/>
      <c r="J75" s="73"/>
      <c r="K75" s="73"/>
    </row>
    <row r="76" spans="1:11" x14ac:dyDescent="0.25">
      <c r="A76" s="71"/>
      <c r="B76" s="72"/>
      <c r="C76" s="67" t="str">
        <f>IFERROR(INDEX('Capacidade UAS-CUAS'!$F$4:$F$81,MATCH($B76,'Capacidade UAS-CUAS'!$E$4:$E$81,0)),"")</f>
        <v/>
      </c>
      <c r="D76" s="67" t="str">
        <f>IFERROR(INDEX('Capacidade UAS-CUAS'!$B$4:$B$81,MATCH($B76,'Capacidade UAS-CUAS'!$E$4:$E$81,0)),"")</f>
        <v/>
      </c>
      <c r="E76" s="68" t="str">
        <f>IFERROR(INDEX('Capacidade UAS-CUAS'!$D$4:$D$81,MATCH($B76,'Capacidade UAS-CUAS'!$E$4:$E$81,0)),"")</f>
        <v/>
      </c>
      <c r="F76" s="72"/>
      <c r="G76" s="72"/>
      <c r="H76" s="72"/>
      <c r="I76" s="72"/>
      <c r="J76" s="73"/>
      <c r="K76" s="73"/>
    </row>
    <row r="77" spans="1:11" x14ac:dyDescent="0.25">
      <c r="A77" s="71"/>
      <c r="B77" s="72"/>
      <c r="C77" s="67" t="str">
        <f>IFERROR(INDEX('Capacidade UAS-CUAS'!$F$4:$F$81,MATCH($B77,'Capacidade UAS-CUAS'!$E$4:$E$81,0)),"")</f>
        <v/>
      </c>
      <c r="D77" s="67" t="str">
        <f>IFERROR(INDEX('Capacidade UAS-CUAS'!$B$4:$B$81,MATCH($B77,'Capacidade UAS-CUAS'!$E$4:$E$81,0)),"")</f>
        <v/>
      </c>
      <c r="E77" s="68" t="str">
        <f>IFERROR(INDEX('Capacidade UAS-CUAS'!$D$4:$D$81,MATCH($B77,'Capacidade UAS-CUAS'!$E$4:$E$81,0)),"")</f>
        <v/>
      </c>
      <c r="F77" s="72"/>
      <c r="G77" s="72"/>
      <c r="H77" s="72"/>
      <c r="I77" s="72"/>
      <c r="J77" s="73"/>
      <c r="K77" s="73"/>
    </row>
    <row r="78" spans="1:11" x14ac:dyDescent="0.25">
      <c r="A78" s="71"/>
      <c r="B78" s="72"/>
      <c r="C78" s="67" t="str">
        <f>IFERROR(INDEX('Capacidade UAS-CUAS'!$F$4:$F$81,MATCH($B78,'Capacidade UAS-CUAS'!$E$4:$E$81,0)),"")</f>
        <v/>
      </c>
      <c r="D78" s="67" t="str">
        <f>IFERROR(INDEX('Capacidade UAS-CUAS'!$B$4:$B$81,MATCH($B78,'Capacidade UAS-CUAS'!$E$4:$E$81,0)),"")</f>
        <v/>
      </c>
      <c r="E78" s="68" t="str">
        <f>IFERROR(INDEX('Capacidade UAS-CUAS'!$D$4:$D$81,MATCH($B78,'Capacidade UAS-CUAS'!$E$4:$E$81,0)),"")</f>
        <v/>
      </c>
      <c r="F78" s="72"/>
      <c r="G78" s="72"/>
      <c r="H78" s="72"/>
      <c r="I78" s="72"/>
      <c r="J78" s="73"/>
      <c r="K78" s="73"/>
    </row>
    <row r="79" spans="1:11" x14ac:dyDescent="0.25">
      <c r="A79" s="71"/>
      <c r="B79" s="72"/>
      <c r="C79" s="67" t="str">
        <f>IFERROR(INDEX('Capacidade UAS-CUAS'!$F$4:$F$81,MATCH($B79,'Capacidade UAS-CUAS'!$E$4:$E$81,0)),"")</f>
        <v/>
      </c>
      <c r="D79" s="67" t="str">
        <f>IFERROR(INDEX('Capacidade UAS-CUAS'!$B$4:$B$81,MATCH($B79,'Capacidade UAS-CUAS'!$E$4:$E$81,0)),"")</f>
        <v/>
      </c>
      <c r="E79" s="68" t="str">
        <f>IFERROR(INDEX('Capacidade UAS-CUAS'!$D$4:$D$81,MATCH($B79,'Capacidade UAS-CUAS'!$E$4:$E$81,0)),"")</f>
        <v/>
      </c>
      <c r="F79" s="72"/>
      <c r="G79" s="72"/>
      <c r="H79" s="72"/>
      <c r="I79" s="72"/>
      <c r="J79" s="73"/>
      <c r="K79" s="73"/>
    </row>
    <row r="80" spans="1:11" x14ac:dyDescent="0.25">
      <c r="A80" s="71"/>
      <c r="B80" s="72"/>
      <c r="C80" s="67" t="str">
        <f>IFERROR(INDEX('Capacidade UAS-CUAS'!$F$4:$F$81,MATCH($B80,'Capacidade UAS-CUAS'!$E$4:$E$81,0)),"")</f>
        <v/>
      </c>
      <c r="D80" s="67" t="str">
        <f>IFERROR(INDEX('Capacidade UAS-CUAS'!$B$4:$B$81,MATCH($B80,'Capacidade UAS-CUAS'!$E$4:$E$81,0)),"")</f>
        <v/>
      </c>
      <c r="E80" s="68" t="str">
        <f>IFERROR(INDEX('Capacidade UAS-CUAS'!$D$4:$D$81,MATCH($B80,'Capacidade UAS-CUAS'!$E$4:$E$81,0)),"")</f>
        <v/>
      </c>
      <c r="F80" s="72"/>
      <c r="G80" s="72"/>
      <c r="H80" s="72"/>
      <c r="I80" s="72"/>
      <c r="J80" s="73"/>
      <c r="K80" s="73"/>
    </row>
    <row r="81" spans="1:11" ht="15" customHeight="1" x14ac:dyDescent="0.25">
      <c r="A81" s="71"/>
      <c r="B81" s="72"/>
      <c r="C81" s="67" t="str">
        <f>IFERROR(INDEX('Capacidade UAS-CUAS'!$F$4:$F$81,MATCH($B81,'Capacidade UAS-CUAS'!$E$4:$E$81,0)),"")</f>
        <v/>
      </c>
      <c r="D81" s="67" t="str">
        <f>IFERROR(INDEX('Capacidade UAS-CUAS'!$B$4:$B$81,MATCH($B81,'Capacidade UAS-CUAS'!$E$4:$E$81,0)),"")</f>
        <v/>
      </c>
      <c r="E81" s="68" t="str">
        <f>IFERROR(INDEX('Capacidade UAS-CUAS'!$D$4:$D$81,MATCH($B81,'Capacidade UAS-CUAS'!$E$4:$E$81,0)),"")</f>
        <v/>
      </c>
      <c r="F81" s="72"/>
      <c r="G81" s="72"/>
      <c r="H81" s="72"/>
      <c r="I81" s="72"/>
      <c r="J81" s="73"/>
      <c r="K81" s="73"/>
    </row>
    <row r="82" spans="1:11" x14ac:dyDescent="0.25">
      <c r="A82" s="71"/>
      <c r="B82" s="72"/>
      <c r="C82" s="67" t="str">
        <f>IFERROR(INDEX('Capacidade UAS-CUAS'!$F$4:$F$81,MATCH($B82,'Capacidade UAS-CUAS'!$E$4:$E$81,0)),"")</f>
        <v/>
      </c>
      <c r="D82" s="67" t="str">
        <f>IFERROR(INDEX('Capacidade UAS-CUAS'!$B$4:$B$81,MATCH($B82,'Capacidade UAS-CUAS'!$E$4:$E$81,0)),"")</f>
        <v/>
      </c>
      <c r="E82" s="68" t="str">
        <f>IFERROR(INDEX('Capacidade UAS-CUAS'!$D$4:$D$81,MATCH($B82,'Capacidade UAS-CUAS'!$E$4:$E$81,0)),"")</f>
        <v/>
      </c>
      <c r="F82" s="72"/>
      <c r="G82" s="72"/>
      <c r="H82" s="72"/>
      <c r="I82" s="72"/>
      <c r="J82" s="73"/>
      <c r="K82" s="73"/>
    </row>
    <row r="83" spans="1:11" x14ac:dyDescent="0.25">
      <c r="A83" s="71"/>
      <c r="B83" s="72"/>
      <c r="C83" s="67" t="str">
        <f>IFERROR(INDEX('Capacidade UAS-CUAS'!$F$4:$F$81,MATCH($B83,'Capacidade UAS-CUAS'!$E$4:$E$81,0)),"")</f>
        <v/>
      </c>
      <c r="D83" s="67" t="str">
        <f>IFERROR(INDEX('Capacidade UAS-CUAS'!$B$4:$B$81,MATCH($B83,'Capacidade UAS-CUAS'!$E$4:$E$81,0)),"")</f>
        <v/>
      </c>
      <c r="E83" s="68" t="str">
        <f>IFERROR(INDEX('Capacidade UAS-CUAS'!$D$4:$D$81,MATCH($B83,'Capacidade UAS-CUAS'!$E$4:$E$81,0)),"")</f>
        <v/>
      </c>
      <c r="F83" s="72"/>
      <c r="G83" s="72"/>
      <c r="H83" s="72"/>
      <c r="I83" s="72"/>
      <c r="J83" s="73"/>
      <c r="K83" s="73"/>
    </row>
    <row r="84" spans="1:11" x14ac:dyDescent="0.25">
      <c r="A84" s="71"/>
      <c r="B84" s="72"/>
      <c r="C84" s="67" t="str">
        <f>IFERROR(INDEX('Capacidade UAS-CUAS'!$F$4:$F$81,MATCH($B84,'Capacidade UAS-CUAS'!$E$4:$E$81,0)),"")</f>
        <v/>
      </c>
      <c r="D84" s="67" t="str">
        <f>IFERROR(INDEX('Capacidade UAS-CUAS'!$B$4:$B$81,MATCH($B84,'Capacidade UAS-CUAS'!$E$4:$E$81,0)),"")</f>
        <v/>
      </c>
      <c r="E84" s="68" t="str">
        <f>IFERROR(INDEX('Capacidade UAS-CUAS'!$D$4:$D$81,MATCH($B84,'Capacidade UAS-CUAS'!$E$4:$E$81,0)),"")</f>
        <v/>
      </c>
      <c r="F84" s="72"/>
      <c r="G84" s="72"/>
      <c r="H84" s="72"/>
      <c r="I84" s="72"/>
      <c r="J84" s="73"/>
      <c r="K84" s="73"/>
    </row>
    <row r="85" spans="1:11" x14ac:dyDescent="0.25">
      <c r="A85" s="71"/>
      <c r="B85" s="72"/>
      <c r="C85" s="67" t="str">
        <f>IFERROR(INDEX('Capacidade UAS-CUAS'!$F$4:$F$81,MATCH($B85,'Capacidade UAS-CUAS'!$E$4:$E$81,0)),"")</f>
        <v/>
      </c>
      <c r="D85" s="67" t="str">
        <f>IFERROR(INDEX('Capacidade UAS-CUAS'!$B$4:$B$81,MATCH($B85,'Capacidade UAS-CUAS'!$E$4:$E$81,0)),"")</f>
        <v/>
      </c>
      <c r="E85" s="68" t="str">
        <f>IFERROR(INDEX('Capacidade UAS-CUAS'!$D$4:$D$81,MATCH($B85,'Capacidade UAS-CUAS'!$E$4:$E$81,0)),"")</f>
        <v/>
      </c>
      <c r="F85" s="72"/>
      <c r="G85" s="72"/>
      <c r="H85" s="72"/>
      <c r="I85" s="72"/>
      <c r="J85" s="73"/>
      <c r="K85" s="73"/>
    </row>
    <row r="86" spans="1:11" x14ac:dyDescent="0.25">
      <c r="A86" s="71"/>
      <c r="B86" s="72"/>
      <c r="C86" s="67" t="str">
        <f>IFERROR(INDEX('Capacidade UAS-CUAS'!$F$4:$F$81,MATCH($B86,'Capacidade UAS-CUAS'!$E$4:$E$81,0)),"")</f>
        <v/>
      </c>
      <c r="D86" s="67" t="str">
        <f>IFERROR(INDEX('Capacidade UAS-CUAS'!$B$4:$B$81,MATCH($B86,'Capacidade UAS-CUAS'!$E$4:$E$81,0)),"")</f>
        <v/>
      </c>
      <c r="E86" s="68" t="str">
        <f>IFERROR(INDEX('Capacidade UAS-CUAS'!$D$4:$D$81,MATCH($B86,'Capacidade UAS-CUAS'!$E$4:$E$81,0)),"")</f>
        <v/>
      </c>
      <c r="F86" s="72"/>
      <c r="G86" s="72"/>
      <c r="H86" s="72"/>
      <c r="I86" s="72"/>
      <c r="J86" s="73"/>
      <c r="K86" s="73"/>
    </row>
    <row r="87" spans="1:11" x14ac:dyDescent="0.25">
      <c r="A87" s="71"/>
      <c r="B87" s="72"/>
      <c r="C87" s="67" t="str">
        <f>IFERROR(INDEX('Capacidade UAS-CUAS'!$F$4:$F$81,MATCH($B87,'Capacidade UAS-CUAS'!$E$4:$E$81,0)),"")</f>
        <v/>
      </c>
      <c r="D87" s="67" t="str">
        <f>IFERROR(INDEX('Capacidade UAS-CUAS'!$B$4:$B$81,MATCH($B87,'Capacidade UAS-CUAS'!$E$4:$E$81,0)),"")</f>
        <v/>
      </c>
      <c r="E87" s="68" t="str">
        <f>IFERROR(INDEX('Capacidade UAS-CUAS'!$D$4:$D$81,MATCH($B87,'Capacidade UAS-CUAS'!$E$4:$E$81,0)),"")</f>
        <v/>
      </c>
      <c r="F87" s="72"/>
      <c r="G87" s="72"/>
      <c r="H87" s="72"/>
      <c r="I87" s="72"/>
      <c r="J87" s="73"/>
      <c r="K87" s="73"/>
    </row>
    <row r="88" spans="1:11" x14ac:dyDescent="0.25">
      <c r="A88" s="71"/>
      <c r="B88" s="72"/>
      <c r="C88" s="67" t="str">
        <f>IFERROR(INDEX('Capacidade UAS-CUAS'!$F$4:$F$81,MATCH($B88,'Capacidade UAS-CUAS'!$E$4:$E$81,0)),"")</f>
        <v/>
      </c>
      <c r="D88" s="67" t="str">
        <f>IFERROR(INDEX('Capacidade UAS-CUAS'!$B$4:$B$81,MATCH($B88,'Capacidade UAS-CUAS'!$E$4:$E$81,0)),"")</f>
        <v/>
      </c>
      <c r="E88" s="68" t="str">
        <f>IFERROR(INDEX('Capacidade UAS-CUAS'!$D$4:$D$81,MATCH($B88,'Capacidade UAS-CUAS'!$E$4:$E$81,0)),"")</f>
        <v/>
      </c>
      <c r="F88" s="72"/>
      <c r="G88" s="72"/>
      <c r="H88" s="72"/>
      <c r="I88" s="72"/>
      <c r="J88" s="73"/>
      <c r="K88" s="73"/>
    </row>
    <row r="89" spans="1:11" x14ac:dyDescent="0.25">
      <c r="A89" s="71"/>
      <c r="B89" s="72"/>
      <c r="C89" s="67" t="str">
        <f>IFERROR(INDEX('Capacidade UAS-CUAS'!$F$4:$F$81,MATCH($B89,'Capacidade UAS-CUAS'!$E$4:$E$81,0)),"")</f>
        <v/>
      </c>
      <c r="D89" s="67" t="str">
        <f>IFERROR(INDEX('Capacidade UAS-CUAS'!$B$4:$B$81,MATCH($B89,'Capacidade UAS-CUAS'!$E$4:$E$81,0)),"")</f>
        <v/>
      </c>
      <c r="E89" s="68" t="str">
        <f>IFERROR(INDEX('Capacidade UAS-CUAS'!$D$4:$D$81,MATCH($B89,'Capacidade UAS-CUAS'!$E$4:$E$81,0)),"")</f>
        <v/>
      </c>
      <c r="F89" s="72"/>
      <c r="G89" s="72"/>
      <c r="H89" s="72"/>
      <c r="I89" s="72"/>
      <c r="J89" s="73"/>
      <c r="K89" s="73"/>
    </row>
    <row r="90" spans="1:11" x14ac:dyDescent="0.25">
      <c r="A90" s="71"/>
      <c r="B90" s="72"/>
      <c r="C90" s="67" t="str">
        <f>IFERROR(INDEX('Capacidade UAS-CUAS'!$F$4:$F$81,MATCH($B90,'Capacidade UAS-CUAS'!$E$4:$E$81,0)),"")</f>
        <v/>
      </c>
      <c r="D90" s="67" t="str">
        <f>IFERROR(INDEX('Capacidade UAS-CUAS'!$B$4:$B$81,MATCH($B90,'Capacidade UAS-CUAS'!$E$4:$E$81,0)),"")</f>
        <v/>
      </c>
      <c r="E90" s="68" t="str">
        <f>IFERROR(INDEX('Capacidade UAS-CUAS'!$D$4:$D$81,MATCH($B90,'Capacidade UAS-CUAS'!$E$4:$E$81,0)),"")</f>
        <v/>
      </c>
      <c r="F90" s="72"/>
      <c r="G90" s="72"/>
      <c r="H90" s="72"/>
      <c r="I90" s="72"/>
      <c r="J90" s="73"/>
      <c r="K90" s="73"/>
    </row>
    <row r="91" spans="1:11" x14ac:dyDescent="0.25">
      <c r="A91" s="71"/>
      <c r="B91" s="72"/>
      <c r="C91" s="67" t="str">
        <f>IFERROR(INDEX('Capacidade UAS-CUAS'!$F$4:$F$81,MATCH($B91,'Capacidade UAS-CUAS'!$E$4:$E$81,0)),"")</f>
        <v/>
      </c>
      <c r="D91" s="67" t="str">
        <f>IFERROR(INDEX('Capacidade UAS-CUAS'!$B$4:$B$81,MATCH($B91,'Capacidade UAS-CUAS'!$E$4:$E$81,0)),"")</f>
        <v/>
      </c>
      <c r="E91" s="68" t="str">
        <f>IFERROR(INDEX('Capacidade UAS-CUAS'!$D$4:$D$81,MATCH($B91,'Capacidade UAS-CUAS'!$E$4:$E$81,0)),"")</f>
        <v/>
      </c>
      <c r="F91" s="72"/>
      <c r="G91" s="72"/>
      <c r="H91" s="72"/>
      <c r="I91" s="72"/>
      <c r="J91" s="73"/>
      <c r="K91" s="73"/>
    </row>
    <row r="92" spans="1:11" x14ac:dyDescent="0.25">
      <c r="A92" s="71"/>
      <c r="B92" s="72"/>
      <c r="C92" s="67" t="str">
        <f>IFERROR(INDEX('Capacidade UAS-CUAS'!$F$4:$F$81,MATCH($B92,'Capacidade UAS-CUAS'!$E$4:$E$81,0)),"")</f>
        <v/>
      </c>
      <c r="D92" s="67" t="str">
        <f>IFERROR(INDEX('Capacidade UAS-CUAS'!$B$4:$B$81,MATCH($B92,'Capacidade UAS-CUAS'!$E$4:$E$81,0)),"")</f>
        <v/>
      </c>
      <c r="E92" s="68" t="str">
        <f>IFERROR(INDEX('Capacidade UAS-CUAS'!$D$4:$D$81,MATCH($B92,'Capacidade UAS-CUAS'!$E$4:$E$81,0)),"")</f>
        <v/>
      </c>
      <c r="F92" s="72"/>
      <c r="G92" s="72"/>
      <c r="H92" s="72"/>
      <c r="I92" s="72"/>
      <c r="J92" s="73"/>
      <c r="K92" s="73"/>
    </row>
    <row r="93" spans="1:11" x14ac:dyDescent="0.25">
      <c r="A93" s="71"/>
      <c r="B93" s="72"/>
      <c r="C93" s="67" t="str">
        <f>IFERROR(INDEX('Capacidade UAS-CUAS'!$F$4:$F$81,MATCH($B93,'Capacidade UAS-CUAS'!$E$4:$E$81,0)),"")</f>
        <v/>
      </c>
      <c r="D93" s="67" t="str">
        <f>IFERROR(INDEX('Capacidade UAS-CUAS'!$B$4:$B$81,MATCH($B93,'Capacidade UAS-CUAS'!$E$4:$E$81,0)),"")</f>
        <v/>
      </c>
      <c r="E93" s="68" t="str">
        <f>IFERROR(INDEX('Capacidade UAS-CUAS'!$D$4:$D$81,MATCH($B93,'Capacidade UAS-CUAS'!$E$4:$E$81,0)),"")</f>
        <v/>
      </c>
      <c r="F93" s="72"/>
      <c r="G93" s="72"/>
      <c r="H93" s="72"/>
      <c r="I93" s="72"/>
      <c r="J93" s="73"/>
      <c r="K93" s="73"/>
    </row>
    <row r="94" spans="1:11" x14ac:dyDescent="0.25">
      <c r="A94" s="71"/>
      <c r="B94" s="72"/>
      <c r="C94" s="67" t="str">
        <f>IFERROR(INDEX('Capacidade UAS-CUAS'!$F$4:$F$81,MATCH($B94,'Capacidade UAS-CUAS'!$E$4:$E$81,0)),"")</f>
        <v/>
      </c>
      <c r="D94" s="67" t="str">
        <f>IFERROR(INDEX('Capacidade UAS-CUAS'!$B$4:$B$81,MATCH($B94,'Capacidade UAS-CUAS'!$E$4:$E$81,0)),"")</f>
        <v/>
      </c>
      <c r="E94" s="68" t="str">
        <f>IFERROR(INDEX('Capacidade UAS-CUAS'!$D$4:$D$81,MATCH($B94,'Capacidade UAS-CUAS'!$E$4:$E$81,0)),"")</f>
        <v/>
      </c>
      <c r="F94" s="72"/>
      <c r="G94" s="72"/>
      <c r="H94" s="72"/>
      <c r="I94" s="72"/>
      <c r="J94" s="73"/>
      <c r="K94" s="73"/>
    </row>
    <row r="95" spans="1:11" x14ac:dyDescent="0.25">
      <c r="A95" s="71"/>
      <c r="B95" s="72"/>
      <c r="C95" s="67" t="str">
        <f>IFERROR(INDEX('Capacidade UAS-CUAS'!$F$4:$F$81,MATCH($B95,'Capacidade UAS-CUAS'!$E$4:$E$81,0)),"")</f>
        <v/>
      </c>
      <c r="D95" s="67" t="str">
        <f>IFERROR(INDEX('Capacidade UAS-CUAS'!$B$4:$B$81,MATCH($B95,'Capacidade UAS-CUAS'!$E$4:$E$81,0)),"")</f>
        <v/>
      </c>
      <c r="E95" s="68" t="str">
        <f>IFERROR(INDEX('Capacidade UAS-CUAS'!$D$4:$D$81,MATCH($B95,'Capacidade UAS-CUAS'!$E$4:$E$81,0)),"")</f>
        <v/>
      </c>
      <c r="F95" s="72"/>
      <c r="G95" s="72"/>
      <c r="H95" s="72"/>
      <c r="I95" s="72"/>
      <c r="J95" s="73"/>
      <c r="K95" s="73"/>
    </row>
    <row r="96" spans="1:11" x14ac:dyDescent="0.25">
      <c r="A96" s="71"/>
      <c r="B96" s="72"/>
      <c r="C96" s="67" t="str">
        <f>IFERROR(INDEX('Capacidade UAS-CUAS'!$F$4:$F$81,MATCH($B96,'Capacidade UAS-CUAS'!$E$4:$E$81,0)),"")</f>
        <v/>
      </c>
      <c r="D96" s="67" t="str">
        <f>IFERROR(INDEX('Capacidade UAS-CUAS'!$B$4:$B$81,MATCH($B96,'Capacidade UAS-CUAS'!$E$4:$E$81,0)),"")</f>
        <v/>
      </c>
      <c r="E96" s="68" t="str">
        <f>IFERROR(INDEX('Capacidade UAS-CUAS'!$D$4:$D$81,MATCH($B96,'Capacidade UAS-CUAS'!$E$4:$E$81,0)),"")</f>
        <v/>
      </c>
      <c r="F96" s="72"/>
      <c r="G96" s="72"/>
      <c r="H96" s="72"/>
      <c r="I96" s="72"/>
      <c r="J96" s="73"/>
      <c r="K96" s="73"/>
    </row>
    <row r="97" spans="1:11" x14ac:dyDescent="0.25">
      <c r="A97" s="71"/>
      <c r="B97" s="72"/>
      <c r="C97" s="67" t="str">
        <f>IFERROR(INDEX('Capacidade UAS-CUAS'!$F$4:$F$81,MATCH($B97,'Capacidade UAS-CUAS'!$E$4:$E$81,0)),"")</f>
        <v/>
      </c>
      <c r="D97" s="67" t="str">
        <f>IFERROR(INDEX('Capacidade UAS-CUAS'!$B$4:$B$81,MATCH($B97,'Capacidade UAS-CUAS'!$E$4:$E$81,0)),"")</f>
        <v/>
      </c>
      <c r="E97" s="68" t="str">
        <f>IFERROR(INDEX('Capacidade UAS-CUAS'!$D$4:$D$81,MATCH($B97,'Capacidade UAS-CUAS'!$E$4:$E$81,0)),"")</f>
        <v/>
      </c>
      <c r="F97" s="72"/>
      <c r="G97" s="72"/>
      <c r="H97" s="72"/>
      <c r="I97" s="72"/>
      <c r="J97" s="73"/>
      <c r="K97" s="73"/>
    </row>
    <row r="98" spans="1:11" x14ac:dyDescent="0.25">
      <c r="A98" s="71"/>
      <c r="B98" s="72"/>
      <c r="C98" s="67" t="str">
        <f>IFERROR(INDEX('Capacidade UAS-CUAS'!$F$4:$F$81,MATCH($B98,'Capacidade UAS-CUAS'!$E$4:$E$81,0)),"")</f>
        <v/>
      </c>
      <c r="D98" s="67" t="str">
        <f>IFERROR(INDEX('Capacidade UAS-CUAS'!$B$4:$B$81,MATCH($B98,'Capacidade UAS-CUAS'!$E$4:$E$81,0)),"")</f>
        <v/>
      </c>
      <c r="E98" s="68" t="str">
        <f>IFERROR(INDEX('Capacidade UAS-CUAS'!$D$4:$D$81,MATCH($B98,'Capacidade UAS-CUAS'!$E$4:$E$81,0)),"")</f>
        <v/>
      </c>
      <c r="F98" s="72"/>
      <c r="G98" s="72"/>
      <c r="H98" s="72"/>
      <c r="I98" s="72"/>
      <c r="J98" s="73"/>
      <c r="K98" s="73"/>
    </row>
    <row r="99" spans="1:11" x14ac:dyDescent="0.25">
      <c r="A99" s="71"/>
      <c r="B99" s="72"/>
      <c r="C99" s="67" t="str">
        <f>IFERROR(INDEX('Capacidade UAS-CUAS'!$F$4:$F$81,MATCH($B99,'Capacidade UAS-CUAS'!$E$4:$E$81,0)),"")</f>
        <v/>
      </c>
      <c r="D99" s="67" t="str">
        <f>IFERROR(INDEX('Capacidade UAS-CUAS'!$B$4:$B$81,MATCH($B99,'Capacidade UAS-CUAS'!$E$4:$E$81,0)),"")</f>
        <v/>
      </c>
      <c r="E99" s="68" t="str">
        <f>IFERROR(INDEX('Capacidade UAS-CUAS'!$D$4:$D$81,MATCH($B99,'Capacidade UAS-CUAS'!$E$4:$E$81,0)),"")</f>
        <v/>
      </c>
      <c r="F99" s="72"/>
      <c r="G99" s="72"/>
      <c r="H99" s="72"/>
      <c r="I99" s="72"/>
      <c r="J99" s="73"/>
      <c r="K99" s="73"/>
    </row>
    <row r="100" spans="1:11" x14ac:dyDescent="0.25">
      <c r="A100" s="71"/>
      <c r="B100" s="72"/>
      <c r="C100" s="67" t="str">
        <f>IFERROR(INDEX('Capacidade UAS-CUAS'!$F$4:$F$81,MATCH($B100,'Capacidade UAS-CUAS'!$E$4:$E$81,0)),"")</f>
        <v/>
      </c>
      <c r="D100" s="67" t="str">
        <f>IFERROR(INDEX('Capacidade UAS-CUAS'!$B$4:$B$81,MATCH($B100,'Capacidade UAS-CUAS'!$E$4:$E$81,0)),"")</f>
        <v/>
      </c>
      <c r="E100" s="68" t="str">
        <f>IFERROR(INDEX('Capacidade UAS-CUAS'!$D$4:$D$81,MATCH($B100,'Capacidade UAS-CUAS'!$E$4:$E$81,0)),"")</f>
        <v/>
      </c>
      <c r="F100" s="72"/>
      <c r="G100" s="72"/>
      <c r="H100" s="72"/>
      <c r="I100" s="72"/>
      <c r="J100" s="73"/>
      <c r="K100" s="73"/>
    </row>
    <row r="101" spans="1:11" x14ac:dyDescent="0.25">
      <c r="A101" s="71"/>
      <c r="B101" s="72"/>
      <c r="C101" s="67" t="str">
        <f>IFERROR(INDEX('Capacidade UAS-CUAS'!$F$4:$F$81,MATCH($B101,'Capacidade UAS-CUAS'!$E$4:$E$81,0)),"")</f>
        <v/>
      </c>
      <c r="D101" s="67" t="str">
        <f>IFERROR(INDEX('Capacidade UAS-CUAS'!$B$4:$B$81,MATCH($B101,'Capacidade UAS-CUAS'!$E$4:$E$81,0)),"")</f>
        <v/>
      </c>
      <c r="E101" s="68" t="str">
        <f>IFERROR(INDEX('Capacidade UAS-CUAS'!$D$4:$D$81,MATCH($B101,'Capacidade UAS-CUAS'!$E$4:$E$81,0)),"")</f>
        <v/>
      </c>
      <c r="F101" s="72"/>
      <c r="G101" s="72"/>
      <c r="H101" s="72"/>
      <c r="I101" s="72"/>
      <c r="J101" s="73"/>
      <c r="K101" s="73"/>
    </row>
    <row r="102" spans="1:11" x14ac:dyDescent="0.25">
      <c r="A102" s="71"/>
      <c r="B102" s="72"/>
      <c r="C102" s="67" t="str">
        <f>IFERROR(INDEX('Capacidade UAS-CUAS'!$F$4:$F$81,MATCH($B102,'Capacidade UAS-CUAS'!$E$4:$E$81,0)),"")</f>
        <v/>
      </c>
      <c r="D102" s="67" t="str">
        <f>IFERROR(INDEX('Capacidade UAS-CUAS'!$B$4:$B$81,MATCH($B102,'Capacidade UAS-CUAS'!$E$4:$E$81,0)),"")</f>
        <v/>
      </c>
      <c r="E102" s="68" t="str">
        <f>IFERROR(INDEX('Capacidade UAS-CUAS'!$D$4:$D$81,MATCH($B102,'Capacidade UAS-CUAS'!$E$4:$E$81,0)),"")</f>
        <v/>
      </c>
      <c r="F102" s="72"/>
      <c r="G102" s="72"/>
      <c r="H102" s="72"/>
      <c r="I102" s="72"/>
      <c r="J102" s="73"/>
      <c r="K102" s="73"/>
    </row>
    <row r="103" spans="1:11" x14ac:dyDescent="0.25">
      <c r="A103" s="71"/>
      <c r="B103" s="72"/>
      <c r="C103" s="67" t="str">
        <f>IFERROR(INDEX('Capacidade UAS-CUAS'!$F$4:$F$81,MATCH($B103,'Capacidade UAS-CUAS'!$E$4:$E$81,0)),"")</f>
        <v/>
      </c>
      <c r="D103" s="67" t="str">
        <f>IFERROR(INDEX('Capacidade UAS-CUAS'!$B$4:$B$81,MATCH($B103,'Capacidade UAS-CUAS'!$E$4:$E$81,0)),"")</f>
        <v/>
      </c>
      <c r="E103" s="68" t="str">
        <f>IFERROR(INDEX('Capacidade UAS-CUAS'!$D$4:$D$81,MATCH($B103,'Capacidade UAS-CUAS'!$E$4:$E$81,0)),"")</f>
        <v/>
      </c>
      <c r="F103" s="72"/>
      <c r="G103" s="72"/>
      <c r="H103" s="72"/>
      <c r="I103" s="72"/>
      <c r="J103" s="73"/>
      <c r="K103" s="73"/>
    </row>
    <row r="104" spans="1:11" x14ac:dyDescent="0.25">
      <c r="A104" s="71"/>
      <c r="B104" s="72"/>
      <c r="C104" s="67" t="str">
        <f>IFERROR(INDEX('Capacidade UAS-CUAS'!$F$4:$F$81,MATCH($B104,'Capacidade UAS-CUAS'!$E$4:$E$81,0)),"")</f>
        <v/>
      </c>
      <c r="D104" s="67" t="str">
        <f>IFERROR(INDEX('Capacidade UAS-CUAS'!$B$4:$B$81,MATCH($B104,'Capacidade UAS-CUAS'!$E$4:$E$81,0)),"")</f>
        <v/>
      </c>
      <c r="E104" s="68" t="str">
        <f>IFERROR(INDEX('Capacidade UAS-CUAS'!$D$4:$D$81,MATCH($B104,'Capacidade UAS-CUAS'!$E$4:$E$81,0)),"")</f>
        <v/>
      </c>
      <c r="F104" s="72"/>
      <c r="G104" s="72"/>
      <c r="H104" s="72"/>
      <c r="I104" s="72"/>
      <c r="J104" s="73"/>
      <c r="K104" s="73"/>
    </row>
    <row r="105" spans="1:11" x14ac:dyDescent="0.25">
      <c r="A105" s="71"/>
      <c r="B105" s="72"/>
      <c r="C105" s="67" t="str">
        <f>IFERROR(INDEX('Capacidade UAS-CUAS'!$F$4:$F$81,MATCH($B105,'Capacidade UAS-CUAS'!$E$4:$E$81,0)),"")</f>
        <v/>
      </c>
      <c r="D105" s="67" t="str">
        <f>IFERROR(INDEX('Capacidade UAS-CUAS'!$B$4:$B$81,MATCH($B105,'Capacidade UAS-CUAS'!$E$4:$E$81,0)),"")</f>
        <v/>
      </c>
      <c r="E105" s="68" t="str">
        <f>IFERROR(INDEX('Capacidade UAS-CUAS'!$D$4:$D$81,MATCH($B105,'Capacidade UAS-CUAS'!$E$4:$E$81,0)),"")</f>
        <v/>
      </c>
      <c r="F105" s="72"/>
      <c r="G105" s="72"/>
      <c r="H105" s="72"/>
      <c r="I105" s="72"/>
      <c r="J105" s="73"/>
      <c r="K105" s="73"/>
    </row>
    <row r="106" spans="1:11" x14ac:dyDescent="0.25">
      <c r="A106" s="71"/>
      <c r="B106" s="72"/>
      <c r="C106" s="67" t="str">
        <f>IFERROR(INDEX('Capacidade UAS-CUAS'!$F$4:$F$81,MATCH($B106,'Capacidade UAS-CUAS'!$E$4:$E$81,0)),"")</f>
        <v/>
      </c>
      <c r="D106" s="67" t="str">
        <f>IFERROR(INDEX('Capacidade UAS-CUAS'!$B$4:$B$81,MATCH($B106,'Capacidade UAS-CUAS'!$E$4:$E$81,0)),"")</f>
        <v/>
      </c>
      <c r="E106" s="68" t="str">
        <f>IFERROR(INDEX('Capacidade UAS-CUAS'!$D$4:$D$81,MATCH($B106,'Capacidade UAS-CUAS'!$E$4:$E$81,0)),"")</f>
        <v/>
      </c>
      <c r="F106" s="72"/>
      <c r="G106" s="72"/>
      <c r="H106" s="72"/>
      <c r="I106" s="72"/>
      <c r="J106" s="73"/>
      <c r="K106" s="73"/>
    </row>
    <row r="107" spans="1:11" x14ac:dyDescent="0.25">
      <c r="A107" s="71"/>
      <c r="B107" s="72"/>
      <c r="C107" s="67" t="str">
        <f>IFERROR(INDEX('Capacidade UAS-CUAS'!$F$4:$F$81,MATCH($B107,'Capacidade UAS-CUAS'!$E$4:$E$81,0)),"")</f>
        <v/>
      </c>
      <c r="D107" s="67" t="str">
        <f>IFERROR(INDEX('Capacidade UAS-CUAS'!$B$4:$B$81,MATCH($B107,'Capacidade UAS-CUAS'!$E$4:$E$81,0)),"")</f>
        <v/>
      </c>
      <c r="E107" s="68" t="str">
        <f>IFERROR(INDEX('Capacidade UAS-CUAS'!$D$4:$D$81,MATCH($B107,'Capacidade UAS-CUAS'!$E$4:$E$81,0)),"")</f>
        <v/>
      </c>
      <c r="F107" s="72"/>
      <c r="G107" s="72"/>
      <c r="H107" s="72"/>
      <c r="I107" s="72"/>
      <c r="J107" s="73"/>
      <c r="K107" s="73"/>
    </row>
    <row r="108" spans="1:11" x14ac:dyDescent="0.25">
      <c r="A108" s="71"/>
      <c r="B108" s="72"/>
      <c r="C108" s="67" t="str">
        <f>IFERROR(INDEX('Capacidade UAS-CUAS'!$F$4:$F$81,MATCH($B108,'Capacidade UAS-CUAS'!$E$4:$E$81,0)),"")</f>
        <v/>
      </c>
      <c r="D108" s="67" t="str">
        <f>IFERROR(INDEX('Capacidade UAS-CUAS'!$B$4:$B$81,MATCH($B108,'Capacidade UAS-CUAS'!$E$4:$E$81,0)),"")</f>
        <v/>
      </c>
      <c r="E108" s="68" t="str">
        <f>IFERROR(INDEX('Capacidade UAS-CUAS'!$D$4:$D$81,MATCH($B108,'Capacidade UAS-CUAS'!$E$4:$E$81,0)),"")</f>
        <v/>
      </c>
      <c r="F108" s="72"/>
      <c r="G108" s="72"/>
      <c r="H108" s="72"/>
      <c r="I108" s="72"/>
      <c r="J108" s="73"/>
      <c r="K108" s="73"/>
    </row>
    <row r="109" spans="1:11" x14ac:dyDescent="0.25">
      <c r="A109" s="71"/>
      <c r="B109" s="72"/>
      <c r="C109" s="67" t="str">
        <f>IFERROR(INDEX('Capacidade UAS-CUAS'!$F$4:$F$81,MATCH($B109,'Capacidade UAS-CUAS'!$E$4:$E$81,0)),"")</f>
        <v/>
      </c>
      <c r="D109" s="67" t="str">
        <f>IFERROR(INDEX('Capacidade UAS-CUAS'!$B$4:$B$81,MATCH($B109,'Capacidade UAS-CUAS'!$E$4:$E$81,0)),"")</f>
        <v/>
      </c>
      <c r="E109" s="68" t="str">
        <f>IFERROR(INDEX('Capacidade UAS-CUAS'!$D$4:$D$81,MATCH($B109,'Capacidade UAS-CUAS'!$E$4:$E$81,0)),"")</f>
        <v/>
      </c>
      <c r="F109" s="72"/>
      <c r="G109" s="72"/>
      <c r="H109" s="72"/>
      <c r="I109" s="72"/>
      <c r="J109" s="73"/>
      <c r="K109" s="73"/>
    </row>
    <row r="110" spans="1:11" x14ac:dyDescent="0.25">
      <c r="A110" s="71"/>
      <c r="B110" s="72"/>
      <c r="C110" s="67" t="str">
        <f>IFERROR(INDEX('Capacidade UAS-CUAS'!$F$4:$F$81,MATCH($B110,'Capacidade UAS-CUAS'!$E$4:$E$81,0)),"")</f>
        <v/>
      </c>
      <c r="D110" s="67" t="str">
        <f>IFERROR(INDEX('Capacidade UAS-CUAS'!$B$4:$B$81,MATCH($B110,'Capacidade UAS-CUAS'!$E$4:$E$81,0)),"")</f>
        <v/>
      </c>
      <c r="E110" s="68" t="str">
        <f>IFERROR(INDEX('Capacidade UAS-CUAS'!$D$4:$D$81,MATCH($B110,'Capacidade UAS-CUAS'!$E$4:$E$81,0)),"")</f>
        <v/>
      </c>
      <c r="F110" s="72"/>
      <c r="G110" s="72"/>
      <c r="H110" s="72"/>
      <c r="I110" s="72"/>
      <c r="J110" s="73"/>
      <c r="K110" s="73"/>
    </row>
    <row r="111" spans="1:11" x14ac:dyDescent="0.25">
      <c r="A111" s="71"/>
      <c r="B111" s="72"/>
      <c r="C111" s="67" t="str">
        <f>IFERROR(INDEX('Capacidade UAS-CUAS'!$F$4:$F$81,MATCH($B111,'Capacidade UAS-CUAS'!$E$4:$E$81,0)),"")</f>
        <v/>
      </c>
      <c r="D111" s="67" t="str">
        <f>IFERROR(INDEX('Capacidade UAS-CUAS'!$B$4:$B$81,MATCH($B111,'Capacidade UAS-CUAS'!$E$4:$E$81,0)),"")</f>
        <v/>
      </c>
      <c r="E111" s="68" t="str">
        <f>IFERROR(INDEX('Capacidade UAS-CUAS'!$D$4:$D$81,MATCH($B111,'Capacidade UAS-CUAS'!$E$4:$E$81,0)),"")</f>
        <v/>
      </c>
      <c r="F111" s="72"/>
      <c r="G111" s="72"/>
      <c r="H111" s="72"/>
      <c r="I111" s="72"/>
      <c r="J111" s="73"/>
      <c r="K111" s="73"/>
    </row>
    <row r="112" spans="1:11" x14ac:dyDescent="0.25">
      <c r="A112" s="71"/>
      <c r="B112" s="72"/>
      <c r="C112" s="67" t="str">
        <f>IFERROR(INDEX('Capacidade UAS-CUAS'!$F$4:$F$81,MATCH($B112,'Capacidade UAS-CUAS'!$E$4:$E$81,0)),"")</f>
        <v/>
      </c>
      <c r="D112" s="67" t="str">
        <f>IFERROR(INDEX('Capacidade UAS-CUAS'!$B$4:$B$81,MATCH($B112,'Capacidade UAS-CUAS'!$E$4:$E$81,0)),"")</f>
        <v/>
      </c>
      <c r="E112" s="68" t="str">
        <f>IFERROR(INDEX('Capacidade UAS-CUAS'!$D$4:$D$81,MATCH($B112,'Capacidade UAS-CUAS'!$E$4:$E$81,0)),"")</f>
        <v/>
      </c>
      <c r="F112" s="72"/>
      <c r="G112" s="72"/>
      <c r="H112" s="72"/>
      <c r="I112" s="72"/>
      <c r="J112" s="73"/>
      <c r="K112" s="73"/>
    </row>
    <row r="113" spans="1:11" x14ac:dyDescent="0.25">
      <c r="A113" s="71"/>
      <c r="B113" s="72"/>
      <c r="C113" s="67" t="str">
        <f>IFERROR(INDEX('Capacidade UAS-CUAS'!$F$4:$F$81,MATCH($B113,'Capacidade UAS-CUAS'!$E$4:$E$81,0)),"")</f>
        <v/>
      </c>
      <c r="D113" s="67" t="str">
        <f>IFERROR(INDEX('Capacidade UAS-CUAS'!$B$4:$B$81,MATCH($B113,'Capacidade UAS-CUAS'!$E$4:$E$81,0)),"")</f>
        <v/>
      </c>
      <c r="E113" s="68" t="str">
        <f>IFERROR(INDEX('Capacidade UAS-CUAS'!$D$4:$D$81,MATCH($B113,'Capacidade UAS-CUAS'!$E$4:$E$81,0)),"")</f>
        <v/>
      </c>
      <c r="F113" s="72"/>
      <c r="G113" s="72"/>
      <c r="H113" s="72"/>
      <c r="I113" s="72"/>
      <c r="J113" s="73"/>
      <c r="K113" s="73"/>
    </row>
    <row r="114" spans="1:11" x14ac:dyDescent="0.25">
      <c r="A114" s="71"/>
      <c r="B114" s="72"/>
      <c r="C114" s="67" t="str">
        <f>IFERROR(INDEX('Capacidade UAS-CUAS'!$F$4:$F$81,MATCH($B114,'Capacidade UAS-CUAS'!$E$4:$E$81,0)),"")</f>
        <v/>
      </c>
      <c r="D114" s="67" t="str">
        <f>IFERROR(INDEX('Capacidade UAS-CUAS'!$B$4:$B$81,MATCH($B114,'Capacidade UAS-CUAS'!$E$4:$E$81,0)),"")</f>
        <v/>
      </c>
      <c r="E114" s="68" t="str">
        <f>IFERROR(INDEX('Capacidade UAS-CUAS'!$D$4:$D$81,MATCH($B114,'Capacidade UAS-CUAS'!$E$4:$E$81,0)),"")</f>
        <v/>
      </c>
      <c r="F114" s="72"/>
      <c r="G114" s="72"/>
      <c r="H114" s="72"/>
      <c r="I114" s="72"/>
      <c r="J114" s="73"/>
      <c r="K114" s="73"/>
    </row>
    <row r="115" spans="1:11" x14ac:dyDescent="0.25">
      <c r="A115" s="71"/>
      <c r="B115" s="72"/>
      <c r="C115" s="67" t="str">
        <f>IFERROR(INDEX('Capacidade UAS-CUAS'!$F$4:$F$81,MATCH($B115,'Capacidade UAS-CUAS'!$E$4:$E$81,0)),"")</f>
        <v/>
      </c>
      <c r="D115" s="67" t="str">
        <f>IFERROR(INDEX('Capacidade UAS-CUAS'!$B$4:$B$81,MATCH($B115,'Capacidade UAS-CUAS'!$E$4:$E$81,0)),"")</f>
        <v/>
      </c>
      <c r="E115" s="68" t="str">
        <f>IFERROR(INDEX('Capacidade UAS-CUAS'!$D$4:$D$81,MATCH($B115,'Capacidade UAS-CUAS'!$E$4:$E$81,0)),"")</f>
        <v/>
      </c>
      <c r="F115" s="72"/>
      <c r="G115" s="72"/>
      <c r="H115" s="72"/>
      <c r="I115" s="72"/>
      <c r="J115" s="73"/>
      <c r="K115" s="73"/>
    </row>
    <row r="116" spans="1:11" x14ac:dyDescent="0.25">
      <c r="A116" s="71"/>
      <c r="B116" s="72"/>
      <c r="C116" s="67" t="str">
        <f>IFERROR(INDEX('Capacidade UAS-CUAS'!$F$4:$F$81,MATCH($B116,'Capacidade UAS-CUAS'!$E$4:$E$81,0)),"")</f>
        <v/>
      </c>
      <c r="D116" s="67" t="str">
        <f>IFERROR(INDEX('Capacidade UAS-CUAS'!$B$4:$B$81,MATCH($B116,'Capacidade UAS-CUAS'!$E$4:$E$81,0)),"")</f>
        <v/>
      </c>
      <c r="E116" s="68" t="str">
        <f>IFERROR(INDEX('Capacidade UAS-CUAS'!$D$4:$D$81,MATCH($B116,'Capacidade UAS-CUAS'!$E$4:$E$81,0)),"")</f>
        <v/>
      </c>
      <c r="F116" s="72"/>
      <c r="G116" s="72"/>
      <c r="H116" s="72"/>
      <c r="I116" s="72"/>
      <c r="J116" s="73"/>
      <c r="K116" s="73"/>
    </row>
    <row r="117" spans="1:11" x14ac:dyDescent="0.25">
      <c r="A117" s="71"/>
      <c r="B117" s="72"/>
      <c r="C117" s="67" t="str">
        <f>IFERROR(INDEX('Capacidade UAS-CUAS'!$F$4:$F$81,MATCH($B117,'Capacidade UAS-CUAS'!$E$4:$E$81,0)),"")</f>
        <v/>
      </c>
      <c r="D117" s="67" t="str">
        <f>IFERROR(INDEX('Capacidade UAS-CUAS'!$B$4:$B$81,MATCH($B117,'Capacidade UAS-CUAS'!$E$4:$E$81,0)),"")</f>
        <v/>
      </c>
      <c r="E117" s="68" t="str">
        <f>IFERROR(INDEX('Capacidade UAS-CUAS'!$D$4:$D$81,MATCH($B117,'Capacidade UAS-CUAS'!$E$4:$E$81,0)),"")</f>
        <v/>
      </c>
      <c r="F117" s="72"/>
      <c r="G117" s="72"/>
      <c r="H117" s="72"/>
      <c r="I117" s="72"/>
      <c r="J117" s="73"/>
      <c r="K117" s="73"/>
    </row>
    <row r="118" spans="1:11" x14ac:dyDescent="0.25">
      <c r="A118" s="71"/>
      <c r="B118" s="72"/>
      <c r="C118" s="67" t="str">
        <f>IFERROR(INDEX('Capacidade UAS-CUAS'!$F$4:$F$81,MATCH($B118,'Capacidade UAS-CUAS'!$E$4:$E$81,0)),"")</f>
        <v/>
      </c>
      <c r="D118" s="67" t="str">
        <f>IFERROR(INDEX('Capacidade UAS-CUAS'!$B$4:$B$81,MATCH($B118,'Capacidade UAS-CUAS'!$E$4:$E$81,0)),"")</f>
        <v/>
      </c>
      <c r="E118" s="68" t="str">
        <f>IFERROR(INDEX('Capacidade UAS-CUAS'!$D$4:$D$81,MATCH($B118,'Capacidade UAS-CUAS'!$E$4:$E$81,0)),"")</f>
        <v/>
      </c>
      <c r="F118" s="72"/>
      <c r="G118" s="72"/>
      <c r="H118" s="72"/>
      <c r="I118" s="72"/>
      <c r="J118" s="73"/>
      <c r="K118" s="73"/>
    </row>
    <row r="119" spans="1:11" x14ac:dyDescent="0.25">
      <c r="A119" s="71"/>
      <c r="B119" s="72"/>
      <c r="C119" s="67" t="str">
        <f>IFERROR(INDEX('Capacidade UAS-CUAS'!$F$4:$F$81,MATCH($B119,'Capacidade UAS-CUAS'!$E$4:$E$81,0)),"")</f>
        <v/>
      </c>
      <c r="D119" s="67" t="str">
        <f>IFERROR(INDEX('Capacidade UAS-CUAS'!$B$4:$B$81,MATCH($B119,'Capacidade UAS-CUAS'!$E$4:$E$81,0)),"")</f>
        <v/>
      </c>
      <c r="E119" s="68" t="str">
        <f>IFERROR(INDEX('Capacidade UAS-CUAS'!$D$4:$D$81,MATCH($B119,'Capacidade UAS-CUAS'!$E$4:$E$81,0)),"")</f>
        <v/>
      </c>
      <c r="F119" s="72"/>
      <c r="G119" s="72"/>
      <c r="H119" s="72"/>
      <c r="I119" s="72"/>
      <c r="J119" s="73"/>
      <c r="K119" s="73"/>
    </row>
    <row r="120" spans="1:11" x14ac:dyDescent="0.25">
      <c r="A120" s="71"/>
      <c r="B120" s="72"/>
      <c r="C120" s="67" t="str">
        <f>IFERROR(INDEX('Capacidade UAS-CUAS'!$F$4:$F$81,MATCH($B120,'Capacidade UAS-CUAS'!$E$4:$E$81,0)),"")</f>
        <v/>
      </c>
      <c r="D120" s="67" t="str">
        <f>IFERROR(INDEX('Capacidade UAS-CUAS'!$B$4:$B$81,MATCH($B120,'Capacidade UAS-CUAS'!$E$4:$E$81,0)),"")</f>
        <v/>
      </c>
      <c r="E120" s="68" t="str">
        <f>IFERROR(INDEX('Capacidade UAS-CUAS'!$D$4:$D$81,MATCH($B120,'Capacidade UAS-CUAS'!$E$4:$E$81,0)),"")</f>
        <v/>
      </c>
      <c r="F120" s="72"/>
      <c r="G120" s="72"/>
      <c r="H120" s="72"/>
      <c r="I120" s="72"/>
      <c r="J120" s="73"/>
      <c r="K120" s="73"/>
    </row>
    <row r="121" spans="1:11" x14ac:dyDescent="0.25">
      <c r="A121" s="71"/>
      <c r="B121" s="72"/>
      <c r="C121" s="67" t="str">
        <f>IFERROR(INDEX('Capacidade UAS-CUAS'!$F$4:$F$81,MATCH($B121,'Capacidade UAS-CUAS'!$E$4:$E$81,0)),"")</f>
        <v/>
      </c>
      <c r="D121" s="67" t="str">
        <f>IFERROR(INDEX('Capacidade UAS-CUAS'!$B$4:$B$81,MATCH($B121,'Capacidade UAS-CUAS'!$E$4:$E$81,0)),"")</f>
        <v/>
      </c>
      <c r="E121" s="68" t="str">
        <f>IFERROR(INDEX('Capacidade UAS-CUAS'!$D$4:$D$81,MATCH($B121,'Capacidade UAS-CUAS'!$E$4:$E$81,0)),"")</f>
        <v/>
      </c>
      <c r="F121" s="72"/>
      <c r="G121" s="72"/>
      <c r="H121" s="72"/>
      <c r="I121" s="72"/>
      <c r="J121" s="73"/>
      <c r="K121" s="73"/>
    </row>
    <row r="122" spans="1:11" x14ac:dyDescent="0.25">
      <c r="A122" s="71"/>
      <c r="B122" s="72"/>
      <c r="C122" s="67" t="str">
        <f>IFERROR(INDEX('Capacidade UAS-CUAS'!$F$4:$F$81,MATCH($B122,'Capacidade UAS-CUAS'!$E$4:$E$81,0)),"")</f>
        <v/>
      </c>
      <c r="D122" s="67" t="str">
        <f>IFERROR(INDEX('Capacidade UAS-CUAS'!$B$4:$B$81,MATCH($B122,'Capacidade UAS-CUAS'!$E$4:$E$81,0)),"")</f>
        <v/>
      </c>
      <c r="E122" s="68" t="str">
        <f>IFERROR(INDEX('Capacidade UAS-CUAS'!$D$4:$D$81,MATCH($B122,'Capacidade UAS-CUAS'!$E$4:$E$81,0)),"")</f>
        <v/>
      </c>
      <c r="F122" s="72"/>
      <c r="G122" s="72"/>
      <c r="H122" s="72"/>
      <c r="I122" s="72"/>
      <c r="J122" s="73"/>
      <c r="K122" s="73"/>
    </row>
    <row r="123" spans="1:11" x14ac:dyDescent="0.25">
      <c r="A123" s="71"/>
      <c r="B123" s="72"/>
      <c r="C123" s="67" t="str">
        <f>IFERROR(INDEX('Capacidade UAS-CUAS'!$F$4:$F$81,MATCH($B123,'Capacidade UAS-CUAS'!$E$4:$E$81,0)),"")</f>
        <v/>
      </c>
      <c r="D123" s="67" t="str">
        <f>IFERROR(INDEX('Capacidade UAS-CUAS'!$B$4:$B$81,MATCH($B123,'Capacidade UAS-CUAS'!$E$4:$E$81,0)),"")</f>
        <v/>
      </c>
      <c r="E123" s="68" t="str">
        <f>IFERROR(INDEX('Capacidade UAS-CUAS'!$D$4:$D$81,MATCH($B123,'Capacidade UAS-CUAS'!$E$4:$E$81,0)),"")</f>
        <v/>
      </c>
      <c r="F123" s="72"/>
      <c r="G123" s="72"/>
      <c r="H123" s="72"/>
      <c r="I123" s="72"/>
      <c r="J123" s="73"/>
      <c r="K123" s="73"/>
    </row>
    <row r="124" spans="1:11" x14ac:dyDescent="0.25">
      <c r="A124" s="71"/>
      <c r="B124" s="72"/>
      <c r="C124" s="67" t="str">
        <f>IFERROR(INDEX('Capacidade UAS-CUAS'!$F$4:$F$81,MATCH($B124,'Capacidade UAS-CUAS'!$E$4:$E$81,0)),"")</f>
        <v/>
      </c>
      <c r="D124" s="67" t="str">
        <f>IFERROR(INDEX('Capacidade UAS-CUAS'!$B$4:$B$81,MATCH($B124,'Capacidade UAS-CUAS'!$E$4:$E$81,0)),"")</f>
        <v/>
      </c>
      <c r="E124" s="68" t="str">
        <f>IFERROR(INDEX('Capacidade UAS-CUAS'!$D$4:$D$81,MATCH($B124,'Capacidade UAS-CUAS'!$E$4:$E$81,0)),"")</f>
        <v/>
      </c>
      <c r="F124" s="72"/>
      <c r="G124" s="72"/>
      <c r="H124" s="72"/>
      <c r="I124" s="72"/>
      <c r="J124" s="73"/>
      <c r="K124" s="73"/>
    </row>
    <row r="125" spans="1:11" x14ac:dyDescent="0.25">
      <c r="A125" s="71"/>
      <c r="B125" s="72"/>
      <c r="C125" s="67" t="str">
        <f>IFERROR(INDEX('Capacidade UAS-CUAS'!$F$4:$F$81,MATCH($B125,'Capacidade UAS-CUAS'!$E$4:$E$81,0)),"")</f>
        <v/>
      </c>
      <c r="D125" s="67" t="str">
        <f>IFERROR(INDEX('Capacidade UAS-CUAS'!$B$4:$B$81,MATCH($B125,'Capacidade UAS-CUAS'!$E$4:$E$81,0)),"")</f>
        <v/>
      </c>
      <c r="E125" s="68" t="str">
        <f>IFERROR(INDEX('Capacidade UAS-CUAS'!$D$4:$D$81,MATCH($B125,'Capacidade UAS-CUAS'!$E$4:$E$81,0)),"")</f>
        <v/>
      </c>
      <c r="F125" s="72"/>
      <c r="G125" s="72"/>
      <c r="H125" s="72"/>
      <c r="I125" s="72"/>
      <c r="J125" s="73"/>
      <c r="K125" s="73"/>
    </row>
    <row r="126" spans="1:11" x14ac:dyDescent="0.25">
      <c r="A126" s="71"/>
      <c r="B126" s="72"/>
      <c r="C126" s="67" t="str">
        <f>IFERROR(INDEX('Capacidade UAS-CUAS'!$F$4:$F$81,MATCH($B126,'Capacidade UAS-CUAS'!$E$4:$E$81,0)),"")</f>
        <v/>
      </c>
      <c r="D126" s="67" t="str">
        <f>IFERROR(INDEX('Capacidade UAS-CUAS'!$B$4:$B$81,MATCH($B126,'Capacidade UAS-CUAS'!$E$4:$E$81,0)),"")</f>
        <v/>
      </c>
      <c r="E126" s="68" t="str">
        <f>IFERROR(INDEX('Capacidade UAS-CUAS'!$D$4:$D$81,MATCH($B126,'Capacidade UAS-CUAS'!$E$4:$E$81,0)),"")</f>
        <v/>
      </c>
      <c r="F126" s="72"/>
      <c r="G126" s="72"/>
      <c r="H126" s="72"/>
      <c r="I126" s="72"/>
      <c r="J126" s="73"/>
      <c r="K126" s="73"/>
    </row>
    <row r="127" spans="1:11" x14ac:dyDescent="0.25">
      <c r="A127" s="71"/>
      <c r="B127" s="72"/>
      <c r="C127" s="67" t="str">
        <f>IFERROR(INDEX('Capacidade UAS-CUAS'!$F$4:$F$81,MATCH($B127,'Capacidade UAS-CUAS'!$E$4:$E$81,0)),"")</f>
        <v/>
      </c>
      <c r="D127" s="67" t="str">
        <f>IFERROR(INDEX('Capacidade UAS-CUAS'!$B$4:$B$81,MATCH($B127,'Capacidade UAS-CUAS'!$E$4:$E$81,0)),"")</f>
        <v/>
      </c>
      <c r="E127" s="68" t="str">
        <f>IFERROR(INDEX('Capacidade UAS-CUAS'!$D$4:$D$81,MATCH($B127,'Capacidade UAS-CUAS'!$E$4:$E$81,0)),"")</f>
        <v/>
      </c>
      <c r="F127" s="72"/>
      <c r="G127" s="72"/>
      <c r="H127" s="72"/>
      <c r="I127" s="72"/>
      <c r="J127" s="73"/>
      <c r="K127" s="73"/>
    </row>
    <row r="128" spans="1:11" x14ac:dyDescent="0.25">
      <c r="A128" s="71"/>
      <c r="B128" s="72"/>
      <c r="C128" s="67" t="str">
        <f>IFERROR(INDEX('Capacidade UAS-CUAS'!$F$4:$F$81,MATCH($B128,'Capacidade UAS-CUAS'!$E$4:$E$81,0)),"")</f>
        <v/>
      </c>
      <c r="D128" s="67" t="str">
        <f>IFERROR(INDEX('Capacidade UAS-CUAS'!$B$4:$B$81,MATCH($B128,'Capacidade UAS-CUAS'!$E$4:$E$81,0)),"")</f>
        <v/>
      </c>
      <c r="E128" s="68" t="str">
        <f>IFERROR(INDEX('Capacidade UAS-CUAS'!$D$4:$D$81,MATCH($B128,'Capacidade UAS-CUAS'!$E$4:$E$81,0)),"")</f>
        <v/>
      </c>
      <c r="F128" s="72"/>
      <c r="G128" s="72"/>
      <c r="H128" s="72"/>
      <c r="I128" s="72"/>
      <c r="J128" s="73"/>
      <c r="K128" s="73"/>
    </row>
    <row r="129" spans="1:11" x14ac:dyDescent="0.25">
      <c r="A129" s="71"/>
      <c r="B129" s="72"/>
      <c r="C129" s="67" t="str">
        <f>IFERROR(INDEX('Capacidade UAS-CUAS'!$F$4:$F$81,MATCH($B129,'Capacidade UAS-CUAS'!$E$4:$E$81,0)),"")</f>
        <v/>
      </c>
      <c r="D129" s="67" t="str">
        <f>IFERROR(INDEX('Capacidade UAS-CUAS'!$B$4:$B$81,MATCH($B129,'Capacidade UAS-CUAS'!$E$4:$E$81,0)),"")</f>
        <v/>
      </c>
      <c r="E129" s="68" t="str">
        <f>IFERROR(INDEX('Capacidade UAS-CUAS'!$D$4:$D$81,MATCH($B129,'Capacidade UAS-CUAS'!$E$4:$E$81,0)),"")</f>
        <v/>
      </c>
      <c r="F129" s="72"/>
      <c r="G129" s="72"/>
      <c r="H129" s="72"/>
      <c r="I129" s="72"/>
      <c r="J129" s="73"/>
      <c r="K129" s="73"/>
    </row>
    <row r="130" spans="1:11" x14ac:dyDescent="0.25">
      <c r="A130" s="71"/>
      <c r="B130" s="72"/>
      <c r="C130" s="67" t="str">
        <f>IFERROR(INDEX('Capacidade UAS-CUAS'!$F$4:$F$81,MATCH($B130,'Capacidade UAS-CUAS'!$E$4:$E$81,0)),"")</f>
        <v/>
      </c>
      <c r="D130" s="67" t="str">
        <f>IFERROR(INDEX('Capacidade UAS-CUAS'!$B$4:$B$81,MATCH($B130,'Capacidade UAS-CUAS'!$E$4:$E$81,0)),"")</f>
        <v/>
      </c>
      <c r="E130" s="68" t="str">
        <f>IFERROR(INDEX('Capacidade UAS-CUAS'!$D$4:$D$81,MATCH($B130,'Capacidade UAS-CUAS'!$E$4:$E$81,0)),"")</f>
        <v/>
      </c>
      <c r="F130" s="72"/>
      <c r="G130" s="72"/>
      <c r="H130" s="72"/>
      <c r="I130" s="72"/>
      <c r="J130" s="73"/>
      <c r="K130" s="73"/>
    </row>
    <row r="131" spans="1:11" x14ac:dyDescent="0.25">
      <c r="A131" s="71"/>
      <c r="B131" s="72"/>
      <c r="C131" s="67" t="str">
        <f>IFERROR(INDEX('Capacidade UAS-CUAS'!$F$4:$F$81,MATCH($B131,'Capacidade UAS-CUAS'!$E$4:$E$81,0)),"")</f>
        <v/>
      </c>
      <c r="D131" s="67" t="str">
        <f>IFERROR(INDEX('Capacidade UAS-CUAS'!$B$4:$B$81,MATCH($B131,'Capacidade UAS-CUAS'!$E$4:$E$81,0)),"")</f>
        <v/>
      </c>
      <c r="E131" s="68" t="str">
        <f>IFERROR(INDEX('Capacidade UAS-CUAS'!$D$4:$D$81,MATCH($B131,'Capacidade UAS-CUAS'!$E$4:$E$81,0)),"")</f>
        <v/>
      </c>
      <c r="F131" s="72"/>
      <c r="G131" s="72"/>
      <c r="H131" s="72"/>
      <c r="I131" s="72"/>
      <c r="J131" s="73"/>
      <c r="K131" s="73"/>
    </row>
    <row r="132" spans="1:11" x14ac:dyDescent="0.25">
      <c r="A132" s="71"/>
      <c r="B132" s="72"/>
      <c r="C132" s="67" t="str">
        <f>IFERROR(INDEX('Capacidade UAS-CUAS'!$F$4:$F$81,MATCH($B132,'Capacidade UAS-CUAS'!$E$4:$E$81,0)),"")</f>
        <v/>
      </c>
      <c r="D132" s="67" t="str">
        <f>IFERROR(INDEX('Capacidade UAS-CUAS'!$B$4:$B$81,MATCH($B132,'Capacidade UAS-CUAS'!$E$4:$E$81,0)),"")</f>
        <v/>
      </c>
      <c r="E132" s="68" t="str">
        <f>IFERROR(INDEX('Capacidade UAS-CUAS'!$D$4:$D$81,MATCH($B132,'Capacidade UAS-CUAS'!$E$4:$E$81,0)),"")</f>
        <v/>
      </c>
      <c r="F132" s="72"/>
      <c r="G132" s="72"/>
      <c r="H132" s="72"/>
      <c r="I132" s="72"/>
      <c r="J132" s="73"/>
      <c r="K132" s="73"/>
    </row>
    <row r="133" spans="1:11" x14ac:dyDescent="0.25">
      <c r="A133" s="71"/>
      <c r="B133" s="72"/>
      <c r="C133" s="67" t="str">
        <f>IFERROR(INDEX('Capacidade UAS-CUAS'!$F$4:$F$81,MATCH($B133,'Capacidade UAS-CUAS'!$E$4:$E$81,0)),"")</f>
        <v/>
      </c>
      <c r="D133" s="67" t="str">
        <f>IFERROR(INDEX('Capacidade UAS-CUAS'!$B$4:$B$81,MATCH($B133,'Capacidade UAS-CUAS'!$E$4:$E$81,0)),"")</f>
        <v/>
      </c>
      <c r="E133" s="68" t="str">
        <f>IFERROR(INDEX('Capacidade UAS-CUAS'!$D$4:$D$81,MATCH($B133,'Capacidade UAS-CUAS'!$E$4:$E$81,0)),"")</f>
        <v/>
      </c>
      <c r="F133" s="72"/>
      <c r="G133" s="72"/>
      <c r="H133" s="72"/>
      <c r="I133" s="72"/>
      <c r="J133" s="73"/>
      <c r="K133" s="73"/>
    </row>
    <row r="134" spans="1:11" x14ac:dyDescent="0.25">
      <c r="A134" s="71"/>
      <c r="B134" s="72"/>
      <c r="C134" s="67" t="str">
        <f>IFERROR(INDEX('Capacidade UAS-CUAS'!$F$4:$F$81,MATCH($B134,'Capacidade UAS-CUAS'!$E$4:$E$81,0)),"")</f>
        <v/>
      </c>
      <c r="D134" s="67" t="str">
        <f>IFERROR(INDEX('Capacidade UAS-CUAS'!$B$4:$B$81,MATCH($B134,'Capacidade UAS-CUAS'!$E$4:$E$81,0)),"")</f>
        <v/>
      </c>
      <c r="E134" s="68" t="str">
        <f>IFERROR(INDEX('Capacidade UAS-CUAS'!$D$4:$D$81,MATCH($B134,'Capacidade UAS-CUAS'!$E$4:$E$81,0)),"")</f>
        <v/>
      </c>
      <c r="F134" s="72"/>
      <c r="G134" s="72"/>
      <c r="H134" s="72"/>
      <c r="I134" s="72"/>
      <c r="J134" s="73"/>
      <c r="K134" s="73"/>
    </row>
    <row r="135" spans="1:11" x14ac:dyDescent="0.25">
      <c r="A135" s="71"/>
      <c r="B135" s="72"/>
      <c r="C135" s="67" t="str">
        <f>IFERROR(INDEX('Capacidade UAS-CUAS'!$F$4:$F$81,MATCH($B135,'Capacidade UAS-CUAS'!$E$4:$E$81,0)),"")</f>
        <v/>
      </c>
      <c r="D135" s="67" t="str">
        <f>IFERROR(INDEX('Capacidade UAS-CUAS'!$B$4:$B$81,MATCH($B135,'Capacidade UAS-CUAS'!$E$4:$E$81,0)),"")</f>
        <v/>
      </c>
      <c r="E135" s="68" t="str">
        <f>IFERROR(INDEX('Capacidade UAS-CUAS'!$D$4:$D$81,MATCH($B135,'Capacidade UAS-CUAS'!$E$4:$E$81,0)),"")</f>
        <v/>
      </c>
      <c r="F135" s="72"/>
      <c r="G135" s="72"/>
      <c r="H135" s="72"/>
      <c r="I135" s="72"/>
      <c r="J135" s="73"/>
      <c r="K135" s="73"/>
    </row>
    <row r="136" spans="1:11" x14ac:dyDescent="0.25">
      <c r="A136" s="71"/>
      <c r="B136" s="72"/>
      <c r="C136" s="67" t="str">
        <f>IFERROR(INDEX('Capacidade UAS-CUAS'!$F$4:$F$81,MATCH($B136,'Capacidade UAS-CUAS'!$E$4:$E$81,0)),"")</f>
        <v/>
      </c>
      <c r="D136" s="67" t="str">
        <f>IFERROR(INDEX('Capacidade UAS-CUAS'!$B$4:$B$81,MATCH($B136,'Capacidade UAS-CUAS'!$E$4:$E$81,0)),"")</f>
        <v/>
      </c>
      <c r="E136" s="68" t="str">
        <f>IFERROR(INDEX('Capacidade UAS-CUAS'!$D$4:$D$81,MATCH($B136,'Capacidade UAS-CUAS'!$E$4:$E$81,0)),"")</f>
        <v/>
      </c>
      <c r="F136" s="72"/>
      <c r="G136" s="72"/>
      <c r="H136" s="72"/>
      <c r="I136" s="72"/>
      <c r="J136" s="73"/>
      <c r="K136" s="73"/>
    </row>
    <row r="137" spans="1:11" x14ac:dyDescent="0.25">
      <c r="A137" s="71"/>
      <c r="B137" s="72"/>
      <c r="C137" s="67" t="str">
        <f>IFERROR(INDEX('Capacidade UAS-CUAS'!$F$4:$F$81,MATCH($B137,'Capacidade UAS-CUAS'!$E$4:$E$81,0)),"")</f>
        <v/>
      </c>
      <c r="D137" s="67" t="str">
        <f>IFERROR(INDEX('Capacidade UAS-CUAS'!$B$4:$B$81,MATCH($B137,'Capacidade UAS-CUAS'!$E$4:$E$81,0)),"")</f>
        <v/>
      </c>
      <c r="E137" s="68" t="str">
        <f>IFERROR(INDEX('Capacidade UAS-CUAS'!$D$4:$D$81,MATCH($B137,'Capacidade UAS-CUAS'!$E$4:$E$81,0)),"")</f>
        <v/>
      </c>
      <c r="F137" s="72"/>
      <c r="G137" s="72"/>
      <c r="H137" s="72"/>
      <c r="I137" s="72"/>
      <c r="J137" s="73"/>
      <c r="K137" s="73"/>
    </row>
    <row r="138" spans="1:11" x14ac:dyDescent="0.25">
      <c r="A138" s="71"/>
      <c r="B138" s="72"/>
      <c r="C138" s="67" t="str">
        <f>IFERROR(INDEX('Capacidade UAS-CUAS'!$F$4:$F$81,MATCH($B138,'Capacidade UAS-CUAS'!$E$4:$E$81,0)),"")</f>
        <v/>
      </c>
      <c r="D138" s="67" t="str">
        <f>IFERROR(INDEX('Capacidade UAS-CUAS'!$B$4:$B$81,MATCH($B138,'Capacidade UAS-CUAS'!$E$4:$E$81,0)),"")</f>
        <v/>
      </c>
      <c r="E138" s="68" t="str">
        <f>IFERROR(INDEX('Capacidade UAS-CUAS'!$D$4:$D$81,MATCH($B138,'Capacidade UAS-CUAS'!$E$4:$E$81,0)),"")</f>
        <v/>
      </c>
      <c r="F138" s="72"/>
      <c r="G138" s="72"/>
      <c r="H138" s="72"/>
      <c r="I138" s="72"/>
      <c r="J138" s="73"/>
      <c r="K138" s="73"/>
    </row>
    <row r="139" spans="1:11" x14ac:dyDescent="0.25">
      <c r="A139" s="71"/>
      <c r="B139" s="72"/>
      <c r="C139" s="67" t="str">
        <f>IFERROR(INDEX('Capacidade UAS-CUAS'!$F$4:$F$81,MATCH($B139,'Capacidade UAS-CUAS'!$E$4:$E$81,0)),"")</f>
        <v/>
      </c>
      <c r="D139" s="67" t="str">
        <f>IFERROR(INDEX('Capacidade UAS-CUAS'!$B$4:$B$81,MATCH($B139,'Capacidade UAS-CUAS'!$E$4:$E$81,0)),"")</f>
        <v/>
      </c>
      <c r="E139" s="68" t="str">
        <f>IFERROR(INDEX('Capacidade UAS-CUAS'!$D$4:$D$81,MATCH($B139,'Capacidade UAS-CUAS'!$E$4:$E$81,0)),"")</f>
        <v/>
      </c>
      <c r="F139" s="72"/>
      <c r="G139" s="72"/>
      <c r="H139" s="72"/>
      <c r="I139" s="72"/>
      <c r="J139" s="73"/>
      <c r="K139" s="73"/>
    </row>
    <row r="140" spans="1:11" x14ac:dyDescent="0.25">
      <c r="A140" s="71"/>
      <c r="B140" s="72"/>
      <c r="C140" s="67" t="str">
        <f>IFERROR(INDEX('Capacidade UAS-CUAS'!$F$4:$F$81,MATCH($B140,'Capacidade UAS-CUAS'!$E$4:$E$81,0)),"")</f>
        <v/>
      </c>
      <c r="D140" s="67" t="str">
        <f>IFERROR(INDEX('Capacidade UAS-CUAS'!$B$4:$B$81,MATCH($B140,'Capacidade UAS-CUAS'!$E$4:$E$81,0)),"")</f>
        <v/>
      </c>
      <c r="E140" s="68" t="str">
        <f>IFERROR(INDEX('Capacidade UAS-CUAS'!$D$4:$D$81,MATCH($B140,'Capacidade UAS-CUAS'!$E$4:$E$81,0)),"")</f>
        <v/>
      </c>
      <c r="F140" s="72"/>
      <c r="G140" s="72"/>
      <c r="H140" s="72"/>
      <c r="I140" s="72"/>
      <c r="J140" s="73"/>
      <c r="K140" s="73"/>
    </row>
    <row r="141" spans="1:11" x14ac:dyDescent="0.25">
      <c r="A141" s="71"/>
      <c r="B141" s="72"/>
      <c r="C141" s="67" t="str">
        <f>IFERROR(INDEX('Capacidade UAS-CUAS'!$F$4:$F$81,MATCH($B141,'Capacidade UAS-CUAS'!$E$4:$E$81,0)),"")</f>
        <v/>
      </c>
      <c r="D141" s="67" t="str">
        <f>IFERROR(INDEX('Capacidade UAS-CUAS'!$B$4:$B$81,MATCH($B141,'Capacidade UAS-CUAS'!$E$4:$E$81,0)),"")</f>
        <v/>
      </c>
      <c r="E141" s="68" t="str">
        <f>IFERROR(INDEX('Capacidade UAS-CUAS'!$D$4:$D$81,MATCH($B141,'Capacidade UAS-CUAS'!$E$4:$E$81,0)),"")</f>
        <v/>
      </c>
      <c r="F141" s="72"/>
      <c r="G141" s="72"/>
      <c r="H141" s="72"/>
      <c r="I141" s="72"/>
      <c r="J141" s="73"/>
      <c r="K141" s="73"/>
    </row>
    <row r="142" spans="1:11" x14ac:dyDescent="0.25">
      <c r="A142" s="71"/>
      <c r="B142" s="72"/>
      <c r="C142" s="67" t="str">
        <f>IFERROR(INDEX('Capacidade UAS-CUAS'!$F$4:$F$81,MATCH($B142,'Capacidade UAS-CUAS'!$E$4:$E$81,0)),"")</f>
        <v/>
      </c>
      <c r="D142" s="67" t="str">
        <f>IFERROR(INDEX('Capacidade UAS-CUAS'!$B$4:$B$81,MATCH($B142,'Capacidade UAS-CUAS'!$E$4:$E$81,0)),"")</f>
        <v/>
      </c>
      <c r="E142" s="68" t="str">
        <f>IFERROR(INDEX('Capacidade UAS-CUAS'!$D$4:$D$81,MATCH($B142,'Capacidade UAS-CUAS'!$E$4:$E$81,0)),"")</f>
        <v/>
      </c>
      <c r="F142" s="72"/>
      <c r="G142" s="72"/>
      <c r="H142" s="72"/>
      <c r="I142" s="72"/>
      <c r="J142" s="73"/>
      <c r="K142" s="73"/>
    </row>
    <row r="143" spans="1:11" x14ac:dyDescent="0.25">
      <c r="A143" s="71"/>
      <c r="B143" s="72"/>
      <c r="C143" s="67" t="str">
        <f>IFERROR(INDEX('Capacidade UAS-CUAS'!$F$4:$F$81,MATCH($B143,'Capacidade UAS-CUAS'!$E$4:$E$81,0)),"")</f>
        <v/>
      </c>
      <c r="D143" s="67" t="str">
        <f>IFERROR(INDEX('Capacidade UAS-CUAS'!$B$4:$B$81,MATCH($B143,'Capacidade UAS-CUAS'!$E$4:$E$81,0)),"")</f>
        <v/>
      </c>
      <c r="E143" s="68" t="str">
        <f>IFERROR(INDEX('Capacidade UAS-CUAS'!$D$4:$D$81,MATCH($B143,'Capacidade UAS-CUAS'!$E$4:$E$81,0)),"")</f>
        <v/>
      </c>
      <c r="F143" s="72"/>
      <c r="G143" s="72"/>
      <c r="H143" s="72"/>
      <c r="I143" s="72"/>
      <c r="J143" s="73"/>
      <c r="K143" s="73"/>
    </row>
    <row r="144" spans="1:11" x14ac:dyDescent="0.25">
      <c r="A144" s="71"/>
      <c r="B144" s="72"/>
      <c r="C144" s="67" t="str">
        <f>IFERROR(INDEX('Capacidade UAS-CUAS'!$F$4:$F$81,MATCH($B144,'Capacidade UAS-CUAS'!$E$4:$E$81,0)),"")</f>
        <v/>
      </c>
      <c r="D144" s="67" t="str">
        <f>IFERROR(INDEX('Capacidade UAS-CUAS'!$B$4:$B$81,MATCH($B144,'Capacidade UAS-CUAS'!$E$4:$E$81,0)),"")</f>
        <v/>
      </c>
      <c r="E144" s="68" t="str">
        <f>IFERROR(INDEX('Capacidade UAS-CUAS'!$D$4:$D$81,MATCH($B144,'Capacidade UAS-CUAS'!$E$4:$E$81,0)),"")</f>
        <v/>
      </c>
      <c r="F144" s="72"/>
      <c r="G144" s="72"/>
      <c r="H144" s="72"/>
      <c r="I144" s="72"/>
      <c r="J144" s="73"/>
      <c r="K144" s="73"/>
    </row>
    <row r="145" spans="1:11" x14ac:dyDescent="0.25">
      <c r="A145" s="71"/>
      <c r="B145" s="72"/>
      <c r="C145" s="67" t="str">
        <f>IFERROR(INDEX('Capacidade UAS-CUAS'!$F$4:$F$81,MATCH($B145,'Capacidade UAS-CUAS'!$E$4:$E$81,0)),"")</f>
        <v/>
      </c>
      <c r="D145" s="67" t="str">
        <f>IFERROR(INDEX('Capacidade UAS-CUAS'!$B$4:$B$81,MATCH($B145,'Capacidade UAS-CUAS'!$E$4:$E$81,0)),"")</f>
        <v/>
      </c>
      <c r="E145" s="68" t="str">
        <f>IFERROR(INDEX('Capacidade UAS-CUAS'!$D$4:$D$81,MATCH($B145,'Capacidade UAS-CUAS'!$E$4:$E$81,0)),"")</f>
        <v/>
      </c>
      <c r="F145" s="72"/>
      <c r="G145" s="72"/>
      <c r="H145" s="72"/>
      <c r="I145" s="72"/>
      <c r="J145" s="73"/>
      <c r="K145" s="73"/>
    </row>
    <row r="146" spans="1:11" x14ac:dyDescent="0.25">
      <c r="A146" s="71"/>
      <c r="B146" s="72"/>
      <c r="C146" s="67" t="str">
        <f>IFERROR(INDEX('Capacidade UAS-CUAS'!$F$4:$F$81,MATCH($B146,'Capacidade UAS-CUAS'!$E$4:$E$81,0)),"")</f>
        <v/>
      </c>
      <c r="D146" s="67" t="str">
        <f>IFERROR(INDEX('Capacidade UAS-CUAS'!$B$4:$B$81,MATCH($B146,'Capacidade UAS-CUAS'!$E$4:$E$81,0)),"")</f>
        <v/>
      </c>
      <c r="E146" s="68" t="str">
        <f>IFERROR(INDEX('Capacidade UAS-CUAS'!$D$4:$D$81,MATCH($B146,'Capacidade UAS-CUAS'!$E$4:$E$81,0)),"")</f>
        <v/>
      </c>
      <c r="F146" s="72"/>
      <c r="G146" s="72"/>
      <c r="H146" s="72"/>
      <c r="I146" s="72"/>
      <c r="J146" s="73"/>
      <c r="K146" s="73"/>
    </row>
    <row r="147" spans="1:11" x14ac:dyDescent="0.25">
      <c r="A147" s="71"/>
      <c r="B147" s="72"/>
      <c r="C147" s="67" t="str">
        <f>IFERROR(INDEX('Capacidade UAS-CUAS'!$F$4:$F$81,MATCH($B147,'Capacidade UAS-CUAS'!$E$4:$E$81,0)),"")</f>
        <v/>
      </c>
      <c r="D147" s="67" t="str">
        <f>IFERROR(INDEX('Capacidade UAS-CUAS'!$B$4:$B$81,MATCH($B147,'Capacidade UAS-CUAS'!$E$4:$E$81,0)),"")</f>
        <v/>
      </c>
      <c r="E147" s="68" t="str">
        <f>IFERROR(INDEX('Capacidade UAS-CUAS'!$D$4:$D$81,MATCH($B147,'Capacidade UAS-CUAS'!$E$4:$E$81,0)),"")</f>
        <v/>
      </c>
      <c r="F147" s="72"/>
      <c r="G147" s="72"/>
      <c r="H147" s="72"/>
      <c r="I147" s="72"/>
      <c r="J147" s="73"/>
      <c r="K147" s="73"/>
    </row>
    <row r="148" spans="1:11" x14ac:dyDescent="0.25">
      <c r="A148" s="71"/>
      <c r="B148" s="72"/>
      <c r="C148" s="67" t="str">
        <f>IFERROR(INDEX('Capacidade UAS-CUAS'!$F$4:$F$81,MATCH($B148,'Capacidade UAS-CUAS'!$E$4:$E$81,0)),"")</f>
        <v/>
      </c>
      <c r="D148" s="67" t="str">
        <f>IFERROR(INDEX('Capacidade UAS-CUAS'!$B$4:$B$81,MATCH($B148,'Capacidade UAS-CUAS'!$E$4:$E$81,0)),"")</f>
        <v/>
      </c>
      <c r="E148" s="68" t="str">
        <f>IFERROR(INDEX('Capacidade UAS-CUAS'!$D$4:$D$81,MATCH($B148,'Capacidade UAS-CUAS'!$E$4:$E$81,0)),"")</f>
        <v/>
      </c>
      <c r="F148" s="72"/>
      <c r="G148" s="72"/>
      <c r="H148" s="72"/>
      <c r="I148" s="72"/>
      <c r="J148" s="73"/>
      <c r="K148" s="73"/>
    </row>
    <row r="149" spans="1:11" x14ac:dyDescent="0.25">
      <c r="A149" s="71"/>
      <c r="B149" s="72"/>
      <c r="C149" s="67" t="str">
        <f>IFERROR(INDEX('Capacidade UAS-CUAS'!$F$4:$F$81,MATCH($B149,'Capacidade UAS-CUAS'!$E$4:$E$81,0)),"")</f>
        <v/>
      </c>
      <c r="D149" s="67" t="str">
        <f>IFERROR(INDEX('Capacidade UAS-CUAS'!$B$4:$B$81,MATCH($B149,'Capacidade UAS-CUAS'!$E$4:$E$81,0)),"")</f>
        <v/>
      </c>
      <c r="E149" s="68" t="str">
        <f>IFERROR(INDEX('Capacidade UAS-CUAS'!$D$4:$D$81,MATCH($B149,'Capacidade UAS-CUAS'!$E$4:$E$81,0)),"")</f>
        <v/>
      </c>
      <c r="F149" s="72"/>
      <c r="G149" s="72"/>
      <c r="H149" s="72"/>
      <c r="I149" s="72"/>
      <c r="J149" s="73"/>
      <c r="K149" s="73"/>
    </row>
    <row r="150" spans="1:11" x14ac:dyDescent="0.25">
      <c r="A150" s="71"/>
      <c r="B150" s="72"/>
      <c r="C150" s="67" t="str">
        <f>IFERROR(INDEX('Capacidade UAS-CUAS'!$F$4:$F$81,MATCH($B150,'Capacidade UAS-CUAS'!$E$4:$E$81,0)),"")</f>
        <v/>
      </c>
      <c r="D150" s="67" t="str">
        <f>IFERROR(INDEX('Capacidade UAS-CUAS'!$B$4:$B$81,MATCH($B150,'Capacidade UAS-CUAS'!$E$4:$E$81,0)),"")</f>
        <v/>
      </c>
      <c r="E150" s="68" t="str">
        <f>IFERROR(INDEX('Capacidade UAS-CUAS'!$D$4:$D$81,MATCH($B150,'Capacidade UAS-CUAS'!$E$4:$E$81,0)),"")</f>
        <v/>
      </c>
      <c r="F150" s="72"/>
      <c r="G150" s="72"/>
      <c r="H150" s="72"/>
      <c r="I150" s="72"/>
      <c r="J150" s="73"/>
      <c r="K150" s="73"/>
    </row>
    <row r="151" spans="1:11" x14ac:dyDescent="0.25">
      <c r="A151" s="71"/>
      <c r="B151" s="72"/>
      <c r="C151" s="67" t="str">
        <f>IFERROR(INDEX('Capacidade UAS-CUAS'!$F$4:$F$81,MATCH($B151,'Capacidade UAS-CUAS'!$E$4:$E$81,0)),"")</f>
        <v/>
      </c>
      <c r="D151" s="67" t="str">
        <f>IFERROR(INDEX('Capacidade UAS-CUAS'!$B$4:$B$81,MATCH($B151,'Capacidade UAS-CUAS'!$E$4:$E$81,0)),"")</f>
        <v/>
      </c>
      <c r="E151" s="68" t="str">
        <f>IFERROR(INDEX('Capacidade UAS-CUAS'!$D$4:$D$81,MATCH($B151,'Capacidade UAS-CUAS'!$E$4:$E$81,0)),"")</f>
        <v/>
      </c>
      <c r="F151" s="72"/>
      <c r="G151" s="72"/>
      <c r="H151" s="72"/>
      <c r="I151" s="72"/>
      <c r="J151" s="73"/>
      <c r="K151" s="73"/>
    </row>
    <row r="152" spans="1:11" x14ac:dyDescent="0.25">
      <c r="A152" s="71"/>
      <c r="B152" s="72"/>
      <c r="C152" s="67" t="str">
        <f>IFERROR(INDEX('Capacidade UAS-CUAS'!$F$4:$F$81,MATCH($B152,'Capacidade UAS-CUAS'!$E$4:$E$81,0)),"")</f>
        <v/>
      </c>
      <c r="D152" s="67" t="str">
        <f>IFERROR(INDEX('Capacidade UAS-CUAS'!$B$4:$B$81,MATCH($B152,'Capacidade UAS-CUAS'!$E$4:$E$81,0)),"")</f>
        <v/>
      </c>
      <c r="E152" s="68" t="str">
        <f>IFERROR(INDEX('Capacidade UAS-CUAS'!$D$4:$D$81,MATCH($B152,'Capacidade UAS-CUAS'!$E$4:$E$81,0)),"")</f>
        <v/>
      </c>
      <c r="F152" s="72"/>
      <c r="G152" s="72"/>
      <c r="H152" s="72"/>
      <c r="I152" s="72"/>
      <c r="J152" s="73"/>
      <c r="K152" s="73"/>
    </row>
    <row r="153" spans="1:11" x14ac:dyDescent="0.25">
      <c r="A153" s="71"/>
      <c r="B153" s="72"/>
      <c r="C153" s="67" t="str">
        <f>IFERROR(INDEX('Capacidade UAS-CUAS'!$F$4:$F$81,MATCH($B153,'Capacidade UAS-CUAS'!$E$4:$E$81,0)),"")</f>
        <v/>
      </c>
      <c r="D153" s="67" t="str">
        <f>IFERROR(INDEX('Capacidade UAS-CUAS'!$B$4:$B$81,MATCH($B153,'Capacidade UAS-CUAS'!$E$4:$E$81,0)),"")</f>
        <v/>
      </c>
      <c r="E153" s="68" t="str">
        <f>IFERROR(INDEX('Capacidade UAS-CUAS'!$D$4:$D$81,MATCH($B153,'Capacidade UAS-CUAS'!$E$4:$E$81,0)),"")</f>
        <v/>
      </c>
      <c r="F153" s="72"/>
      <c r="G153" s="72"/>
      <c r="H153" s="72"/>
      <c r="I153" s="72"/>
      <c r="J153" s="73"/>
      <c r="K153" s="73"/>
    </row>
    <row r="154" spans="1:11" x14ac:dyDescent="0.25">
      <c r="A154" s="71"/>
      <c r="B154" s="72"/>
      <c r="C154" s="67" t="str">
        <f>IFERROR(INDEX('Capacidade UAS-CUAS'!$F$4:$F$81,MATCH($B154,'Capacidade UAS-CUAS'!$E$4:$E$81,0)),"")</f>
        <v/>
      </c>
      <c r="D154" s="67" t="str">
        <f>IFERROR(INDEX('Capacidade UAS-CUAS'!$B$4:$B$81,MATCH($B154,'Capacidade UAS-CUAS'!$E$4:$E$81,0)),"")</f>
        <v/>
      </c>
      <c r="E154" s="68" t="str">
        <f>IFERROR(INDEX('Capacidade UAS-CUAS'!$D$4:$D$81,MATCH($B154,'Capacidade UAS-CUAS'!$E$4:$E$81,0)),"")</f>
        <v/>
      </c>
      <c r="F154" s="72"/>
      <c r="G154" s="72"/>
      <c r="H154" s="72"/>
      <c r="I154" s="72"/>
      <c r="J154" s="73"/>
      <c r="K154" s="73"/>
    </row>
    <row r="155" spans="1:11" x14ac:dyDescent="0.25">
      <c r="A155" s="71"/>
      <c r="B155" s="72"/>
      <c r="C155" s="67" t="str">
        <f>IFERROR(INDEX('Capacidade UAS-CUAS'!$F$4:$F$81,MATCH($B155,'Capacidade UAS-CUAS'!$E$4:$E$81,0)),"")</f>
        <v/>
      </c>
      <c r="D155" s="67" t="str">
        <f>IFERROR(INDEX('Capacidade UAS-CUAS'!$B$4:$B$81,MATCH($B155,'Capacidade UAS-CUAS'!$E$4:$E$81,0)),"")</f>
        <v/>
      </c>
      <c r="E155" s="68" t="str">
        <f>IFERROR(INDEX('Capacidade UAS-CUAS'!$D$4:$D$81,MATCH($B155,'Capacidade UAS-CUAS'!$E$4:$E$81,0)),"")</f>
        <v/>
      </c>
      <c r="F155" s="72"/>
      <c r="G155" s="72"/>
      <c r="H155" s="72"/>
      <c r="I155" s="72"/>
      <c r="J155" s="73"/>
      <c r="K155" s="73"/>
    </row>
    <row r="156" spans="1:11" x14ac:dyDescent="0.25">
      <c r="A156" s="71"/>
      <c r="B156" s="72"/>
      <c r="C156" s="67" t="str">
        <f>IFERROR(INDEX('Capacidade UAS-CUAS'!$F$4:$F$81,MATCH($B156,'Capacidade UAS-CUAS'!$E$4:$E$81,0)),"")</f>
        <v/>
      </c>
      <c r="D156" s="67" t="str">
        <f>IFERROR(INDEX('Capacidade UAS-CUAS'!$B$4:$B$81,MATCH($B156,'Capacidade UAS-CUAS'!$E$4:$E$81,0)),"")</f>
        <v/>
      </c>
      <c r="E156" s="68" t="str">
        <f>IFERROR(INDEX('Capacidade UAS-CUAS'!$D$4:$D$81,MATCH($B156,'Capacidade UAS-CUAS'!$E$4:$E$81,0)),"")</f>
        <v/>
      </c>
      <c r="F156" s="72"/>
      <c r="G156" s="72"/>
      <c r="H156" s="72"/>
      <c r="I156" s="72"/>
      <c r="J156" s="73"/>
      <c r="K156" s="73"/>
    </row>
    <row r="157" spans="1:11" x14ac:dyDescent="0.25">
      <c r="A157" s="71"/>
      <c r="B157" s="72"/>
      <c r="C157" s="67" t="str">
        <f>IFERROR(INDEX('Capacidade UAS-CUAS'!$F$4:$F$81,MATCH($B157,'Capacidade UAS-CUAS'!$E$4:$E$81,0)),"")</f>
        <v/>
      </c>
      <c r="D157" s="67" t="str">
        <f>IFERROR(INDEX('Capacidade UAS-CUAS'!$B$4:$B$81,MATCH($B157,'Capacidade UAS-CUAS'!$E$4:$E$81,0)),"")</f>
        <v/>
      </c>
      <c r="E157" s="68" t="str">
        <f>IFERROR(INDEX('Capacidade UAS-CUAS'!$D$4:$D$81,MATCH($B157,'Capacidade UAS-CUAS'!$E$4:$E$81,0)),"")</f>
        <v/>
      </c>
      <c r="F157" s="72"/>
      <c r="G157" s="72"/>
      <c r="H157" s="72"/>
      <c r="I157" s="72"/>
      <c r="J157" s="73"/>
      <c r="K157" s="73"/>
    </row>
    <row r="158" spans="1:11" x14ac:dyDescent="0.25">
      <c r="A158" s="71"/>
      <c r="B158" s="72"/>
      <c r="C158" s="67" t="str">
        <f>IFERROR(INDEX('Capacidade UAS-CUAS'!$F$4:$F$81,MATCH($B158,'Capacidade UAS-CUAS'!$E$4:$E$81,0)),"")</f>
        <v/>
      </c>
      <c r="D158" s="67" t="str">
        <f>IFERROR(INDEX('Capacidade UAS-CUAS'!$B$4:$B$81,MATCH($B158,'Capacidade UAS-CUAS'!$E$4:$E$81,0)),"")</f>
        <v/>
      </c>
      <c r="E158" s="68" t="str">
        <f>IFERROR(INDEX('Capacidade UAS-CUAS'!$D$4:$D$81,MATCH($B158,'Capacidade UAS-CUAS'!$E$4:$E$81,0)),"")</f>
        <v/>
      </c>
      <c r="F158" s="72"/>
      <c r="G158" s="72"/>
      <c r="H158" s="72"/>
      <c r="I158" s="72"/>
      <c r="J158" s="73"/>
      <c r="K158" s="73"/>
    </row>
    <row r="159" spans="1:11" x14ac:dyDescent="0.25">
      <c r="A159" s="71"/>
      <c r="B159" s="72"/>
      <c r="C159" s="67" t="str">
        <f>IFERROR(INDEX('Capacidade UAS-CUAS'!$F$4:$F$81,MATCH($B159,'Capacidade UAS-CUAS'!$E$4:$E$81,0)),"")</f>
        <v/>
      </c>
      <c r="D159" s="67" t="str">
        <f>IFERROR(INDEX('Capacidade UAS-CUAS'!$B$4:$B$81,MATCH($B159,'Capacidade UAS-CUAS'!$E$4:$E$81,0)),"")</f>
        <v/>
      </c>
      <c r="E159" s="68" t="str">
        <f>IFERROR(INDEX('Capacidade UAS-CUAS'!$D$4:$D$81,MATCH($B159,'Capacidade UAS-CUAS'!$E$4:$E$81,0)),"")</f>
        <v/>
      </c>
      <c r="F159" s="72"/>
      <c r="G159" s="72"/>
      <c r="H159" s="72"/>
      <c r="I159" s="72"/>
      <c r="J159" s="73"/>
      <c r="K159" s="73"/>
    </row>
    <row r="160" spans="1:11" x14ac:dyDescent="0.25">
      <c r="A160" s="71"/>
      <c r="B160" s="72"/>
      <c r="C160" s="67" t="str">
        <f>IFERROR(INDEX('Capacidade UAS-CUAS'!$F$4:$F$81,MATCH($B160,'Capacidade UAS-CUAS'!$E$4:$E$81,0)),"")</f>
        <v/>
      </c>
      <c r="D160" s="67" t="str">
        <f>IFERROR(INDEX('Capacidade UAS-CUAS'!$B$4:$B$81,MATCH($B160,'Capacidade UAS-CUAS'!$E$4:$E$81,0)),"")</f>
        <v/>
      </c>
      <c r="E160" s="68" t="str">
        <f>IFERROR(INDEX('Capacidade UAS-CUAS'!$D$4:$D$81,MATCH($B160,'Capacidade UAS-CUAS'!$E$4:$E$81,0)),"")</f>
        <v/>
      </c>
      <c r="F160" s="72"/>
      <c r="G160" s="72"/>
      <c r="H160" s="72"/>
      <c r="I160" s="72"/>
      <c r="J160" s="73"/>
      <c r="K160" s="73"/>
    </row>
    <row r="161" spans="1:11" x14ac:dyDescent="0.25">
      <c r="A161" s="71"/>
      <c r="B161" s="72"/>
      <c r="C161" s="67" t="str">
        <f>IFERROR(INDEX('Capacidade UAS-CUAS'!$F$4:$F$81,MATCH($B161,'Capacidade UAS-CUAS'!$E$4:$E$81,0)),"")</f>
        <v/>
      </c>
      <c r="D161" s="67" t="str">
        <f>IFERROR(INDEX('Capacidade UAS-CUAS'!$B$4:$B$81,MATCH($B161,'Capacidade UAS-CUAS'!$E$4:$E$81,0)),"")</f>
        <v/>
      </c>
      <c r="E161" s="68" t="str">
        <f>IFERROR(INDEX('Capacidade UAS-CUAS'!$D$4:$D$81,MATCH($B161,'Capacidade UAS-CUAS'!$E$4:$E$81,0)),"")</f>
        <v/>
      </c>
      <c r="F161" s="72"/>
      <c r="G161" s="72"/>
      <c r="H161" s="72"/>
      <c r="I161" s="72"/>
      <c r="J161" s="73"/>
      <c r="K161" s="73"/>
    </row>
    <row r="162" spans="1:11" x14ac:dyDescent="0.25">
      <c r="A162" s="71"/>
      <c r="B162" s="72"/>
      <c r="C162" s="67" t="str">
        <f>IFERROR(INDEX('Capacidade UAS-CUAS'!$F$4:$F$81,MATCH($B162,'Capacidade UAS-CUAS'!$E$4:$E$81,0)),"")</f>
        <v/>
      </c>
      <c r="D162" s="67" t="str">
        <f>IFERROR(INDEX('Capacidade UAS-CUAS'!$B$4:$B$81,MATCH($B162,'Capacidade UAS-CUAS'!$E$4:$E$81,0)),"")</f>
        <v/>
      </c>
      <c r="E162" s="68" t="str">
        <f>IFERROR(INDEX('Capacidade UAS-CUAS'!$D$4:$D$81,MATCH($B162,'Capacidade UAS-CUAS'!$E$4:$E$81,0)),"")</f>
        <v/>
      </c>
      <c r="F162" s="72"/>
      <c r="G162" s="72"/>
      <c r="H162" s="72"/>
      <c r="I162" s="72"/>
      <c r="J162" s="73"/>
      <c r="K162" s="73"/>
    </row>
    <row r="163" spans="1:11" x14ac:dyDescent="0.25">
      <c r="A163" s="71"/>
      <c r="B163" s="72"/>
      <c r="C163" s="67" t="str">
        <f>IFERROR(INDEX('Capacidade UAS-CUAS'!$F$4:$F$81,MATCH($B163,'Capacidade UAS-CUAS'!$E$4:$E$81,0)),"")</f>
        <v/>
      </c>
      <c r="D163" s="67" t="str">
        <f>IFERROR(INDEX('Capacidade UAS-CUAS'!$B$4:$B$81,MATCH($B163,'Capacidade UAS-CUAS'!$E$4:$E$81,0)),"")</f>
        <v/>
      </c>
      <c r="E163" s="68" t="str">
        <f>IFERROR(INDEX('Capacidade UAS-CUAS'!$D$4:$D$81,MATCH($B163,'Capacidade UAS-CUAS'!$E$4:$E$81,0)),"")</f>
        <v/>
      </c>
      <c r="F163" s="72"/>
      <c r="G163" s="72"/>
      <c r="H163" s="72"/>
      <c r="I163" s="72"/>
      <c r="J163" s="73"/>
      <c r="K163" s="73"/>
    </row>
    <row r="164" spans="1:11" x14ac:dyDescent="0.25">
      <c r="A164" s="71"/>
      <c r="B164" s="72"/>
      <c r="C164" s="67" t="str">
        <f>IFERROR(INDEX('Capacidade UAS-CUAS'!$F$4:$F$81,MATCH($B164,'Capacidade UAS-CUAS'!$E$4:$E$81,0)),"")</f>
        <v/>
      </c>
      <c r="D164" s="67" t="str">
        <f>IFERROR(INDEX('Capacidade UAS-CUAS'!$B$4:$B$81,MATCH($B164,'Capacidade UAS-CUAS'!$E$4:$E$81,0)),"")</f>
        <v/>
      </c>
      <c r="E164" s="68" t="str">
        <f>IFERROR(INDEX('Capacidade UAS-CUAS'!$D$4:$D$81,MATCH($B164,'Capacidade UAS-CUAS'!$E$4:$E$81,0)),"")</f>
        <v/>
      </c>
      <c r="F164" s="72"/>
      <c r="G164" s="72"/>
      <c r="H164" s="72"/>
      <c r="I164" s="72"/>
      <c r="J164" s="73"/>
      <c r="K164" s="73"/>
    </row>
    <row r="165" spans="1:11" x14ac:dyDescent="0.25">
      <c r="A165" s="71"/>
      <c r="B165" s="72"/>
      <c r="C165" s="67" t="str">
        <f>IFERROR(INDEX('Capacidade UAS-CUAS'!$F$4:$F$81,MATCH($B165,'Capacidade UAS-CUAS'!$E$4:$E$81,0)),"")</f>
        <v/>
      </c>
      <c r="D165" s="67" t="str">
        <f>IFERROR(INDEX('Capacidade UAS-CUAS'!$B$4:$B$81,MATCH($B165,'Capacidade UAS-CUAS'!$E$4:$E$81,0)),"")</f>
        <v/>
      </c>
      <c r="E165" s="68" t="str">
        <f>IFERROR(INDEX('Capacidade UAS-CUAS'!$D$4:$D$81,MATCH($B165,'Capacidade UAS-CUAS'!$E$4:$E$81,0)),"")</f>
        <v/>
      </c>
      <c r="F165" s="72"/>
      <c r="G165" s="72"/>
      <c r="H165" s="72"/>
      <c r="I165" s="72"/>
      <c r="J165" s="73"/>
      <c r="K165" s="73"/>
    </row>
    <row r="166" spans="1:11" x14ac:dyDescent="0.25">
      <c r="A166" s="71"/>
      <c r="B166" s="72"/>
      <c r="C166" s="67" t="str">
        <f>IFERROR(INDEX('Capacidade UAS-CUAS'!$F$4:$F$81,MATCH($B166,'Capacidade UAS-CUAS'!$E$4:$E$81,0)),"")</f>
        <v/>
      </c>
      <c r="D166" s="67" t="str">
        <f>IFERROR(INDEX('Capacidade UAS-CUAS'!$B$4:$B$81,MATCH($B166,'Capacidade UAS-CUAS'!$E$4:$E$81,0)),"")</f>
        <v/>
      </c>
      <c r="E166" s="68" t="str">
        <f>IFERROR(INDEX('Capacidade UAS-CUAS'!$D$4:$D$81,MATCH($B166,'Capacidade UAS-CUAS'!$E$4:$E$81,0)),"")</f>
        <v/>
      </c>
      <c r="F166" s="72"/>
      <c r="G166" s="72"/>
      <c r="H166" s="72"/>
      <c r="I166" s="72"/>
      <c r="J166" s="73"/>
      <c r="K166" s="73"/>
    </row>
    <row r="167" spans="1:11" x14ac:dyDescent="0.25">
      <c r="A167" s="71"/>
      <c r="B167" s="72"/>
      <c r="C167" s="67" t="str">
        <f>IFERROR(INDEX('Capacidade UAS-CUAS'!$F$4:$F$81,MATCH($B167,'Capacidade UAS-CUAS'!$E$4:$E$81,0)),"")</f>
        <v/>
      </c>
      <c r="D167" s="67" t="str">
        <f>IFERROR(INDEX('Capacidade UAS-CUAS'!$B$4:$B$81,MATCH($B167,'Capacidade UAS-CUAS'!$E$4:$E$81,0)),"")</f>
        <v/>
      </c>
      <c r="E167" s="68" t="str">
        <f>IFERROR(INDEX('Capacidade UAS-CUAS'!$D$4:$D$81,MATCH($B167,'Capacidade UAS-CUAS'!$E$4:$E$81,0)),"")</f>
        <v/>
      </c>
      <c r="F167" s="72"/>
      <c r="G167" s="72"/>
      <c r="H167" s="72"/>
      <c r="I167" s="72"/>
      <c r="J167" s="73"/>
      <c r="K167" s="73"/>
    </row>
    <row r="168" spans="1:11" x14ac:dyDescent="0.25">
      <c r="A168" s="71"/>
      <c r="B168" s="72"/>
      <c r="C168" s="67" t="str">
        <f>IFERROR(INDEX('Capacidade UAS-CUAS'!$F$4:$F$81,MATCH($B168,'Capacidade UAS-CUAS'!$E$4:$E$81,0)),"")</f>
        <v/>
      </c>
      <c r="D168" s="67" t="str">
        <f>IFERROR(INDEX('Capacidade UAS-CUAS'!$B$4:$B$81,MATCH($B168,'Capacidade UAS-CUAS'!$E$4:$E$81,0)),"")</f>
        <v/>
      </c>
      <c r="E168" s="68" t="str">
        <f>IFERROR(INDEX('Capacidade UAS-CUAS'!$D$4:$D$81,MATCH($B168,'Capacidade UAS-CUAS'!$E$4:$E$81,0)),"")</f>
        <v/>
      </c>
      <c r="F168" s="72"/>
      <c r="G168" s="72"/>
      <c r="H168" s="72"/>
      <c r="I168" s="72"/>
      <c r="J168" s="73"/>
      <c r="K168" s="73"/>
    </row>
    <row r="169" spans="1:11" x14ac:dyDescent="0.25">
      <c r="A169" s="71"/>
      <c r="B169" s="72"/>
      <c r="C169" s="67" t="str">
        <f>IFERROR(INDEX('Capacidade UAS-CUAS'!$F$4:$F$81,MATCH($B169,'Capacidade UAS-CUAS'!$E$4:$E$81,0)),"")</f>
        <v/>
      </c>
      <c r="D169" s="67" t="str">
        <f>IFERROR(INDEX('Capacidade UAS-CUAS'!$B$4:$B$81,MATCH($B169,'Capacidade UAS-CUAS'!$E$4:$E$81,0)),"")</f>
        <v/>
      </c>
      <c r="E169" s="68" t="str">
        <f>IFERROR(INDEX('Capacidade UAS-CUAS'!$D$4:$D$81,MATCH($B169,'Capacidade UAS-CUAS'!$E$4:$E$81,0)),"")</f>
        <v/>
      </c>
      <c r="F169" s="72"/>
      <c r="G169" s="72"/>
      <c r="H169" s="72"/>
      <c r="I169" s="72"/>
      <c r="J169" s="73"/>
      <c r="K169" s="73"/>
    </row>
    <row r="170" spans="1:11" x14ac:dyDescent="0.25">
      <c r="A170" s="71"/>
      <c r="B170" s="72"/>
      <c r="C170" s="67" t="str">
        <f>IFERROR(INDEX('Capacidade UAS-CUAS'!$F$4:$F$81,MATCH($B170,'Capacidade UAS-CUAS'!$E$4:$E$81,0)),"")</f>
        <v/>
      </c>
      <c r="D170" s="67" t="str">
        <f>IFERROR(INDEX('Capacidade UAS-CUAS'!$B$4:$B$81,MATCH($B170,'Capacidade UAS-CUAS'!$E$4:$E$81,0)),"")</f>
        <v/>
      </c>
      <c r="E170" s="68" t="str">
        <f>IFERROR(INDEX('Capacidade UAS-CUAS'!$D$4:$D$81,MATCH($B170,'Capacidade UAS-CUAS'!$E$4:$E$81,0)),"")</f>
        <v/>
      </c>
      <c r="F170" s="72"/>
      <c r="G170" s="72"/>
      <c r="H170" s="72"/>
      <c r="I170" s="72"/>
      <c r="J170" s="73"/>
      <c r="K170" s="73"/>
    </row>
    <row r="171" spans="1:11" x14ac:dyDescent="0.25">
      <c r="A171" s="71"/>
      <c r="B171" s="72"/>
      <c r="C171" s="67" t="str">
        <f>IFERROR(INDEX('Capacidade UAS-CUAS'!$F$4:$F$81,MATCH($B171,'Capacidade UAS-CUAS'!$E$4:$E$81,0)),"")</f>
        <v/>
      </c>
      <c r="D171" s="67" t="str">
        <f>IFERROR(INDEX('Capacidade UAS-CUAS'!$B$4:$B$81,MATCH($B171,'Capacidade UAS-CUAS'!$E$4:$E$81,0)),"")</f>
        <v/>
      </c>
      <c r="E171" s="68" t="str">
        <f>IFERROR(INDEX('Capacidade UAS-CUAS'!$D$4:$D$81,MATCH($B171,'Capacidade UAS-CUAS'!$E$4:$E$81,0)),"")</f>
        <v/>
      </c>
      <c r="F171" s="72"/>
      <c r="G171" s="72"/>
      <c r="H171" s="72"/>
      <c r="I171" s="72"/>
      <c r="J171" s="73"/>
      <c r="K171" s="73"/>
    </row>
    <row r="172" spans="1:11" x14ac:dyDescent="0.25">
      <c r="A172" s="71"/>
      <c r="B172" s="72"/>
      <c r="C172" s="67" t="str">
        <f>IFERROR(INDEX('Capacidade UAS-CUAS'!$F$4:$F$81,MATCH($B172,'Capacidade UAS-CUAS'!$E$4:$E$81,0)),"")</f>
        <v/>
      </c>
      <c r="D172" s="67" t="str">
        <f>IFERROR(INDEX('Capacidade UAS-CUAS'!$B$4:$B$81,MATCH($B172,'Capacidade UAS-CUAS'!$E$4:$E$81,0)),"")</f>
        <v/>
      </c>
      <c r="E172" s="68" t="str">
        <f>IFERROR(INDEX('Capacidade UAS-CUAS'!$D$4:$D$81,MATCH($B172,'Capacidade UAS-CUAS'!$E$4:$E$81,0)),"")</f>
        <v/>
      </c>
      <c r="F172" s="72"/>
      <c r="G172" s="72"/>
      <c r="H172" s="72"/>
      <c r="I172" s="72"/>
      <c r="J172" s="73"/>
      <c r="K172" s="73"/>
    </row>
    <row r="173" spans="1:11" x14ac:dyDescent="0.25">
      <c r="A173" s="71"/>
      <c r="B173" s="72"/>
      <c r="C173" s="67" t="str">
        <f>IFERROR(INDEX('Capacidade UAS-CUAS'!$F$4:$F$81,MATCH($B173,'Capacidade UAS-CUAS'!$E$4:$E$81,0)),"")</f>
        <v/>
      </c>
      <c r="D173" s="67" t="str">
        <f>IFERROR(INDEX('Capacidade UAS-CUAS'!$B$4:$B$81,MATCH($B173,'Capacidade UAS-CUAS'!$E$4:$E$81,0)),"")</f>
        <v/>
      </c>
      <c r="E173" s="68" t="str">
        <f>IFERROR(INDEX('Capacidade UAS-CUAS'!$D$4:$D$81,MATCH($B173,'Capacidade UAS-CUAS'!$E$4:$E$81,0)),"")</f>
        <v/>
      </c>
      <c r="F173" s="72"/>
      <c r="G173" s="72"/>
      <c r="H173" s="72"/>
      <c r="I173" s="72"/>
      <c r="J173" s="73"/>
      <c r="K173" s="73"/>
    </row>
    <row r="174" spans="1:11" x14ac:dyDescent="0.25">
      <c r="A174" s="71"/>
      <c r="B174" s="72"/>
      <c r="C174" s="67" t="str">
        <f>IFERROR(INDEX('Capacidade UAS-CUAS'!$F$4:$F$81,MATCH($B174,'Capacidade UAS-CUAS'!$E$4:$E$81,0)),"")</f>
        <v/>
      </c>
      <c r="D174" s="67" t="str">
        <f>IFERROR(INDEX('Capacidade UAS-CUAS'!$B$4:$B$81,MATCH($B174,'Capacidade UAS-CUAS'!$E$4:$E$81,0)),"")</f>
        <v/>
      </c>
      <c r="E174" s="68" t="str">
        <f>IFERROR(INDEX('Capacidade UAS-CUAS'!$D$4:$D$81,MATCH($B174,'Capacidade UAS-CUAS'!$E$4:$E$81,0)),"")</f>
        <v/>
      </c>
      <c r="F174" s="72"/>
      <c r="G174" s="72"/>
      <c r="H174" s="72"/>
      <c r="I174" s="72"/>
      <c r="J174" s="73"/>
      <c r="K174" s="73"/>
    </row>
    <row r="175" spans="1:11" x14ac:dyDescent="0.25">
      <c r="A175" s="71"/>
      <c r="B175" s="72"/>
      <c r="C175" s="67" t="str">
        <f>IFERROR(INDEX('Capacidade UAS-CUAS'!$F$4:$F$81,MATCH($B175,'Capacidade UAS-CUAS'!$E$4:$E$81,0)),"")</f>
        <v/>
      </c>
      <c r="D175" s="67" t="str">
        <f>IFERROR(INDEX('Capacidade UAS-CUAS'!$B$4:$B$81,MATCH($B175,'Capacidade UAS-CUAS'!$E$4:$E$81,0)),"")</f>
        <v/>
      </c>
      <c r="E175" s="68" t="str">
        <f>IFERROR(INDEX('Capacidade UAS-CUAS'!$D$4:$D$81,MATCH($B175,'Capacidade UAS-CUAS'!$E$4:$E$81,0)),"")</f>
        <v/>
      </c>
      <c r="F175" s="72"/>
      <c r="G175" s="72"/>
      <c r="H175" s="72"/>
      <c r="I175" s="72"/>
      <c r="J175" s="73"/>
      <c r="K175" s="73"/>
    </row>
    <row r="176" spans="1:11" x14ac:dyDescent="0.25">
      <c r="A176" s="71"/>
      <c r="B176" s="72"/>
      <c r="C176" s="67" t="str">
        <f>IFERROR(INDEX('Capacidade UAS-CUAS'!$F$4:$F$81,MATCH($B176,'Capacidade UAS-CUAS'!$E$4:$E$81,0)),"")</f>
        <v/>
      </c>
      <c r="D176" s="67" t="str">
        <f>IFERROR(INDEX('Capacidade UAS-CUAS'!$B$4:$B$81,MATCH($B176,'Capacidade UAS-CUAS'!$E$4:$E$81,0)),"")</f>
        <v/>
      </c>
      <c r="E176" s="68" t="str">
        <f>IFERROR(INDEX('Capacidade UAS-CUAS'!$D$4:$D$81,MATCH($B176,'Capacidade UAS-CUAS'!$E$4:$E$81,0)),"")</f>
        <v/>
      </c>
      <c r="F176" s="72"/>
      <c r="G176" s="72"/>
      <c r="H176" s="72"/>
      <c r="I176" s="72"/>
      <c r="J176" s="73"/>
      <c r="K176" s="73"/>
    </row>
    <row r="177" spans="1:11" x14ac:dyDescent="0.25">
      <c r="A177" s="71"/>
      <c r="B177" s="72"/>
      <c r="C177" s="67" t="str">
        <f>IFERROR(INDEX('Capacidade UAS-CUAS'!$F$4:$F$81,MATCH($B177,'Capacidade UAS-CUAS'!$E$4:$E$81,0)),"")</f>
        <v/>
      </c>
      <c r="D177" s="67" t="str">
        <f>IFERROR(INDEX('Capacidade UAS-CUAS'!$B$4:$B$81,MATCH($B177,'Capacidade UAS-CUAS'!$E$4:$E$81,0)),"")</f>
        <v/>
      </c>
      <c r="E177" s="68" t="str">
        <f>IFERROR(INDEX('Capacidade UAS-CUAS'!$D$4:$D$81,MATCH($B177,'Capacidade UAS-CUAS'!$E$4:$E$81,0)),"")</f>
        <v/>
      </c>
      <c r="F177" s="72"/>
      <c r="G177" s="72"/>
      <c r="H177" s="72"/>
      <c r="I177" s="72"/>
      <c r="J177" s="73"/>
      <c r="K177" s="73"/>
    </row>
    <row r="178" spans="1:11" x14ac:dyDescent="0.25">
      <c r="A178" s="71"/>
      <c r="B178" s="72"/>
      <c r="C178" s="67" t="str">
        <f>IFERROR(INDEX('Capacidade UAS-CUAS'!$F$4:$F$81,MATCH($B178,'Capacidade UAS-CUAS'!$E$4:$E$81,0)),"")</f>
        <v/>
      </c>
      <c r="D178" s="67" t="str">
        <f>IFERROR(INDEX('Capacidade UAS-CUAS'!$B$4:$B$81,MATCH($B178,'Capacidade UAS-CUAS'!$E$4:$E$81,0)),"")</f>
        <v/>
      </c>
      <c r="E178" s="68" t="str">
        <f>IFERROR(INDEX('Capacidade UAS-CUAS'!$D$4:$D$81,MATCH($B178,'Capacidade UAS-CUAS'!$E$4:$E$81,0)),"")</f>
        <v/>
      </c>
      <c r="F178" s="72"/>
      <c r="G178" s="72"/>
      <c r="H178" s="72"/>
      <c r="I178" s="72"/>
      <c r="J178" s="73"/>
      <c r="K178" s="73"/>
    </row>
    <row r="179" spans="1:11" x14ac:dyDescent="0.25">
      <c r="A179" s="71"/>
      <c r="B179" s="72"/>
      <c r="C179" s="67" t="str">
        <f>IFERROR(INDEX('Capacidade UAS-CUAS'!$F$4:$F$81,MATCH($B179,'Capacidade UAS-CUAS'!$E$4:$E$81,0)),"")</f>
        <v/>
      </c>
      <c r="D179" s="67" t="str">
        <f>IFERROR(INDEX('Capacidade UAS-CUAS'!$B$4:$B$81,MATCH($B179,'Capacidade UAS-CUAS'!$E$4:$E$81,0)),"")</f>
        <v/>
      </c>
      <c r="E179" s="68" t="str">
        <f>IFERROR(INDEX('Capacidade UAS-CUAS'!$D$4:$D$81,MATCH($B179,'Capacidade UAS-CUAS'!$E$4:$E$81,0)),"")</f>
        <v/>
      </c>
      <c r="F179" s="72"/>
      <c r="G179" s="72"/>
      <c r="H179" s="72"/>
      <c r="I179" s="72"/>
      <c r="J179" s="73"/>
      <c r="K179" s="73"/>
    </row>
    <row r="180" spans="1:11" x14ac:dyDescent="0.25">
      <c r="A180" s="71"/>
      <c r="B180" s="72"/>
      <c r="C180" s="67" t="str">
        <f>IFERROR(INDEX('Capacidade UAS-CUAS'!$F$4:$F$81,MATCH($B180,'Capacidade UAS-CUAS'!$E$4:$E$81,0)),"")</f>
        <v/>
      </c>
      <c r="D180" s="67" t="str">
        <f>IFERROR(INDEX('Capacidade UAS-CUAS'!$B$4:$B$81,MATCH($B180,'Capacidade UAS-CUAS'!$E$4:$E$81,0)),"")</f>
        <v/>
      </c>
      <c r="E180" s="68" t="str">
        <f>IFERROR(INDEX('Capacidade UAS-CUAS'!$D$4:$D$81,MATCH($B180,'Capacidade UAS-CUAS'!$E$4:$E$81,0)),"")</f>
        <v/>
      </c>
      <c r="F180" s="72"/>
      <c r="G180" s="72"/>
      <c r="H180" s="72"/>
      <c r="I180" s="72"/>
      <c r="J180" s="73"/>
      <c r="K180" s="73"/>
    </row>
    <row r="181" spans="1:11" x14ac:dyDescent="0.25">
      <c r="A181" s="71"/>
      <c r="B181" s="72"/>
      <c r="C181" s="67" t="str">
        <f>IFERROR(INDEX('Capacidade UAS-CUAS'!$F$4:$F$81,MATCH($B181,'Capacidade UAS-CUAS'!$E$4:$E$81,0)),"")</f>
        <v/>
      </c>
      <c r="D181" s="67" t="str">
        <f>IFERROR(INDEX('Capacidade UAS-CUAS'!$B$4:$B$81,MATCH($B181,'Capacidade UAS-CUAS'!$E$4:$E$81,0)),"")</f>
        <v/>
      </c>
      <c r="E181" s="68" t="str">
        <f>IFERROR(INDEX('Capacidade UAS-CUAS'!$D$4:$D$81,MATCH($B181,'Capacidade UAS-CUAS'!$E$4:$E$81,0)),"")</f>
        <v/>
      </c>
      <c r="F181" s="72"/>
      <c r="G181" s="72"/>
      <c r="H181" s="72"/>
      <c r="I181" s="72"/>
      <c r="J181" s="73"/>
      <c r="K181" s="73"/>
    </row>
    <row r="182" spans="1:11" x14ac:dyDescent="0.25">
      <c r="A182" s="71"/>
      <c r="B182" s="72"/>
      <c r="C182" s="67" t="str">
        <f>IFERROR(INDEX('Capacidade UAS-CUAS'!$F$4:$F$81,MATCH($B182,'Capacidade UAS-CUAS'!$E$4:$E$81,0)),"")</f>
        <v/>
      </c>
      <c r="D182" s="67" t="str">
        <f>IFERROR(INDEX('Capacidade UAS-CUAS'!$B$4:$B$81,MATCH($B182,'Capacidade UAS-CUAS'!$E$4:$E$81,0)),"")</f>
        <v/>
      </c>
      <c r="E182" s="68" t="str">
        <f>IFERROR(INDEX('Capacidade UAS-CUAS'!$D$4:$D$81,MATCH($B182,'Capacidade UAS-CUAS'!$E$4:$E$81,0)),"")</f>
        <v/>
      </c>
      <c r="F182" s="72"/>
      <c r="G182" s="72"/>
      <c r="H182" s="72"/>
      <c r="I182" s="72"/>
      <c r="J182" s="73"/>
      <c r="K182" s="73"/>
    </row>
    <row r="183" spans="1:11" x14ac:dyDescent="0.25">
      <c r="A183" s="71"/>
      <c r="B183" s="72"/>
      <c r="C183" s="67" t="str">
        <f>IFERROR(INDEX('Capacidade UAS-CUAS'!$F$4:$F$81,MATCH($B183,'Capacidade UAS-CUAS'!$E$4:$E$81,0)),"")</f>
        <v/>
      </c>
      <c r="D183" s="67" t="str">
        <f>IFERROR(INDEX('Capacidade UAS-CUAS'!$B$4:$B$81,MATCH($B183,'Capacidade UAS-CUAS'!$E$4:$E$81,0)),"")</f>
        <v/>
      </c>
      <c r="E183" s="68" t="str">
        <f>IFERROR(INDEX('Capacidade UAS-CUAS'!$D$4:$D$81,MATCH($B183,'Capacidade UAS-CUAS'!$E$4:$E$81,0)),"")</f>
        <v/>
      </c>
      <c r="F183" s="72"/>
      <c r="G183" s="72"/>
      <c r="H183" s="72"/>
      <c r="I183" s="72"/>
      <c r="J183" s="73"/>
      <c r="K183" s="73"/>
    </row>
    <row r="184" spans="1:11" x14ac:dyDescent="0.25">
      <c r="A184" s="71"/>
      <c r="B184" s="72"/>
      <c r="C184" s="67" t="str">
        <f>IFERROR(INDEX('Capacidade UAS-CUAS'!$F$4:$F$81,MATCH($B184,'Capacidade UAS-CUAS'!$E$4:$E$81,0)),"")</f>
        <v/>
      </c>
      <c r="D184" s="67" t="str">
        <f>IFERROR(INDEX('Capacidade UAS-CUAS'!$B$4:$B$81,MATCH($B184,'Capacidade UAS-CUAS'!$E$4:$E$81,0)),"")</f>
        <v/>
      </c>
      <c r="E184" s="68" t="str">
        <f>IFERROR(INDEX('Capacidade UAS-CUAS'!$D$4:$D$81,MATCH($B184,'Capacidade UAS-CUAS'!$E$4:$E$81,0)),"")</f>
        <v/>
      </c>
      <c r="F184" s="72"/>
      <c r="G184" s="72"/>
      <c r="H184" s="72"/>
      <c r="I184" s="72"/>
      <c r="J184" s="73"/>
      <c r="K184" s="73"/>
    </row>
    <row r="185" spans="1:11" x14ac:dyDescent="0.25">
      <c r="A185" s="71"/>
      <c r="B185" s="72"/>
      <c r="C185" s="67" t="str">
        <f>IFERROR(INDEX('Capacidade UAS-CUAS'!$F$4:$F$81,MATCH($B185,'Capacidade UAS-CUAS'!$E$4:$E$81,0)),"")</f>
        <v/>
      </c>
      <c r="D185" s="67" t="str">
        <f>IFERROR(INDEX('Capacidade UAS-CUAS'!$B$4:$B$81,MATCH($B185,'Capacidade UAS-CUAS'!$E$4:$E$81,0)),"")</f>
        <v/>
      </c>
      <c r="E185" s="68" t="str">
        <f>IFERROR(INDEX('Capacidade UAS-CUAS'!$D$4:$D$81,MATCH($B185,'Capacidade UAS-CUAS'!$E$4:$E$81,0)),"")</f>
        <v/>
      </c>
      <c r="F185" s="72"/>
      <c r="G185" s="72"/>
      <c r="H185" s="72"/>
      <c r="I185" s="72"/>
      <c r="J185" s="73"/>
      <c r="K185" s="73"/>
    </row>
    <row r="186" spans="1:11" x14ac:dyDescent="0.25">
      <c r="A186" s="71"/>
      <c r="B186" s="72"/>
      <c r="C186" s="67" t="str">
        <f>IFERROR(INDEX('Capacidade UAS-CUAS'!$F$4:$F$81,MATCH($B186,'Capacidade UAS-CUAS'!$E$4:$E$81,0)),"")</f>
        <v/>
      </c>
      <c r="D186" s="67" t="str">
        <f>IFERROR(INDEX('Capacidade UAS-CUAS'!$B$4:$B$81,MATCH($B186,'Capacidade UAS-CUAS'!$E$4:$E$81,0)),"")</f>
        <v/>
      </c>
      <c r="E186" s="68" t="str">
        <f>IFERROR(INDEX('Capacidade UAS-CUAS'!$D$4:$D$81,MATCH($B186,'Capacidade UAS-CUAS'!$E$4:$E$81,0)),"")</f>
        <v/>
      </c>
      <c r="F186" s="72"/>
      <c r="G186" s="72"/>
      <c r="H186" s="72"/>
      <c r="I186" s="72"/>
      <c r="J186" s="73"/>
      <c r="K186" s="73"/>
    </row>
    <row r="187" spans="1:11" x14ac:dyDescent="0.25">
      <c r="A187" s="71"/>
      <c r="B187" s="72"/>
      <c r="C187" s="67" t="str">
        <f>IFERROR(INDEX('Capacidade UAS-CUAS'!$F$4:$F$81,MATCH($B187,'Capacidade UAS-CUAS'!$E$4:$E$81,0)),"")</f>
        <v/>
      </c>
      <c r="D187" s="67" t="str">
        <f>IFERROR(INDEX('Capacidade UAS-CUAS'!$B$4:$B$81,MATCH($B187,'Capacidade UAS-CUAS'!$E$4:$E$81,0)),"")</f>
        <v/>
      </c>
      <c r="E187" s="68" t="str">
        <f>IFERROR(INDEX('Capacidade UAS-CUAS'!$D$4:$D$81,MATCH($B187,'Capacidade UAS-CUAS'!$E$4:$E$81,0)),"")</f>
        <v/>
      </c>
      <c r="F187" s="72"/>
      <c r="G187" s="72"/>
      <c r="H187" s="72"/>
      <c r="I187" s="72"/>
      <c r="J187" s="73"/>
      <c r="K187" s="73"/>
    </row>
    <row r="188" spans="1:11" x14ac:dyDescent="0.25">
      <c r="A188" s="71"/>
      <c r="B188" s="72"/>
      <c r="C188" s="67" t="str">
        <f>IFERROR(INDEX('Capacidade UAS-CUAS'!$F$4:$F$81,MATCH($B188,'Capacidade UAS-CUAS'!$E$4:$E$81,0)),"")</f>
        <v/>
      </c>
      <c r="D188" s="67" t="str">
        <f>IFERROR(INDEX('Capacidade UAS-CUAS'!$B$4:$B$81,MATCH($B188,'Capacidade UAS-CUAS'!$E$4:$E$81,0)),"")</f>
        <v/>
      </c>
      <c r="E188" s="68" t="str">
        <f>IFERROR(INDEX('Capacidade UAS-CUAS'!$D$4:$D$81,MATCH($B188,'Capacidade UAS-CUAS'!$E$4:$E$81,0)),"")</f>
        <v/>
      </c>
      <c r="F188" s="72"/>
      <c r="G188" s="72"/>
      <c r="H188" s="72"/>
      <c r="I188" s="72"/>
      <c r="J188" s="73"/>
      <c r="K188" s="73"/>
    </row>
    <row r="189" spans="1:11" x14ac:dyDescent="0.25">
      <c r="A189" s="71"/>
      <c r="B189" s="72"/>
      <c r="C189" s="67" t="str">
        <f>IFERROR(INDEX('Capacidade UAS-CUAS'!$F$4:$F$81,MATCH($B189,'Capacidade UAS-CUAS'!$E$4:$E$81,0)),"")</f>
        <v/>
      </c>
      <c r="D189" s="67" t="str">
        <f>IFERROR(INDEX('Capacidade UAS-CUAS'!$B$4:$B$81,MATCH($B189,'Capacidade UAS-CUAS'!$E$4:$E$81,0)),"")</f>
        <v/>
      </c>
      <c r="E189" s="68" t="str">
        <f>IFERROR(INDEX('Capacidade UAS-CUAS'!$D$4:$D$81,MATCH($B189,'Capacidade UAS-CUAS'!$E$4:$E$81,0)),"")</f>
        <v/>
      </c>
      <c r="F189" s="72"/>
      <c r="G189" s="72"/>
      <c r="H189" s="72"/>
      <c r="I189" s="72"/>
      <c r="J189" s="73"/>
      <c r="K189" s="73"/>
    </row>
    <row r="190" spans="1:11" x14ac:dyDescent="0.25">
      <c r="A190" s="71"/>
      <c r="B190" s="72"/>
      <c r="C190" s="67" t="str">
        <f>IFERROR(INDEX('Capacidade UAS-CUAS'!$F$4:$F$81,MATCH($B190,'Capacidade UAS-CUAS'!$E$4:$E$81,0)),"")</f>
        <v/>
      </c>
      <c r="D190" s="67" t="str">
        <f>IFERROR(INDEX('Capacidade UAS-CUAS'!$B$4:$B$81,MATCH($B190,'Capacidade UAS-CUAS'!$E$4:$E$81,0)),"")</f>
        <v/>
      </c>
      <c r="E190" s="68" t="str">
        <f>IFERROR(INDEX('Capacidade UAS-CUAS'!$D$4:$D$81,MATCH($B190,'Capacidade UAS-CUAS'!$E$4:$E$81,0)),"")</f>
        <v/>
      </c>
      <c r="F190" s="72"/>
      <c r="G190" s="72"/>
      <c r="H190" s="72"/>
      <c r="I190" s="72"/>
      <c r="J190" s="73"/>
      <c r="K190" s="73"/>
    </row>
    <row r="191" spans="1:11" x14ac:dyDescent="0.25">
      <c r="A191" s="71"/>
      <c r="B191" s="72"/>
      <c r="C191" s="67" t="str">
        <f>IFERROR(INDEX('Capacidade UAS-CUAS'!$F$4:$F$81,MATCH($B191,'Capacidade UAS-CUAS'!$E$4:$E$81,0)),"")</f>
        <v/>
      </c>
      <c r="D191" s="67" t="str">
        <f>IFERROR(INDEX('Capacidade UAS-CUAS'!$B$4:$B$81,MATCH($B191,'Capacidade UAS-CUAS'!$E$4:$E$81,0)),"")</f>
        <v/>
      </c>
      <c r="E191" s="68" t="str">
        <f>IFERROR(INDEX('Capacidade UAS-CUAS'!$D$4:$D$81,MATCH($B191,'Capacidade UAS-CUAS'!$E$4:$E$81,0)),"")</f>
        <v/>
      </c>
      <c r="F191" s="72"/>
      <c r="G191" s="72"/>
      <c r="H191" s="72"/>
      <c r="I191" s="72"/>
      <c r="J191" s="73"/>
      <c r="K191" s="73"/>
    </row>
    <row r="192" spans="1:11" x14ac:dyDescent="0.25">
      <c r="A192" s="71"/>
      <c r="B192" s="72"/>
      <c r="C192" s="67" t="str">
        <f>IFERROR(INDEX('Capacidade UAS-CUAS'!$F$4:$F$81,MATCH($B192,'Capacidade UAS-CUAS'!$E$4:$E$81,0)),"")</f>
        <v/>
      </c>
      <c r="D192" s="67" t="str">
        <f>IFERROR(INDEX('Capacidade UAS-CUAS'!$B$4:$B$81,MATCH($B192,'Capacidade UAS-CUAS'!$E$4:$E$81,0)),"")</f>
        <v/>
      </c>
      <c r="E192" s="68" t="str">
        <f>IFERROR(INDEX('Capacidade UAS-CUAS'!$D$4:$D$81,MATCH($B192,'Capacidade UAS-CUAS'!$E$4:$E$81,0)),"")</f>
        <v/>
      </c>
      <c r="F192" s="72"/>
      <c r="G192" s="72"/>
      <c r="H192" s="72"/>
      <c r="I192" s="72"/>
      <c r="J192" s="73"/>
      <c r="K192" s="73"/>
    </row>
    <row r="193" spans="1:11" x14ac:dyDescent="0.25">
      <c r="A193" s="71"/>
      <c r="B193" s="72"/>
      <c r="C193" s="67" t="str">
        <f>IFERROR(INDEX('Capacidade UAS-CUAS'!$F$4:$F$81,MATCH($B193,'Capacidade UAS-CUAS'!$E$4:$E$81,0)),"")</f>
        <v/>
      </c>
      <c r="D193" s="67" t="str">
        <f>IFERROR(INDEX('Capacidade UAS-CUAS'!$B$4:$B$81,MATCH($B193,'Capacidade UAS-CUAS'!$E$4:$E$81,0)),"")</f>
        <v/>
      </c>
      <c r="E193" s="68" t="str">
        <f>IFERROR(INDEX('Capacidade UAS-CUAS'!$D$4:$D$81,MATCH($B193,'Capacidade UAS-CUAS'!$E$4:$E$81,0)),"")</f>
        <v/>
      </c>
      <c r="F193" s="72"/>
      <c r="G193" s="72"/>
      <c r="H193" s="72"/>
      <c r="I193" s="72"/>
      <c r="J193" s="73"/>
      <c r="K193" s="73"/>
    </row>
    <row r="194" spans="1:11" x14ac:dyDescent="0.25">
      <c r="A194" s="71"/>
      <c r="B194" s="72"/>
      <c r="C194" s="67" t="str">
        <f>IFERROR(INDEX('Capacidade UAS-CUAS'!$F$4:$F$81,MATCH($B194,'Capacidade UAS-CUAS'!$E$4:$E$81,0)),"")</f>
        <v/>
      </c>
      <c r="D194" s="67" t="str">
        <f>IFERROR(INDEX('Capacidade UAS-CUAS'!$B$4:$B$81,MATCH($B194,'Capacidade UAS-CUAS'!$E$4:$E$81,0)),"")</f>
        <v/>
      </c>
      <c r="E194" s="68" t="str">
        <f>IFERROR(INDEX('Capacidade UAS-CUAS'!$D$4:$D$81,MATCH($B194,'Capacidade UAS-CUAS'!$E$4:$E$81,0)),"")</f>
        <v/>
      </c>
      <c r="F194" s="72"/>
      <c r="G194" s="72"/>
      <c r="H194" s="72"/>
      <c r="I194" s="72"/>
      <c r="J194" s="73"/>
      <c r="K194" s="73"/>
    </row>
    <row r="195" spans="1:11" x14ac:dyDescent="0.25">
      <c r="A195" s="71"/>
      <c r="B195" s="72"/>
      <c r="C195" s="67" t="str">
        <f>IFERROR(INDEX('Capacidade UAS-CUAS'!$F$4:$F$81,MATCH($B195,'Capacidade UAS-CUAS'!$E$4:$E$81,0)),"")</f>
        <v/>
      </c>
      <c r="D195" s="67" t="str">
        <f>IFERROR(INDEX('Capacidade UAS-CUAS'!$B$4:$B$81,MATCH($B195,'Capacidade UAS-CUAS'!$E$4:$E$81,0)),"")</f>
        <v/>
      </c>
      <c r="E195" s="68" t="str">
        <f>IFERROR(INDEX('Capacidade UAS-CUAS'!$D$4:$D$81,MATCH($B195,'Capacidade UAS-CUAS'!$E$4:$E$81,0)),"")</f>
        <v/>
      </c>
      <c r="F195" s="72"/>
      <c r="G195" s="72"/>
      <c r="H195" s="72"/>
      <c r="I195" s="72"/>
      <c r="J195" s="73"/>
      <c r="K195" s="73"/>
    </row>
    <row r="196" spans="1:11" x14ac:dyDescent="0.25">
      <c r="A196" s="71"/>
      <c r="B196" s="72"/>
      <c r="C196" s="67" t="str">
        <f>IFERROR(INDEX('Capacidade UAS-CUAS'!$F$4:$F$81,MATCH($B196,'Capacidade UAS-CUAS'!$E$4:$E$81,0)),"")</f>
        <v/>
      </c>
      <c r="D196" s="67" t="str">
        <f>IFERROR(INDEX('Capacidade UAS-CUAS'!$B$4:$B$81,MATCH($B196,'Capacidade UAS-CUAS'!$E$4:$E$81,0)),"")</f>
        <v/>
      </c>
      <c r="E196" s="68" t="str">
        <f>IFERROR(INDEX('Capacidade UAS-CUAS'!$D$4:$D$81,MATCH($B196,'Capacidade UAS-CUAS'!$E$4:$E$81,0)),"")</f>
        <v/>
      </c>
      <c r="F196" s="72"/>
      <c r="G196" s="72"/>
      <c r="H196" s="72"/>
      <c r="I196" s="72"/>
      <c r="J196" s="73"/>
      <c r="K196" s="73"/>
    </row>
    <row r="197" spans="1:11" x14ac:dyDescent="0.25">
      <c r="A197" s="71"/>
      <c r="B197" s="72"/>
      <c r="C197" s="67" t="str">
        <f>IFERROR(INDEX('Capacidade UAS-CUAS'!$F$4:$F$81,MATCH($B197,'Capacidade UAS-CUAS'!$E$4:$E$81,0)),"")</f>
        <v/>
      </c>
      <c r="D197" s="67" t="str">
        <f>IFERROR(INDEX('Capacidade UAS-CUAS'!$B$4:$B$81,MATCH($B197,'Capacidade UAS-CUAS'!$E$4:$E$81,0)),"")</f>
        <v/>
      </c>
      <c r="E197" s="68" t="str">
        <f>IFERROR(INDEX('Capacidade UAS-CUAS'!$D$4:$D$81,MATCH($B197,'Capacidade UAS-CUAS'!$E$4:$E$81,0)),"")</f>
        <v/>
      </c>
      <c r="F197" s="72"/>
      <c r="G197" s="72"/>
      <c r="H197" s="72"/>
      <c r="I197" s="72"/>
      <c r="J197" s="73"/>
      <c r="K197" s="73"/>
    </row>
    <row r="198" spans="1:11" x14ac:dyDescent="0.25">
      <c r="A198" s="71"/>
      <c r="B198" s="72"/>
      <c r="C198" s="67" t="str">
        <f>IFERROR(INDEX('Capacidade UAS-CUAS'!$F$4:$F$81,MATCH($B198,'Capacidade UAS-CUAS'!$E$4:$E$81,0)),"")</f>
        <v/>
      </c>
      <c r="D198" s="67" t="str">
        <f>IFERROR(INDEX('Capacidade UAS-CUAS'!$B$4:$B$81,MATCH($B198,'Capacidade UAS-CUAS'!$E$4:$E$81,0)),"")</f>
        <v/>
      </c>
      <c r="E198" s="68" t="str">
        <f>IFERROR(INDEX('Capacidade UAS-CUAS'!$D$4:$D$81,MATCH($B198,'Capacidade UAS-CUAS'!$E$4:$E$81,0)),"")</f>
        <v/>
      </c>
      <c r="F198" s="72"/>
      <c r="G198" s="72"/>
      <c r="H198" s="72"/>
      <c r="I198" s="72"/>
      <c r="J198" s="73"/>
      <c r="K198" s="73"/>
    </row>
    <row r="199" spans="1:11" x14ac:dyDescent="0.25">
      <c r="A199" s="71"/>
      <c r="B199" s="72"/>
      <c r="C199" s="67" t="str">
        <f>IFERROR(INDEX('Capacidade UAS-CUAS'!$F$4:$F$81,MATCH($B199,'Capacidade UAS-CUAS'!$E$4:$E$81,0)),"")</f>
        <v/>
      </c>
      <c r="D199" s="67" t="str">
        <f>IFERROR(INDEX('Capacidade UAS-CUAS'!$B$4:$B$81,MATCH($B199,'Capacidade UAS-CUAS'!$E$4:$E$81,0)),"")</f>
        <v/>
      </c>
      <c r="E199" s="68" t="str">
        <f>IFERROR(INDEX('Capacidade UAS-CUAS'!$D$4:$D$81,MATCH($B199,'Capacidade UAS-CUAS'!$E$4:$E$81,0)),"")</f>
        <v/>
      </c>
      <c r="F199" s="72"/>
      <c r="G199" s="72"/>
      <c r="H199" s="72"/>
      <c r="I199" s="72"/>
      <c r="J199" s="73"/>
      <c r="K199" s="73"/>
    </row>
    <row r="200" spans="1:11" x14ac:dyDescent="0.25">
      <c r="A200" s="71"/>
      <c r="B200" s="72"/>
      <c r="C200" s="67" t="str">
        <f>IFERROR(INDEX('Capacidade UAS-CUAS'!$F$4:$F$81,MATCH($B200,'Capacidade UAS-CUAS'!$E$4:$E$81,0)),"")</f>
        <v/>
      </c>
      <c r="D200" s="67" t="str">
        <f>IFERROR(INDEX('Capacidade UAS-CUAS'!$B$4:$B$81,MATCH($B200,'Capacidade UAS-CUAS'!$E$4:$E$81,0)),"")</f>
        <v/>
      </c>
      <c r="E200" s="68" t="str">
        <f>IFERROR(INDEX('Capacidade UAS-CUAS'!$D$4:$D$81,MATCH($B200,'Capacidade UAS-CUAS'!$E$4:$E$81,0)),"")</f>
        <v/>
      </c>
      <c r="F200" s="72"/>
      <c r="G200" s="72"/>
      <c r="H200" s="72"/>
      <c r="I200" s="72"/>
      <c r="J200" s="73"/>
      <c r="K200" s="73"/>
    </row>
    <row r="201" spans="1:11" x14ac:dyDescent="0.25">
      <c r="A201" s="71"/>
      <c r="B201" s="72"/>
      <c r="C201" s="67" t="str">
        <f>IFERROR(INDEX('Capacidade UAS-CUAS'!$F$4:$F$81,MATCH($B201,'Capacidade UAS-CUAS'!$E$4:$E$81,0)),"")</f>
        <v/>
      </c>
      <c r="D201" s="67" t="str">
        <f>IFERROR(INDEX('Capacidade UAS-CUAS'!$B$4:$B$81,MATCH($B201,'Capacidade UAS-CUAS'!$E$4:$E$81,0)),"")</f>
        <v/>
      </c>
      <c r="E201" s="68" t="str">
        <f>IFERROR(INDEX('Capacidade UAS-CUAS'!$D$4:$D$81,MATCH($B201,'Capacidade UAS-CUAS'!$E$4:$E$81,0)),"")</f>
        <v/>
      </c>
      <c r="F201" s="72"/>
      <c r="G201" s="72"/>
      <c r="H201" s="72"/>
      <c r="I201" s="72"/>
      <c r="J201" s="73"/>
      <c r="K201" s="73"/>
    </row>
    <row r="202" spans="1:11" x14ac:dyDescent="0.25">
      <c r="A202" s="71"/>
      <c r="B202" s="72"/>
      <c r="C202" s="67" t="str">
        <f>IFERROR(INDEX('Capacidade UAS-CUAS'!$F$4:$F$81,MATCH($B202,'Capacidade UAS-CUAS'!$E$4:$E$81,0)),"")</f>
        <v/>
      </c>
      <c r="D202" s="67" t="str">
        <f>IFERROR(INDEX('Capacidade UAS-CUAS'!$B$4:$B$81,MATCH($B202,'Capacidade UAS-CUAS'!$E$4:$E$81,0)),"")</f>
        <v/>
      </c>
      <c r="E202" s="68" t="str">
        <f>IFERROR(INDEX('Capacidade UAS-CUAS'!$D$4:$D$81,MATCH($B202,'Capacidade UAS-CUAS'!$E$4:$E$81,0)),"")</f>
        <v/>
      </c>
      <c r="F202" s="72"/>
      <c r="G202" s="72"/>
      <c r="H202" s="72"/>
      <c r="I202" s="72"/>
      <c r="J202" s="73"/>
      <c r="K202" s="73"/>
    </row>
    <row r="203" spans="1:11" x14ac:dyDescent="0.25">
      <c r="A203" s="71"/>
      <c r="B203" s="72"/>
      <c r="C203" s="67" t="str">
        <f>IFERROR(INDEX('Capacidade UAS-CUAS'!$F$4:$F$81,MATCH($B203,'Capacidade UAS-CUAS'!$E$4:$E$81,0)),"")</f>
        <v/>
      </c>
      <c r="D203" s="67" t="str">
        <f>IFERROR(INDEX('Capacidade UAS-CUAS'!$B$4:$B$81,MATCH($B203,'Capacidade UAS-CUAS'!$E$4:$E$81,0)),"")</f>
        <v/>
      </c>
      <c r="E203" s="68" t="str">
        <f>IFERROR(INDEX('Capacidade UAS-CUAS'!$D$4:$D$81,MATCH($B203,'Capacidade UAS-CUAS'!$E$4:$E$81,0)),"")</f>
        <v/>
      </c>
      <c r="F203" s="72"/>
      <c r="G203" s="72"/>
      <c r="H203" s="72"/>
      <c r="I203" s="72"/>
      <c r="J203" s="73"/>
      <c r="K203" s="73"/>
    </row>
    <row r="204" spans="1:11" x14ac:dyDescent="0.25">
      <c r="A204" s="71"/>
      <c r="B204" s="72"/>
      <c r="C204" s="67" t="str">
        <f>IFERROR(INDEX('Capacidade UAS-CUAS'!$F$4:$F$81,MATCH($B204,'Capacidade UAS-CUAS'!$E$4:$E$81,0)),"")</f>
        <v/>
      </c>
      <c r="D204" s="67" t="str">
        <f>IFERROR(INDEX('Capacidade UAS-CUAS'!$B$4:$B$81,MATCH($B204,'Capacidade UAS-CUAS'!$E$4:$E$81,0)),"")</f>
        <v/>
      </c>
      <c r="E204" s="68" t="str">
        <f>IFERROR(INDEX('Capacidade UAS-CUAS'!$D$4:$D$81,MATCH($B204,'Capacidade UAS-CUAS'!$E$4:$E$81,0)),"")</f>
        <v/>
      </c>
      <c r="F204" s="72"/>
      <c r="G204" s="72"/>
      <c r="H204" s="72"/>
      <c r="I204" s="72"/>
      <c r="J204" s="73"/>
      <c r="K204" s="73"/>
    </row>
    <row r="205" spans="1:11" x14ac:dyDescent="0.25">
      <c r="A205" s="71"/>
      <c r="B205" s="72"/>
      <c r="C205" s="67" t="str">
        <f>IFERROR(INDEX('Capacidade UAS-CUAS'!$F$4:$F$81,MATCH($B205,'Capacidade UAS-CUAS'!$E$4:$E$81,0)),"")</f>
        <v/>
      </c>
      <c r="D205" s="67" t="str">
        <f>IFERROR(INDEX('Capacidade UAS-CUAS'!$B$4:$B$81,MATCH($B205,'Capacidade UAS-CUAS'!$E$4:$E$81,0)),"")</f>
        <v/>
      </c>
      <c r="E205" s="68" t="str">
        <f>IFERROR(INDEX('Capacidade UAS-CUAS'!$D$4:$D$81,MATCH($B205,'Capacidade UAS-CUAS'!$E$4:$E$81,0)),"")</f>
        <v/>
      </c>
      <c r="F205" s="72"/>
      <c r="G205" s="72"/>
      <c r="H205" s="72"/>
      <c r="I205" s="72"/>
      <c r="J205" s="73"/>
      <c r="K205" s="73"/>
    </row>
    <row r="206" spans="1:11" x14ac:dyDescent="0.25">
      <c r="A206" s="71"/>
      <c r="B206" s="72"/>
      <c r="C206" s="67" t="str">
        <f>IFERROR(INDEX('Capacidade UAS-CUAS'!$F$4:$F$81,MATCH($B206,'Capacidade UAS-CUAS'!$E$4:$E$81,0)),"")</f>
        <v/>
      </c>
      <c r="D206" s="67" t="str">
        <f>IFERROR(INDEX('Capacidade UAS-CUAS'!$B$4:$B$81,MATCH($B206,'Capacidade UAS-CUAS'!$E$4:$E$81,0)),"")</f>
        <v/>
      </c>
      <c r="E206" s="68" t="str">
        <f>IFERROR(INDEX('Capacidade UAS-CUAS'!$D$4:$D$81,MATCH($B206,'Capacidade UAS-CUAS'!$E$4:$E$81,0)),"")</f>
        <v/>
      </c>
      <c r="F206" s="72"/>
      <c r="G206" s="72"/>
      <c r="H206" s="72"/>
      <c r="I206" s="72"/>
      <c r="J206" s="73"/>
      <c r="K206" s="73"/>
    </row>
    <row r="207" spans="1:11" x14ac:dyDescent="0.25">
      <c r="A207" s="71"/>
      <c r="B207" s="72"/>
      <c r="C207" s="67" t="str">
        <f>IFERROR(INDEX('Capacidade UAS-CUAS'!$F$4:$F$81,MATCH($B207,'Capacidade UAS-CUAS'!$E$4:$E$81,0)),"")</f>
        <v/>
      </c>
      <c r="D207" s="67" t="str">
        <f>IFERROR(INDEX('Capacidade UAS-CUAS'!$B$4:$B$81,MATCH($B207,'Capacidade UAS-CUAS'!$E$4:$E$81,0)),"")</f>
        <v/>
      </c>
      <c r="E207" s="68" t="str">
        <f>IFERROR(INDEX('Capacidade UAS-CUAS'!$D$4:$D$81,MATCH($B207,'Capacidade UAS-CUAS'!$E$4:$E$81,0)),"")</f>
        <v/>
      </c>
      <c r="F207" s="72"/>
      <c r="G207" s="72"/>
      <c r="H207" s="72"/>
      <c r="I207" s="72"/>
      <c r="J207" s="73"/>
      <c r="K207" s="73"/>
    </row>
    <row r="208" spans="1:11" x14ac:dyDescent="0.25">
      <c r="A208" s="71"/>
      <c r="B208" s="72"/>
      <c r="C208" s="67" t="str">
        <f>IFERROR(INDEX('Capacidade UAS-CUAS'!$F$4:$F$81,MATCH($B208,'Capacidade UAS-CUAS'!$E$4:$E$81,0)),"")</f>
        <v/>
      </c>
      <c r="D208" s="67" t="str">
        <f>IFERROR(INDEX('Capacidade UAS-CUAS'!$B$4:$B$81,MATCH($B208,'Capacidade UAS-CUAS'!$E$4:$E$81,0)),"")</f>
        <v/>
      </c>
      <c r="E208" s="68" t="str">
        <f>IFERROR(INDEX('Capacidade UAS-CUAS'!$D$4:$D$81,MATCH($B208,'Capacidade UAS-CUAS'!$E$4:$E$81,0)),"")</f>
        <v/>
      </c>
      <c r="F208" s="72"/>
      <c r="G208" s="72"/>
      <c r="H208" s="72"/>
      <c r="I208" s="72"/>
      <c r="J208" s="73"/>
      <c r="K208" s="73"/>
    </row>
    <row r="209" spans="1:11" x14ac:dyDescent="0.25">
      <c r="A209" s="71"/>
      <c r="B209" s="72"/>
      <c r="C209" s="67" t="str">
        <f>IFERROR(INDEX('Capacidade UAS-CUAS'!$F$4:$F$81,MATCH($B209,'Capacidade UAS-CUAS'!$E$4:$E$81,0)),"")</f>
        <v/>
      </c>
      <c r="D209" s="67" t="str">
        <f>IFERROR(INDEX('Capacidade UAS-CUAS'!$B$4:$B$81,MATCH($B209,'Capacidade UAS-CUAS'!$E$4:$E$81,0)),"")</f>
        <v/>
      </c>
      <c r="E209" s="68" t="str">
        <f>IFERROR(INDEX('Capacidade UAS-CUAS'!$D$4:$D$81,MATCH($B209,'Capacidade UAS-CUAS'!$E$4:$E$81,0)),"")</f>
        <v/>
      </c>
      <c r="F209" s="72"/>
      <c r="G209" s="72"/>
      <c r="H209" s="72"/>
      <c r="I209" s="72"/>
      <c r="J209" s="73"/>
      <c r="K209" s="73"/>
    </row>
    <row r="210" spans="1:11" x14ac:dyDescent="0.25">
      <c r="A210" s="71"/>
      <c r="B210" s="72"/>
      <c r="C210" s="67" t="str">
        <f>IFERROR(INDEX('Capacidade UAS-CUAS'!$F$4:$F$81,MATCH($B210,'Capacidade UAS-CUAS'!$E$4:$E$81,0)),"")</f>
        <v/>
      </c>
      <c r="D210" s="67" t="str">
        <f>IFERROR(INDEX('Capacidade UAS-CUAS'!$B$4:$B$81,MATCH($B210,'Capacidade UAS-CUAS'!$E$4:$E$81,0)),"")</f>
        <v/>
      </c>
      <c r="E210" s="68" t="str">
        <f>IFERROR(INDEX('Capacidade UAS-CUAS'!$D$4:$D$81,MATCH($B210,'Capacidade UAS-CUAS'!$E$4:$E$81,0)),"")</f>
        <v/>
      </c>
      <c r="F210" s="72"/>
      <c r="G210" s="72"/>
      <c r="H210" s="72"/>
      <c r="I210" s="72"/>
      <c r="J210" s="73"/>
      <c r="K210" s="73"/>
    </row>
    <row r="211" spans="1:11" x14ac:dyDescent="0.25">
      <c r="A211" s="71"/>
      <c r="B211" s="72"/>
      <c r="C211" s="67" t="str">
        <f>IFERROR(INDEX('Capacidade UAS-CUAS'!$F$4:$F$81,MATCH($B211,'Capacidade UAS-CUAS'!$E$4:$E$81,0)),"")</f>
        <v/>
      </c>
      <c r="D211" s="67" t="str">
        <f>IFERROR(INDEX('Capacidade UAS-CUAS'!$B$4:$B$81,MATCH($B211,'Capacidade UAS-CUAS'!$E$4:$E$81,0)),"")</f>
        <v/>
      </c>
      <c r="E211" s="68" t="str">
        <f>IFERROR(INDEX('Capacidade UAS-CUAS'!$D$4:$D$81,MATCH($B211,'Capacidade UAS-CUAS'!$E$4:$E$81,0)),"")</f>
        <v/>
      </c>
      <c r="F211" s="72"/>
      <c r="G211" s="72"/>
      <c r="H211" s="72"/>
      <c r="I211" s="72"/>
      <c r="J211" s="73"/>
      <c r="K211" s="73"/>
    </row>
    <row r="212" spans="1:11" x14ac:dyDescent="0.25">
      <c r="A212" s="71"/>
      <c r="B212" s="72"/>
      <c r="C212" s="67" t="str">
        <f>IFERROR(INDEX('Capacidade UAS-CUAS'!$F$4:$F$81,MATCH($B212,'Capacidade UAS-CUAS'!$E$4:$E$81,0)),"")</f>
        <v/>
      </c>
      <c r="D212" s="67" t="str">
        <f>IFERROR(INDEX('Capacidade UAS-CUAS'!$B$4:$B$81,MATCH($B212,'Capacidade UAS-CUAS'!$E$4:$E$81,0)),"")</f>
        <v/>
      </c>
      <c r="E212" s="68" t="str">
        <f>IFERROR(INDEX('Capacidade UAS-CUAS'!$D$4:$D$81,MATCH($B212,'Capacidade UAS-CUAS'!$E$4:$E$81,0)),"")</f>
        <v/>
      </c>
      <c r="F212" s="72"/>
      <c r="G212" s="72"/>
      <c r="H212" s="72"/>
      <c r="I212" s="72"/>
      <c r="J212" s="73"/>
      <c r="K212" s="73"/>
    </row>
    <row r="213" spans="1:11" x14ac:dyDescent="0.25">
      <c r="A213" s="71"/>
      <c r="B213" s="72"/>
      <c r="C213" s="67" t="str">
        <f>IFERROR(INDEX('Capacidade UAS-CUAS'!$F$4:$F$81,MATCH($B213,'Capacidade UAS-CUAS'!$E$4:$E$81,0)),"")</f>
        <v/>
      </c>
      <c r="D213" s="67" t="str">
        <f>IFERROR(INDEX('Capacidade UAS-CUAS'!$B$4:$B$81,MATCH($B213,'Capacidade UAS-CUAS'!$E$4:$E$81,0)),"")</f>
        <v/>
      </c>
      <c r="E213" s="68" t="str">
        <f>IFERROR(INDEX('Capacidade UAS-CUAS'!$D$4:$D$81,MATCH($B213,'Capacidade UAS-CUAS'!$E$4:$E$81,0)),"")</f>
        <v/>
      </c>
      <c r="F213" s="72"/>
      <c r="G213" s="72"/>
      <c r="H213" s="72"/>
      <c r="I213" s="72"/>
      <c r="J213" s="73"/>
      <c r="K213" s="73"/>
    </row>
    <row r="214" spans="1:11" x14ac:dyDescent="0.25">
      <c r="A214" s="71"/>
      <c r="B214" s="72"/>
      <c r="C214" s="67" t="str">
        <f>IFERROR(INDEX('Capacidade UAS-CUAS'!$F$4:$F$81,MATCH($B214,'Capacidade UAS-CUAS'!$E$4:$E$81,0)),"")</f>
        <v/>
      </c>
      <c r="D214" s="67" t="str">
        <f>IFERROR(INDEX('Capacidade UAS-CUAS'!$B$4:$B$81,MATCH($B214,'Capacidade UAS-CUAS'!$E$4:$E$81,0)),"")</f>
        <v/>
      </c>
      <c r="E214" s="68" t="str">
        <f>IFERROR(INDEX('Capacidade UAS-CUAS'!$D$4:$D$81,MATCH($B214,'Capacidade UAS-CUAS'!$E$4:$E$81,0)),"")</f>
        <v/>
      </c>
      <c r="F214" s="72"/>
      <c r="G214" s="72"/>
      <c r="H214" s="72"/>
      <c r="I214" s="72"/>
      <c r="J214" s="73"/>
      <c r="K214" s="73"/>
    </row>
    <row r="215" spans="1:11" x14ac:dyDescent="0.25">
      <c r="A215" s="71"/>
      <c r="B215" s="72"/>
      <c r="C215" s="67" t="str">
        <f>IFERROR(INDEX('Capacidade UAS-CUAS'!$F$4:$F$81,MATCH($B215,'Capacidade UAS-CUAS'!$E$4:$E$81,0)),"")</f>
        <v/>
      </c>
      <c r="D215" s="67" t="str">
        <f>IFERROR(INDEX('Capacidade UAS-CUAS'!$B$4:$B$81,MATCH($B215,'Capacidade UAS-CUAS'!$E$4:$E$81,0)),"")</f>
        <v/>
      </c>
      <c r="E215" s="68" t="str">
        <f>IFERROR(INDEX('Capacidade UAS-CUAS'!$D$4:$D$81,MATCH($B215,'Capacidade UAS-CUAS'!$E$4:$E$81,0)),"")</f>
        <v/>
      </c>
      <c r="F215" s="72"/>
      <c r="G215" s="72"/>
      <c r="H215" s="72"/>
      <c r="I215" s="72"/>
      <c r="J215" s="73"/>
      <c r="K215" s="73"/>
    </row>
    <row r="216" spans="1:11" x14ac:dyDescent="0.25">
      <c r="A216" s="71"/>
      <c r="B216" s="72"/>
      <c r="C216" s="67" t="str">
        <f>IFERROR(INDEX('Capacidade UAS-CUAS'!$F$4:$F$81,MATCH($B216,'Capacidade UAS-CUAS'!$E$4:$E$81,0)),"")</f>
        <v/>
      </c>
      <c r="D216" s="67" t="str">
        <f>IFERROR(INDEX('Capacidade UAS-CUAS'!$B$4:$B$81,MATCH($B216,'Capacidade UAS-CUAS'!$E$4:$E$81,0)),"")</f>
        <v/>
      </c>
      <c r="E216" s="68" t="str">
        <f>IFERROR(INDEX('Capacidade UAS-CUAS'!$D$4:$D$81,MATCH($B216,'Capacidade UAS-CUAS'!$E$4:$E$81,0)),"")</f>
        <v/>
      </c>
      <c r="F216" s="72"/>
      <c r="G216" s="72"/>
      <c r="H216" s="72"/>
      <c r="I216" s="72"/>
      <c r="J216" s="73"/>
      <c r="K216" s="73"/>
    </row>
    <row r="217" spans="1:11" x14ac:dyDescent="0.25">
      <c r="A217" s="71"/>
      <c r="B217" s="72"/>
      <c r="C217" s="67" t="str">
        <f>IFERROR(INDEX('Capacidade UAS-CUAS'!$F$4:$F$81,MATCH($B217,'Capacidade UAS-CUAS'!$E$4:$E$81,0)),"")</f>
        <v/>
      </c>
      <c r="D217" s="67" t="str">
        <f>IFERROR(INDEX('Capacidade UAS-CUAS'!$B$4:$B$81,MATCH($B217,'Capacidade UAS-CUAS'!$E$4:$E$81,0)),"")</f>
        <v/>
      </c>
      <c r="E217" s="68" t="str">
        <f>IFERROR(INDEX('Capacidade UAS-CUAS'!$D$4:$D$81,MATCH($B217,'Capacidade UAS-CUAS'!$E$4:$E$81,0)),"")</f>
        <v/>
      </c>
      <c r="F217" s="72"/>
      <c r="G217" s="72"/>
      <c r="H217" s="72"/>
      <c r="I217" s="72"/>
      <c r="J217" s="73"/>
      <c r="K217" s="73"/>
    </row>
    <row r="218" spans="1:11" x14ac:dyDescent="0.25">
      <c r="A218" s="71"/>
      <c r="B218" s="72"/>
      <c r="C218" s="67" t="str">
        <f>IFERROR(INDEX('Capacidade UAS-CUAS'!$F$4:$F$81,MATCH($B218,'Capacidade UAS-CUAS'!$E$4:$E$81,0)),"")</f>
        <v/>
      </c>
      <c r="D218" s="67" t="str">
        <f>IFERROR(INDEX('Capacidade UAS-CUAS'!$B$4:$B$81,MATCH($B218,'Capacidade UAS-CUAS'!$E$4:$E$81,0)),"")</f>
        <v/>
      </c>
      <c r="E218" s="68" t="str">
        <f>IFERROR(INDEX('Capacidade UAS-CUAS'!$D$4:$D$81,MATCH($B218,'Capacidade UAS-CUAS'!$E$4:$E$81,0)),"")</f>
        <v/>
      </c>
      <c r="F218" s="72"/>
      <c r="G218" s="72"/>
      <c r="H218" s="72"/>
      <c r="I218" s="72"/>
      <c r="J218" s="73"/>
      <c r="K218" s="73"/>
    </row>
    <row r="219" spans="1:11" x14ac:dyDescent="0.25">
      <c r="A219" s="71"/>
      <c r="B219" s="72"/>
      <c r="C219" s="67" t="str">
        <f>IFERROR(INDEX('Capacidade UAS-CUAS'!$F$4:$F$81,MATCH($B219,'Capacidade UAS-CUAS'!$E$4:$E$81,0)),"")</f>
        <v/>
      </c>
      <c r="D219" s="67" t="str">
        <f>IFERROR(INDEX('Capacidade UAS-CUAS'!$B$4:$B$81,MATCH($B219,'Capacidade UAS-CUAS'!$E$4:$E$81,0)),"")</f>
        <v/>
      </c>
      <c r="E219" s="68" t="str">
        <f>IFERROR(INDEX('Capacidade UAS-CUAS'!$D$4:$D$81,MATCH($B219,'Capacidade UAS-CUAS'!$E$4:$E$81,0)),"")</f>
        <v/>
      </c>
      <c r="F219" s="72"/>
      <c r="G219" s="72"/>
      <c r="H219" s="72"/>
      <c r="I219" s="72"/>
      <c r="J219" s="73"/>
      <c r="K219" s="73"/>
    </row>
    <row r="220" spans="1:11" x14ac:dyDescent="0.25">
      <c r="A220" s="71"/>
      <c r="B220" s="72"/>
      <c r="C220" s="67" t="str">
        <f>IFERROR(INDEX('Capacidade UAS-CUAS'!$F$4:$F$81,MATCH($B220,'Capacidade UAS-CUAS'!$E$4:$E$81,0)),"")</f>
        <v/>
      </c>
      <c r="D220" s="67" t="str">
        <f>IFERROR(INDEX('Capacidade UAS-CUAS'!$B$4:$B$81,MATCH($B220,'Capacidade UAS-CUAS'!$E$4:$E$81,0)),"")</f>
        <v/>
      </c>
      <c r="E220" s="68" t="str">
        <f>IFERROR(INDEX('Capacidade UAS-CUAS'!$D$4:$D$81,MATCH($B220,'Capacidade UAS-CUAS'!$E$4:$E$81,0)),"")</f>
        <v/>
      </c>
      <c r="F220" s="72"/>
      <c r="G220" s="72"/>
      <c r="H220" s="72"/>
      <c r="I220" s="72"/>
      <c r="J220" s="73"/>
      <c r="K220" s="73"/>
    </row>
    <row r="221" spans="1:11" x14ac:dyDescent="0.25">
      <c r="A221" s="71"/>
      <c r="B221" s="72"/>
      <c r="C221" s="67" t="str">
        <f>IFERROR(INDEX('Capacidade UAS-CUAS'!$F$4:$F$81,MATCH($B221,'Capacidade UAS-CUAS'!$E$4:$E$81,0)),"")</f>
        <v/>
      </c>
      <c r="D221" s="67" t="str">
        <f>IFERROR(INDEX('Capacidade UAS-CUAS'!$B$4:$B$81,MATCH($B221,'Capacidade UAS-CUAS'!$E$4:$E$81,0)),"")</f>
        <v/>
      </c>
      <c r="E221" s="68" t="str">
        <f>IFERROR(INDEX('Capacidade UAS-CUAS'!$D$4:$D$81,MATCH($B221,'Capacidade UAS-CUAS'!$E$4:$E$81,0)),"")</f>
        <v/>
      </c>
      <c r="F221" s="72"/>
      <c r="G221" s="72"/>
      <c r="H221" s="72"/>
      <c r="I221" s="72"/>
      <c r="J221" s="73"/>
      <c r="K221" s="73"/>
    </row>
    <row r="222" spans="1:11" x14ac:dyDescent="0.25">
      <c r="A222" s="71"/>
      <c r="B222" s="72"/>
      <c r="C222" s="67" t="str">
        <f>IFERROR(INDEX('Capacidade UAS-CUAS'!$F$4:$F$81,MATCH($B222,'Capacidade UAS-CUAS'!$E$4:$E$81,0)),"")</f>
        <v/>
      </c>
      <c r="D222" s="67" t="str">
        <f>IFERROR(INDEX('Capacidade UAS-CUAS'!$B$4:$B$81,MATCH($B222,'Capacidade UAS-CUAS'!$E$4:$E$81,0)),"")</f>
        <v/>
      </c>
      <c r="E222" s="68" t="str">
        <f>IFERROR(INDEX('Capacidade UAS-CUAS'!$D$4:$D$81,MATCH($B222,'Capacidade UAS-CUAS'!$E$4:$E$81,0)),"")</f>
        <v/>
      </c>
      <c r="F222" s="72"/>
      <c r="G222" s="72"/>
      <c r="H222" s="72"/>
      <c r="I222" s="72"/>
      <c r="J222" s="73"/>
      <c r="K222" s="73"/>
    </row>
    <row r="223" spans="1:11" x14ac:dyDescent="0.25">
      <c r="A223" s="71"/>
      <c r="B223" s="72"/>
      <c r="C223" s="67" t="str">
        <f>IFERROR(INDEX('Capacidade UAS-CUAS'!$F$4:$F$81,MATCH($B223,'Capacidade UAS-CUAS'!$E$4:$E$81,0)),"")</f>
        <v/>
      </c>
      <c r="D223" s="67" t="str">
        <f>IFERROR(INDEX('Capacidade UAS-CUAS'!$B$4:$B$81,MATCH($B223,'Capacidade UAS-CUAS'!$E$4:$E$81,0)),"")</f>
        <v/>
      </c>
      <c r="E223" s="68" t="str">
        <f>IFERROR(INDEX('Capacidade UAS-CUAS'!$D$4:$D$81,MATCH($B223,'Capacidade UAS-CUAS'!$E$4:$E$81,0)),"")</f>
        <v/>
      </c>
      <c r="F223" s="72"/>
      <c r="G223" s="72"/>
      <c r="H223" s="72"/>
      <c r="I223" s="72"/>
      <c r="J223" s="73"/>
      <c r="K223" s="73"/>
    </row>
    <row r="224" spans="1:11" x14ac:dyDescent="0.25">
      <c r="A224" s="71"/>
      <c r="B224" s="72"/>
      <c r="C224" s="67" t="str">
        <f>IFERROR(INDEX('Capacidade UAS-CUAS'!$F$4:$F$81,MATCH($B224,'Capacidade UAS-CUAS'!$E$4:$E$81,0)),"")</f>
        <v/>
      </c>
      <c r="D224" s="67" t="str">
        <f>IFERROR(INDEX('Capacidade UAS-CUAS'!$B$4:$B$81,MATCH($B224,'Capacidade UAS-CUAS'!$E$4:$E$81,0)),"")</f>
        <v/>
      </c>
      <c r="E224" s="68" t="str">
        <f>IFERROR(INDEX('Capacidade UAS-CUAS'!$D$4:$D$81,MATCH($B224,'Capacidade UAS-CUAS'!$E$4:$E$81,0)),"")</f>
        <v/>
      </c>
      <c r="F224" s="72"/>
      <c r="G224" s="72"/>
      <c r="H224" s="72"/>
      <c r="I224" s="72"/>
      <c r="J224" s="73"/>
      <c r="K224" s="73"/>
    </row>
    <row r="225" spans="1:11" x14ac:dyDescent="0.25">
      <c r="A225" s="71"/>
      <c r="B225" s="72"/>
      <c r="C225" s="67" t="str">
        <f>IFERROR(INDEX('Capacidade UAS-CUAS'!$F$4:$F$81,MATCH($B225,'Capacidade UAS-CUAS'!$E$4:$E$81,0)),"")</f>
        <v/>
      </c>
      <c r="D225" s="67" t="str">
        <f>IFERROR(INDEX('Capacidade UAS-CUAS'!$B$4:$B$81,MATCH($B225,'Capacidade UAS-CUAS'!$E$4:$E$81,0)),"")</f>
        <v/>
      </c>
      <c r="E225" s="68" t="str">
        <f>IFERROR(INDEX('Capacidade UAS-CUAS'!$D$4:$D$81,MATCH($B225,'Capacidade UAS-CUAS'!$E$4:$E$81,0)),"")</f>
        <v/>
      </c>
      <c r="F225" s="72"/>
      <c r="G225" s="72"/>
      <c r="H225" s="72"/>
      <c r="I225" s="72"/>
      <c r="J225" s="73"/>
      <c r="K225" s="73"/>
    </row>
    <row r="226" spans="1:11" x14ac:dyDescent="0.25">
      <c r="A226" s="71"/>
      <c r="B226" s="72"/>
      <c r="C226" s="67" t="str">
        <f>IFERROR(INDEX('Capacidade UAS-CUAS'!$F$4:$F$81,MATCH($B226,'Capacidade UAS-CUAS'!$E$4:$E$81,0)),"")</f>
        <v/>
      </c>
      <c r="D226" s="67" t="str">
        <f>IFERROR(INDEX('Capacidade UAS-CUAS'!$B$4:$B$81,MATCH($B226,'Capacidade UAS-CUAS'!$E$4:$E$81,0)),"")</f>
        <v/>
      </c>
      <c r="E226" s="68" t="str">
        <f>IFERROR(INDEX('Capacidade UAS-CUAS'!$D$4:$D$81,MATCH($B226,'Capacidade UAS-CUAS'!$E$4:$E$81,0)),"")</f>
        <v/>
      </c>
      <c r="F226" s="72"/>
      <c r="G226" s="72"/>
      <c r="H226" s="72"/>
      <c r="I226" s="72"/>
      <c r="J226" s="73"/>
      <c r="K226" s="73"/>
    </row>
    <row r="227" spans="1:11" x14ac:dyDescent="0.25">
      <c r="A227" s="71"/>
      <c r="B227" s="72"/>
      <c r="C227" s="67" t="str">
        <f>IFERROR(INDEX('Capacidade UAS-CUAS'!$F$4:$F$81,MATCH($B227,'Capacidade UAS-CUAS'!$E$4:$E$81,0)),"")</f>
        <v/>
      </c>
      <c r="D227" s="67" t="str">
        <f>IFERROR(INDEX('Capacidade UAS-CUAS'!$B$4:$B$81,MATCH($B227,'Capacidade UAS-CUAS'!$E$4:$E$81,0)),"")</f>
        <v/>
      </c>
      <c r="E227" s="68" t="str">
        <f>IFERROR(INDEX('Capacidade UAS-CUAS'!$D$4:$D$81,MATCH($B227,'Capacidade UAS-CUAS'!$E$4:$E$81,0)),"")</f>
        <v/>
      </c>
      <c r="F227" s="72"/>
      <c r="G227" s="72"/>
      <c r="H227" s="72"/>
      <c r="I227" s="72"/>
      <c r="J227" s="73"/>
      <c r="K227" s="73"/>
    </row>
    <row r="228" spans="1:11" x14ac:dyDescent="0.25">
      <c r="A228" s="71"/>
      <c r="B228" s="72"/>
      <c r="C228" s="67" t="str">
        <f>IFERROR(INDEX('Capacidade UAS-CUAS'!$F$4:$F$81,MATCH($B228,'Capacidade UAS-CUAS'!$E$4:$E$81,0)),"")</f>
        <v/>
      </c>
      <c r="D228" s="67" t="str">
        <f>IFERROR(INDEX('Capacidade UAS-CUAS'!$B$4:$B$81,MATCH($B228,'Capacidade UAS-CUAS'!$E$4:$E$81,0)),"")</f>
        <v/>
      </c>
      <c r="E228" s="68" t="str">
        <f>IFERROR(INDEX('Capacidade UAS-CUAS'!$D$4:$D$81,MATCH($B228,'Capacidade UAS-CUAS'!$E$4:$E$81,0)),"")</f>
        <v/>
      </c>
      <c r="F228" s="72"/>
      <c r="G228" s="72"/>
      <c r="H228" s="72"/>
      <c r="I228" s="72"/>
      <c r="J228" s="73"/>
      <c r="K228" s="73"/>
    </row>
    <row r="229" spans="1:11" x14ac:dyDescent="0.25">
      <c r="A229" s="71"/>
      <c r="B229" s="72"/>
      <c r="C229" s="67" t="str">
        <f>IFERROR(INDEX('Capacidade UAS-CUAS'!$F$4:$F$81,MATCH($B229,'Capacidade UAS-CUAS'!$E$4:$E$81,0)),"")</f>
        <v/>
      </c>
      <c r="D229" s="67" t="str">
        <f>IFERROR(INDEX('Capacidade UAS-CUAS'!$B$4:$B$81,MATCH($B229,'Capacidade UAS-CUAS'!$E$4:$E$81,0)),"")</f>
        <v/>
      </c>
      <c r="E229" s="68" t="str">
        <f>IFERROR(INDEX('Capacidade UAS-CUAS'!$D$4:$D$81,MATCH($B229,'Capacidade UAS-CUAS'!$E$4:$E$81,0)),"")</f>
        <v/>
      </c>
      <c r="F229" s="72"/>
      <c r="G229" s="72"/>
      <c r="H229" s="72"/>
      <c r="I229" s="72"/>
      <c r="J229" s="73"/>
      <c r="K229" s="73"/>
    </row>
    <row r="230" spans="1:11" x14ac:dyDescent="0.25">
      <c r="A230" s="71"/>
      <c r="B230" s="72"/>
      <c r="C230" s="67" t="str">
        <f>IFERROR(INDEX('Capacidade UAS-CUAS'!$F$4:$F$81,MATCH($B230,'Capacidade UAS-CUAS'!$E$4:$E$81,0)),"")</f>
        <v/>
      </c>
      <c r="D230" s="67" t="str">
        <f>IFERROR(INDEX('Capacidade UAS-CUAS'!$B$4:$B$81,MATCH($B230,'Capacidade UAS-CUAS'!$E$4:$E$81,0)),"")</f>
        <v/>
      </c>
      <c r="E230" s="68" t="str">
        <f>IFERROR(INDEX('Capacidade UAS-CUAS'!$D$4:$D$81,MATCH($B230,'Capacidade UAS-CUAS'!$E$4:$E$81,0)),"")</f>
        <v/>
      </c>
      <c r="F230" s="72"/>
      <c r="G230" s="72"/>
      <c r="H230" s="72"/>
      <c r="I230" s="72"/>
      <c r="J230" s="73"/>
      <c r="K230" s="73"/>
    </row>
    <row r="231" spans="1:11" x14ac:dyDescent="0.25">
      <c r="A231" s="71"/>
      <c r="B231" s="72"/>
      <c r="C231" s="67" t="str">
        <f>IFERROR(INDEX('Capacidade UAS-CUAS'!$F$4:$F$81,MATCH($B231,'Capacidade UAS-CUAS'!$E$4:$E$81,0)),"")</f>
        <v/>
      </c>
      <c r="D231" s="67" t="str">
        <f>IFERROR(INDEX('Capacidade UAS-CUAS'!$B$4:$B$81,MATCH($B231,'Capacidade UAS-CUAS'!$E$4:$E$81,0)),"")</f>
        <v/>
      </c>
      <c r="E231" s="68" t="str">
        <f>IFERROR(INDEX('Capacidade UAS-CUAS'!$D$4:$D$81,MATCH($B231,'Capacidade UAS-CUAS'!$E$4:$E$81,0)),"")</f>
        <v/>
      </c>
      <c r="F231" s="72"/>
      <c r="G231" s="72"/>
      <c r="H231" s="72"/>
      <c r="I231" s="72"/>
      <c r="J231" s="73"/>
      <c r="K231" s="73"/>
    </row>
    <row r="232" spans="1:11" x14ac:dyDescent="0.25">
      <c r="A232" s="71"/>
      <c r="B232" s="72"/>
      <c r="C232" s="67" t="str">
        <f>IFERROR(INDEX('Capacidade UAS-CUAS'!$F$4:$F$81,MATCH($B232,'Capacidade UAS-CUAS'!$E$4:$E$81,0)),"")</f>
        <v/>
      </c>
      <c r="D232" s="67" t="str">
        <f>IFERROR(INDEX('Capacidade UAS-CUAS'!$B$4:$B$81,MATCH($B232,'Capacidade UAS-CUAS'!$E$4:$E$81,0)),"")</f>
        <v/>
      </c>
      <c r="E232" s="68" t="str">
        <f>IFERROR(INDEX('Capacidade UAS-CUAS'!$D$4:$D$81,MATCH($B232,'Capacidade UAS-CUAS'!$E$4:$E$81,0)),"")</f>
        <v/>
      </c>
      <c r="F232" s="72"/>
      <c r="G232" s="72"/>
      <c r="H232" s="72"/>
      <c r="I232" s="72"/>
      <c r="J232" s="73"/>
      <c r="K232" s="73"/>
    </row>
    <row r="233" spans="1:11" x14ac:dyDescent="0.25">
      <c r="A233" s="71"/>
      <c r="B233" s="72"/>
      <c r="C233" s="67" t="str">
        <f>IFERROR(INDEX('Capacidade UAS-CUAS'!$F$4:$F$81,MATCH($B233,'Capacidade UAS-CUAS'!$E$4:$E$81,0)),"")</f>
        <v/>
      </c>
      <c r="D233" s="67" t="str">
        <f>IFERROR(INDEX('Capacidade UAS-CUAS'!$B$4:$B$81,MATCH($B233,'Capacidade UAS-CUAS'!$E$4:$E$81,0)),"")</f>
        <v/>
      </c>
      <c r="E233" s="68" t="str">
        <f>IFERROR(INDEX('Capacidade UAS-CUAS'!$D$4:$D$81,MATCH($B233,'Capacidade UAS-CUAS'!$E$4:$E$81,0)),"")</f>
        <v/>
      </c>
      <c r="F233" s="72"/>
      <c r="G233" s="72"/>
      <c r="H233" s="72"/>
      <c r="I233" s="72"/>
      <c r="J233" s="73"/>
      <c r="K233" s="73"/>
    </row>
    <row r="234" spans="1:11" x14ac:dyDescent="0.25">
      <c r="A234" s="71"/>
      <c r="B234" s="72"/>
      <c r="C234" s="67" t="str">
        <f>IFERROR(INDEX('Capacidade UAS-CUAS'!$F$4:$F$81,MATCH($B234,'Capacidade UAS-CUAS'!$E$4:$E$81,0)),"")</f>
        <v/>
      </c>
      <c r="D234" s="67" t="str">
        <f>IFERROR(INDEX('Capacidade UAS-CUAS'!$B$4:$B$81,MATCH($B234,'Capacidade UAS-CUAS'!$E$4:$E$81,0)),"")</f>
        <v/>
      </c>
      <c r="E234" s="68" t="str">
        <f>IFERROR(INDEX('Capacidade UAS-CUAS'!$D$4:$D$81,MATCH($B234,'Capacidade UAS-CUAS'!$E$4:$E$81,0)),"")</f>
        <v/>
      </c>
      <c r="F234" s="72"/>
      <c r="G234" s="72"/>
      <c r="H234" s="72"/>
      <c r="I234" s="72"/>
      <c r="J234" s="73"/>
      <c r="K234" s="73"/>
    </row>
    <row r="235" spans="1:11" x14ac:dyDescent="0.25">
      <c r="A235" s="71"/>
      <c r="B235" s="72"/>
      <c r="C235" s="67" t="str">
        <f>IFERROR(INDEX('Capacidade UAS-CUAS'!$F$4:$F$81,MATCH($B235,'Capacidade UAS-CUAS'!$E$4:$E$81,0)),"")</f>
        <v/>
      </c>
      <c r="D235" s="67" t="str">
        <f>IFERROR(INDEX('Capacidade UAS-CUAS'!$B$4:$B$81,MATCH($B235,'Capacidade UAS-CUAS'!$E$4:$E$81,0)),"")</f>
        <v/>
      </c>
      <c r="E235" s="68" t="str">
        <f>IFERROR(INDEX('Capacidade UAS-CUAS'!$D$4:$D$81,MATCH($B235,'Capacidade UAS-CUAS'!$E$4:$E$81,0)),"")</f>
        <v/>
      </c>
      <c r="F235" s="72"/>
      <c r="G235" s="72"/>
      <c r="H235" s="72"/>
      <c r="I235" s="72"/>
      <c r="J235" s="73"/>
      <c r="K235" s="73"/>
    </row>
    <row r="236" spans="1:11" x14ac:dyDescent="0.25">
      <c r="A236" s="71"/>
      <c r="B236" s="72"/>
      <c r="C236" s="67" t="str">
        <f>IFERROR(INDEX('Capacidade UAS-CUAS'!$F$4:$F$81,MATCH($B236,'Capacidade UAS-CUAS'!$E$4:$E$81,0)),"")</f>
        <v/>
      </c>
      <c r="D236" s="67" t="str">
        <f>IFERROR(INDEX('Capacidade UAS-CUAS'!$B$4:$B$81,MATCH($B236,'Capacidade UAS-CUAS'!$E$4:$E$81,0)),"")</f>
        <v/>
      </c>
      <c r="E236" s="68" t="str">
        <f>IFERROR(INDEX('Capacidade UAS-CUAS'!$D$4:$D$81,MATCH($B236,'Capacidade UAS-CUAS'!$E$4:$E$81,0)),"")</f>
        <v/>
      </c>
      <c r="F236" s="72"/>
      <c r="G236" s="72"/>
      <c r="H236" s="72"/>
      <c r="I236" s="72"/>
      <c r="J236" s="73"/>
      <c r="K236" s="73"/>
    </row>
    <row r="237" spans="1:11" x14ac:dyDescent="0.25">
      <c r="A237" s="71"/>
      <c r="B237" s="72"/>
      <c r="C237" s="67" t="str">
        <f>IFERROR(INDEX('Capacidade UAS-CUAS'!$F$4:$F$81,MATCH($B237,'Capacidade UAS-CUAS'!$E$4:$E$81,0)),"")</f>
        <v/>
      </c>
      <c r="D237" s="67" t="str">
        <f>IFERROR(INDEX('Capacidade UAS-CUAS'!$B$4:$B$81,MATCH($B237,'Capacidade UAS-CUAS'!$E$4:$E$81,0)),"")</f>
        <v/>
      </c>
      <c r="E237" s="68" t="str">
        <f>IFERROR(INDEX('Capacidade UAS-CUAS'!$D$4:$D$81,MATCH($B237,'Capacidade UAS-CUAS'!$E$4:$E$81,0)),"")</f>
        <v/>
      </c>
      <c r="F237" s="72"/>
      <c r="G237" s="72"/>
      <c r="H237" s="72"/>
      <c r="I237" s="72"/>
      <c r="J237" s="73"/>
      <c r="K237" s="73"/>
    </row>
    <row r="238" spans="1:11" x14ac:dyDescent="0.25">
      <c r="A238" s="71"/>
      <c r="B238" s="72"/>
      <c r="C238" s="67" t="str">
        <f>IFERROR(INDEX('Capacidade UAS-CUAS'!$F$4:$F$81,MATCH($B238,'Capacidade UAS-CUAS'!$E$4:$E$81,0)),"")</f>
        <v/>
      </c>
      <c r="D238" s="67" t="str">
        <f>IFERROR(INDEX('Capacidade UAS-CUAS'!$B$4:$B$81,MATCH($B238,'Capacidade UAS-CUAS'!$E$4:$E$81,0)),"")</f>
        <v/>
      </c>
      <c r="E238" s="68" t="str">
        <f>IFERROR(INDEX('Capacidade UAS-CUAS'!$D$4:$D$81,MATCH($B238,'Capacidade UAS-CUAS'!$E$4:$E$81,0)),"")</f>
        <v/>
      </c>
      <c r="F238" s="72"/>
      <c r="G238" s="72"/>
      <c r="H238" s="72"/>
      <c r="I238" s="72"/>
      <c r="J238" s="73"/>
      <c r="K238" s="73"/>
    </row>
    <row r="239" spans="1:11" x14ac:dyDescent="0.25">
      <c r="A239" s="71"/>
      <c r="B239" s="72"/>
      <c r="C239" s="67" t="str">
        <f>IFERROR(INDEX('Capacidade UAS-CUAS'!$F$4:$F$81,MATCH($B239,'Capacidade UAS-CUAS'!$E$4:$E$81,0)),"")</f>
        <v/>
      </c>
      <c r="D239" s="67" t="str">
        <f>IFERROR(INDEX('Capacidade UAS-CUAS'!$B$4:$B$81,MATCH($B239,'Capacidade UAS-CUAS'!$E$4:$E$81,0)),"")</f>
        <v/>
      </c>
      <c r="E239" s="68" t="str">
        <f>IFERROR(INDEX('Capacidade UAS-CUAS'!$D$4:$D$81,MATCH($B239,'Capacidade UAS-CUAS'!$E$4:$E$81,0)),"")</f>
        <v/>
      </c>
      <c r="F239" s="72"/>
      <c r="G239" s="72"/>
      <c r="H239" s="72"/>
      <c r="I239" s="72"/>
      <c r="J239" s="73"/>
      <c r="K239" s="73"/>
    </row>
    <row r="240" spans="1:11" x14ac:dyDescent="0.25">
      <c r="A240" s="71"/>
      <c r="B240" s="72"/>
      <c r="C240" s="67" t="str">
        <f>IFERROR(INDEX('Capacidade UAS-CUAS'!$F$4:$F$81,MATCH($B240,'Capacidade UAS-CUAS'!$E$4:$E$81,0)),"")</f>
        <v/>
      </c>
      <c r="D240" s="67" t="str">
        <f>IFERROR(INDEX('Capacidade UAS-CUAS'!$B$4:$B$81,MATCH($B240,'Capacidade UAS-CUAS'!$E$4:$E$81,0)),"")</f>
        <v/>
      </c>
      <c r="E240" s="68" t="str">
        <f>IFERROR(INDEX('Capacidade UAS-CUAS'!$D$4:$D$81,MATCH($B240,'Capacidade UAS-CUAS'!$E$4:$E$81,0)),"")</f>
        <v/>
      </c>
      <c r="F240" s="72"/>
      <c r="G240" s="72"/>
      <c r="H240" s="72"/>
      <c r="I240" s="72"/>
      <c r="J240" s="73"/>
      <c r="K240" s="73"/>
    </row>
    <row r="241" spans="1:11" x14ac:dyDescent="0.25">
      <c r="A241" s="71"/>
      <c r="B241" s="72"/>
      <c r="C241" s="67" t="str">
        <f>IFERROR(INDEX('Capacidade UAS-CUAS'!$F$4:$F$81,MATCH($B241,'Capacidade UAS-CUAS'!$E$4:$E$81,0)),"")</f>
        <v/>
      </c>
      <c r="D241" s="67" t="str">
        <f>IFERROR(INDEX('Capacidade UAS-CUAS'!$B$4:$B$81,MATCH($B241,'Capacidade UAS-CUAS'!$E$4:$E$81,0)),"")</f>
        <v/>
      </c>
      <c r="E241" s="68" t="str">
        <f>IFERROR(INDEX('Capacidade UAS-CUAS'!$D$4:$D$81,MATCH($B241,'Capacidade UAS-CUAS'!$E$4:$E$81,0)),"")</f>
        <v/>
      </c>
      <c r="F241" s="72"/>
      <c r="G241" s="72"/>
      <c r="H241" s="72"/>
      <c r="I241" s="72"/>
      <c r="J241" s="73"/>
      <c r="K241" s="73"/>
    </row>
    <row r="242" spans="1:11" x14ac:dyDescent="0.25">
      <c r="A242" s="71"/>
      <c r="B242" s="72"/>
      <c r="C242" s="67" t="str">
        <f>IFERROR(INDEX('Capacidade UAS-CUAS'!$F$4:$F$81,MATCH($B242,'Capacidade UAS-CUAS'!$E$4:$E$81,0)),"")</f>
        <v/>
      </c>
      <c r="D242" s="67" t="str">
        <f>IFERROR(INDEX('Capacidade UAS-CUAS'!$B$4:$B$81,MATCH($B242,'Capacidade UAS-CUAS'!$E$4:$E$81,0)),"")</f>
        <v/>
      </c>
      <c r="E242" s="68" t="str">
        <f>IFERROR(INDEX('Capacidade UAS-CUAS'!$D$4:$D$81,MATCH($B242,'Capacidade UAS-CUAS'!$E$4:$E$81,0)),"")</f>
        <v/>
      </c>
      <c r="F242" s="72"/>
      <c r="G242" s="72"/>
      <c r="H242" s="72"/>
      <c r="I242" s="72"/>
      <c r="J242" s="73"/>
      <c r="K242" s="73"/>
    </row>
    <row r="243" spans="1:11" x14ac:dyDescent="0.25">
      <c r="A243" s="71"/>
      <c r="B243" s="72"/>
      <c r="C243" s="67" t="str">
        <f>IFERROR(INDEX('Capacidade UAS-CUAS'!$F$4:$F$81,MATCH($B243,'Capacidade UAS-CUAS'!$E$4:$E$81,0)),"")</f>
        <v/>
      </c>
      <c r="D243" s="67" t="str">
        <f>IFERROR(INDEX('Capacidade UAS-CUAS'!$B$4:$B$81,MATCH($B243,'Capacidade UAS-CUAS'!$E$4:$E$81,0)),"")</f>
        <v/>
      </c>
      <c r="E243" s="68" t="str">
        <f>IFERROR(INDEX('Capacidade UAS-CUAS'!$D$4:$D$81,MATCH($B243,'Capacidade UAS-CUAS'!$E$4:$E$81,0)),"")</f>
        <v/>
      </c>
      <c r="F243" s="72"/>
      <c r="G243" s="72"/>
      <c r="H243" s="72"/>
      <c r="I243" s="72"/>
      <c r="J243" s="73"/>
      <c r="K243" s="73"/>
    </row>
    <row r="244" spans="1:11" x14ac:dyDescent="0.25">
      <c r="A244" s="71"/>
      <c r="B244" s="72"/>
      <c r="C244" s="67" t="str">
        <f>IFERROR(INDEX('Capacidade UAS-CUAS'!$F$4:$F$81,MATCH($B244,'Capacidade UAS-CUAS'!$E$4:$E$81,0)),"")</f>
        <v/>
      </c>
      <c r="D244" s="67" t="str">
        <f>IFERROR(INDEX('Capacidade UAS-CUAS'!$B$4:$B$81,MATCH($B244,'Capacidade UAS-CUAS'!$E$4:$E$81,0)),"")</f>
        <v/>
      </c>
      <c r="E244" s="68" t="str">
        <f>IFERROR(INDEX('Capacidade UAS-CUAS'!$D$4:$D$81,MATCH($B244,'Capacidade UAS-CUAS'!$E$4:$E$81,0)),"")</f>
        <v/>
      </c>
      <c r="F244" s="72"/>
      <c r="G244" s="72"/>
      <c r="H244" s="72"/>
      <c r="I244" s="72"/>
      <c r="J244" s="73"/>
      <c r="K244" s="73"/>
    </row>
    <row r="245" spans="1:11" x14ac:dyDescent="0.25">
      <c r="A245" s="71"/>
      <c r="B245" s="72"/>
      <c r="C245" s="67" t="str">
        <f>IFERROR(INDEX('Capacidade UAS-CUAS'!$F$4:$F$81,MATCH($B245,'Capacidade UAS-CUAS'!$E$4:$E$81,0)),"")</f>
        <v/>
      </c>
      <c r="D245" s="67" t="str">
        <f>IFERROR(INDEX('Capacidade UAS-CUAS'!$B$4:$B$81,MATCH($B245,'Capacidade UAS-CUAS'!$E$4:$E$81,0)),"")</f>
        <v/>
      </c>
      <c r="E245" s="68" t="str">
        <f>IFERROR(INDEX('Capacidade UAS-CUAS'!$D$4:$D$81,MATCH($B245,'Capacidade UAS-CUAS'!$E$4:$E$81,0)),"")</f>
        <v/>
      </c>
      <c r="F245" s="72"/>
      <c r="G245" s="72"/>
      <c r="H245" s="72"/>
      <c r="I245" s="72"/>
      <c r="J245" s="73"/>
      <c r="K245" s="73"/>
    </row>
    <row r="246" spans="1:11" x14ac:dyDescent="0.25">
      <c r="A246" s="71"/>
      <c r="B246" s="72"/>
      <c r="C246" s="67" t="str">
        <f>IFERROR(INDEX('Capacidade UAS-CUAS'!$F$4:$F$81,MATCH($B246,'Capacidade UAS-CUAS'!$E$4:$E$81,0)),"")</f>
        <v/>
      </c>
      <c r="D246" s="67" t="str">
        <f>IFERROR(INDEX('Capacidade UAS-CUAS'!$B$4:$B$81,MATCH($B246,'Capacidade UAS-CUAS'!$E$4:$E$81,0)),"")</f>
        <v/>
      </c>
      <c r="E246" s="68" t="str">
        <f>IFERROR(INDEX('Capacidade UAS-CUAS'!$D$4:$D$81,MATCH($B246,'Capacidade UAS-CUAS'!$E$4:$E$81,0)),"")</f>
        <v/>
      </c>
      <c r="F246" s="72"/>
      <c r="G246" s="72"/>
      <c r="H246" s="72"/>
      <c r="I246" s="72"/>
      <c r="J246" s="73"/>
      <c r="K246" s="73"/>
    </row>
    <row r="247" spans="1:11" x14ac:dyDescent="0.25">
      <c r="A247" s="71"/>
      <c r="B247" s="72"/>
      <c r="C247" s="67" t="str">
        <f>IFERROR(INDEX('Capacidade UAS-CUAS'!$F$4:$F$81,MATCH($B247,'Capacidade UAS-CUAS'!$E$4:$E$81,0)),"")</f>
        <v/>
      </c>
      <c r="D247" s="67" t="str">
        <f>IFERROR(INDEX('Capacidade UAS-CUAS'!$B$4:$B$81,MATCH($B247,'Capacidade UAS-CUAS'!$E$4:$E$81,0)),"")</f>
        <v/>
      </c>
      <c r="E247" s="68" t="str">
        <f>IFERROR(INDEX('Capacidade UAS-CUAS'!$D$4:$D$81,MATCH($B247,'Capacidade UAS-CUAS'!$E$4:$E$81,0)),"")</f>
        <v/>
      </c>
      <c r="F247" s="72"/>
      <c r="G247" s="72"/>
      <c r="H247" s="72"/>
      <c r="I247" s="72"/>
      <c r="J247" s="73"/>
      <c r="K247" s="73"/>
    </row>
    <row r="248" spans="1:11" x14ac:dyDescent="0.25">
      <c r="A248" s="71"/>
      <c r="B248" s="72"/>
      <c r="C248" s="67" t="str">
        <f>IFERROR(INDEX('Capacidade UAS-CUAS'!$F$4:$F$81,MATCH($B248,'Capacidade UAS-CUAS'!$E$4:$E$81,0)),"")</f>
        <v/>
      </c>
      <c r="D248" s="67" t="str">
        <f>IFERROR(INDEX('Capacidade UAS-CUAS'!$B$4:$B$81,MATCH($B248,'Capacidade UAS-CUAS'!$E$4:$E$81,0)),"")</f>
        <v/>
      </c>
      <c r="E248" s="68" t="str">
        <f>IFERROR(INDEX('Capacidade UAS-CUAS'!$D$4:$D$81,MATCH($B248,'Capacidade UAS-CUAS'!$E$4:$E$81,0)),"")</f>
        <v/>
      </c>
      <c r="F248" s="72"/>
      <c r="G248" s="72"/>
      <c r="H248" s="72"/>
      <c r="I248" s="72"/>
      <c r="J248" s="73"/>
      <c r="K248" s="73"/>
    </row>
    <row r="249" spans="1:11" x14ac:dyDescent="0.25">
      <c r="A249" s="71"/>
      <c r="B249" s="72"/>
      <c r="C249" s="67" t="str">
        <f>IFERROR(INDEX('Capacidade UAS-CUAS'!$F$4:$F$81,MATCH($B249,'Capacidade UAS-CUAS'!$E$4:$E$81,0)),"")</f>
        <v/>
      </c>
      <c r="D249" s="67" t="str">
        <f>IFERROR(INDEX('Capacidade UAS-CUAS'!$B$4:$B$81,MATCH($B249,'Capacidade UAS-CUAS'!$E$4:$E$81,0)),"")</f>
        <v/>
      </c>
      <c r="E249" s="68" t="str">
        <f>IFERROR(INDEX('Capacidade UAS-CUAS'!$D$4:$D$81,MATCH($B249,'Capacidade UAS-CUAS'!$E$4:$E$81,0)),"")</f>
        <v/>
      </c>
      <c r="F249" s="72"/>
      <c r="G249" s="72"/>
      <c r="H249" s="72"/>
      <c r="I249" s="72"/>
      <c r="J249" s="73"/>
      <c r="K249" s="73"/>
    </row>
    <row r="250" spans="1:11" x14ac:dyDescent="0.25">
      <c r="A250" s="71"/>
      <c r="B250" s="72"/>
      <c r="C250" s="67" t="str">
        <f>IFERROR(INDEX('Capacidade UAS-CUAS'!$F$4:$F$81,MATCH($B250,'Capacidade UAS-CUAS'!$E$4:$E$81,0)),"")</f>
        <v/>
      </c>
      <c r="D250" s="67" t="str">
        <f>IFERROR(INDEX('Capacidade UAS-CUAS'!$B$4:$B$81,MATCH($B250,'Capacidade UAS-CUAS'!$E$4:$E$81,0)),"")</f>
        <v/>
      </c>
      <c r="E250" s="68" t="str">
        <f>IFERROR(INDEX('Capacidade UAS-CUAS'!$D$4:$D$81,MATCH($B250,'Capacidade UAS-CUAS'!$E$4:$E$81,0)),"")</f>
        <v/>
      </c>
      <c r="F250" s="72"/>
      <c r="G250" s="72"/>
      <c r="H250" s="72"/>
      <c r="I250" s="72"/>
      <c r="J250" s="73"/>
      <c r="K250" s="73"/>
    </row>
    <row r="251" spans="1:11" x14ac:dyDescent="0.25">
      <c r="A251" s="71"/>
      <c r="B251" s="72"/>
      <c r="C251" s="67" t="str">
        <f>IFERROR(INDEX('Capacidade UAS-CUAS'!$F$4:$F$81,MATCH($B251,'Capacidade UAS-CUAS'!$E$4:$E$81,0)),"")</f>
        <v/>
      </c>
      <c r="D251" s="67" t="str">
        <f>IFERROR(INDEX('Capacidade UAS-CUAS'!$B$4:$B$81,MATCH($B251,'Capacidade UAS-CUAS'!$E$4:$E$81,0)),"")</f>
        <v/>
      </c>
      <c r="E251" s="68" t="str">
        <f>IFERROR(INDEX('Capacidade UAS-CUAS'!$D$4:$D$81,MATCH($B251,'Capacidade UAS-CUAS'!$E$4:$E$81,0)),"")</f>
        <v/>
      </c>
      <c r="F251" s="72"/>
      <c r="G251" s="72"/>
      <c r="H251" s="72"/>
      <c r="I251" s="72"/>
      <c r="J251" s="73"/>
      <c r="K251" s="73"/>
    </row>
    <row r="252" spans="1:11" x14ac:dyDescent="0.25">
      <c r="A252" s="71"/>
      <c r="B252" s="72"/>
      <c r="C252" s="67" t="str">
        <f>IFERROR(INDEX('Capacidade UAS-CUAS'!$F$4:$F$81,MATCH($B252,'Capacidade UAS-CUAS'!$E$4:$E$81,0)),"")</f>
        <v/>
      </c>
      <c r="D252" s="67" t="str">
        <f>IFERROR(INDEX('Capacidade UAS-CUAS'!$B$4:$B$81,MATCH($B252,'Capacidade UAS-CUAS'!$E$4:$E$81,0)),"")</f>
        <v/>
      </c>
      <c r="E252" s="68" t="str">
        <f>IFERROR(INDEX('Capacidade UAS-CUAS'!$D$4:$D$81,MATCH($B252,'Capacidade UAS-CUAS'!$E$4:$E$81,0)),"")</f>
        <v/>
      </c>
      <c r="F252" s="72"/>
      <c r="G252" s="72"/>
      <c r="H252" s="72"/>
      <c r="I252" s="72"/>
      <c r="J252" s="73"/>
      <c r="K252" s="73"/>
    </row>
    <row r="253" spans="1:11" x14ac:dyDescent="0.25">
      <c r="A253" s="71"/>
      <c r="B253" s="72"/>
      <c r="C253" s="67" t="str">
        <f>IFERROR(INDEX('Capacidade UAS-CUAS'!$F$4:$F$81,MATCH($B253,'Capacidade UAS-CUAS'!$E$4:$E$81,0)),"")</f>
        <v/>
      </c>
      <c r="D253" s="67" t="str">
        <f>IFERROR(INDEX('Capacidade UAS-CUAS'!$B$4:$B$81,MATCH($B253,'Capacidade UAS-CUAS'!$E$4:$E$81,0)),"")</f>
        <v/>
      </c>
      <c r="E253" s="68" t="str">
        <f>IFERROR(INDEX('Capacidade UAS-CUAS'!$D$4:$D$81,MATCH($B253,'Capacidade UAS-CUAS'!$E$4:$E$81,0)),"")</f>
        <v/>
      </c>
      <c r="F253" s="72"/>
      <c r="G253" s="72"/>
      <c r="H253" s="72"/>
      <c r="I253" s="72"/>
      <c r="J253" s="73"/>
      <c r="K253" s="73"/>
    </row>
    <row r="254" spans="1:11" x14ac:dyDescent="0.25">
      <c r="A254" s="71"/>
      <c r="B254" s="72"/>
      <c r="C254" s="67" t="str">
        <f>IFERROR(INDEX('Capacidade UAS-CUAS'!$F$4:$F$81,MATCH($B254,'Capacidade UAS-CUAS'!$E$4:$E$81,0)),"")</f>
        <v/>
      </c>
      <c r="D254" s="67" t="str">
        <f>IFERROR(INDEX('Capacidade UAS-CUAS'!$B$4:$B$81,MATCH($B254,'Capacidade UAS-CUAS'!$E$4:$E$81,0)),"")</f>
        <v/>
      </c>
      <c r="E254" s="68" t="str">
        <f>IFERROR(INDEX('Capacidade UAS-CUAS'!$D$4:$D$81,MATCH($B254,'Capacidade UAS-CUAS'!$E$4:$E$81,0)),"")</f>
        <v/>
      </c>
      <c r="F254" s="72"/>
      <c r="G254" s="72"/>
      <c r="H254" s="72"/>
      <c r="I254" s="72"/>
      <c r="J254" s="73"/>
      <c r="K254" s="73"/>
    </row>
    <row r="255" spans="1:11" x14ac:dyDescent="0.25">
      <c r="A255" s="71"/>
      <c r="B255" s="72"/>
      <c r="C255" s="67" t="str">
        <f>IFERROR(INDEX('Capacidade UAS-CUAS'!$F$4:$F$81,MATCH($B255,'Capacidade UAS-CUAS'!$E$4:$E$81,0)),"")</f>
        <v/>
      </c>
      <c r="D255" s="67" t="str">
        <f>IFERROR(INDEX('Capacidade UAS-CUAS'!$B$4:$B$81,MATCH($B255,'Capacidade UAS-CUAS'!$E$4:$E$81,0)),"")</f>
        <v/>
      </c>
      <c r="E255" s="68" t="str">
        <f>IFERROR(INDEX('Capacidade UAS-CUAS'!$D$4:$D$81,MATCH($B255,'Capacidade UAS-CUAS'!$E$4:$E$81,0)),"")</f>
        <v/>
      </c>
      <c r="F255" s="72"/>
      <c r="G255" s="72"/>
      <c r="H255" s="72"/>
      <c r="I255" s="72"/>
      <c r="J255" s="73"/>
      <c r="K255" s="73"/>
    </row>
    <row r="256" spans="1:11" x14ac:dyDescent="0.25">
      <c r="A256" s="71"/>
      <c r="B256" s="72"/>
      <c r="C256" s="67" t="str">
        <f>IFERROR(INDEX('Capacidade UAS-CUAS'!$F$4:$F$81,MATCH($B256,'Capacidade UAS-CUAS'!$E$4:$E$81,0)),"")</f>
        <v/>
      </c>
      <c r="D256" s="67" t="str">
        <f>IFERROR(INDEX('Capacidade UAS-CUAS'!$B$4:$B$81,MATCH($B256,'Capacidade UAS-CUAS'!$E$4:$E$81,0)),"")</f>
        <v/>
      </c>
      <c r="E256" s="68" t="str">
        <f>IFERROR(INDEX('Capacidade UAS-CUAS'!$D$4:$D$81,MATCH($B256,'Capacidade UAS-CUAS'!$E$4:$E$81,0)),"")</f>
        <v/>
      </c>
      <c r="F256" s="72"/>
      <c r="G256" s="72"/>
      <c r="H256" s="72"/>
      <c r="I256" s="72"/>
      <c r="J256" s="73"/>
      <c r="K256" s="73"/>
    </row>
    <row r="257" spans="1:11" x14ac:dyDescent="0.25">
      <c r="A257" s="71"/>
      <c r="B257" s="72"/>
      <c r="C257" s="67" t="str">
        <f>IFERROR(INDEX('Capacidade UAS-CUAS'!$F$4:$F$81,MATCH($B257,'Capacidade UAS-CUAS'!$E$4:$E$81,0)),"")</f>
        <v/>
      </c>
      <c r="D257" s="67" t="str">
        <f>IFERROR(INDEX('Capacidade UAS-CUAS'!$B$4:$B$81,MATCH($B257,'Capacidade UAS-CUAS'!$E$4:$E$81,0)),"")</f>
        <v/>
      </c>
      <c r="E257" s="68" t="str">
        <f>IFERROR(INDEX('Capacidade UAS-CUAS'!$D$4:$D$81,MATCH($B257,'Capacidade UAS-CUAS'!$E$4:$E$81,0)),"")</f>
        <v/>
      </c>
      <c r="F257" s="72"/>
      <c r="G257" s="72"/>
      <c r="H257" s="72"/>
      <c r="I257" s="72"/>
      <c r="J257" s="73"/>
      <c r="K257" s="73"/>
    </row>
    <row r="258" spans="1:11" x14ac:dyDescent="0.25">
      <c r="A258" s="71"/>
      <c r="B258" s="72"/>
      <c r="C258" s="67" t="str">
        <f>IFERROR(INDEX('Capacidade UAS-CUAS'!$F$4:$F$81,MATCH($B258,'Capacidade UAS-CUAS'!$E$4:$E$81,0)),"")</f>
        <v/>
      </c>
      <c r="D258" s="67" t="str">
        <f>IFERROR(INDEX('Capacidade UAS-CUAS'!$B$4:$B$81,MATCH($B258,'Capacidade UAS-CUAS'!$E$4:$E$81,0)),"")</f>
        <v/>
      </c>
      <c r="E258" s="68" t="str">
        <f>IFERROR(INDEX('Capacidade UAS-CUAS'!$D$4:$D$81,MATCH($B258,'Capacidade UAS-CUAS'!$E$4:$E$81,0)),"")</f>
        <v/>
      </c>
      <c r="F258" s="72"/>
      <c r="G258" s="72"/>
      <c r="H258" s="72"/>
      <c r="I258" s="72"/>
      <c r="J258" s="73"/>
      <c r="K258" s="73"/>
    </row>
    <row r="259" spans="1:11" x14ac:dyDescent="0.25">
      <c r="A259" s="71"/>
      <c r="B259" s="72"/>
      <c r="C259" s="67" t="str">
        <f>IFERROR(INDEX('Capacidade UAS-CUAS'!$F$4:$F$81,MATCH($B259,'Capacidade UAS-CUAS'!$E$4:$E$81,0)),"")</f>
        <v/>
      </c>
      <c r="D259" s="67" t="str">
        <f>IFERROR(INDEX('Capacidade UAS-CUAS'!$B$4:$B$81,MATCH($B259,'Capacidade UAS-CUAS'!$E$4:$E$81,0)),"")</f>
        <v/>
      </c>
      <c r="E259" s="68" t="str">
        <f>IFERROR(INDEX('Capacidade UAS-CUAS'!$D$4:$D$81,MATCH($B259,'Capacidade UAS-CUAS'!$E$4:$E$81,0)),"")</f>
        <v/>
      </c>
      <c r="F259" s="72"/>
      <c r="G259" s="72"/>
      <c r="H259" s="72"/>
      <c r="I259" s="72"/>
      <c r="J259" s="73"/>
      <c r="K259" s="73"/>
    </row>
    <row r="260" spans="1:11" x14ac:dyDescent="0.25">
      <c r="A260" s="71"/>
      <c r="B260" s="72"/>
      <c r="C260" s="67" t="str">
        <f>IFERROR(INDEX('Capacidade UAS-CUAS'!$F$4:$F$81,MATCH($B260,'Capacidade UAS-CUAS'!$E$4:$E$81,0)),"")</f>
        <v/>
      </c>
      <c r="D260" s="67" t="str">
        <f>IFERROR(INDEX('Capacidade UAS-CUAS'!$B$4:$B$81,MATCH($B260,'Capacidade UAS-CUAS'!$E$4:$E$81,0)),"")</f>
        <v/>
      </c>
      <c r="E260" s="68" t="str">
        <f>IFERROR(INDEX('Capacidade UAS-CUAS'!$D$4:$D$81,MATCH($B260,'Capacidade UAS-CUAS'!$E$4:$E$81,0)),"")</f>
        <v/>
      </c>
      <c r="F260" s="72"/>
      <c r="G260" s="72"/>
      <c r="H260" s="72"/>
      <c r="I260" s="72"/>
      <c r="J260" s="73"/>
      <c r="K260" s="73"/>
    </row>
    <row r="261" spans="1:11" x14ac:dyDescent="0.25">
      <c r="A261" s="71"/>
      <c r="B261" s="72"/>
      <c r="C261" s="67" t="str">
        <f>IFERROR(INDEX('Capacidade UAS-CUAS'!$F$4:$F$81,MATCH($B261,'Capacidade UAS-CUAS'!$E$4:$E$81,0)),"")</f>
        <v/>
      </c>
      <c r="D261" s="67" t="str">
        <f>IFERROR(INDEX('Capacidade UAS-CUAS'!$B$4:$B$81,MATCH($B261,'Capacidade UAS-CUAS'!$E$4:$E$81,0)),"")</f>
        <v/>
      </c>
      <c r="E261" s="68" t="str">
        <f>IFERROR(INDEX('Capacidade UAS-CUAS'!$D$4:$D$81,MATCH($B261,'Capacidade UAS-CUAS'!$E$4:$E$81,0)),"")</f>
        <v/>
      </c>
      <c r="F261" s="72"/>
      <c r="G261" s="72"/>
      <c r="H261" s="72"/>
      <c r="I261" s="72"/>
      <c r="J261" s="73"/>
      <c r="K261" s="73"/>
    </row>
    <row r="262" spans="1:11" x14ac:dyDescent="0.25">
      <c r="A262" s="71"/>
      <c r="B262" s="72"/>
      <c r="C262" s="67" t="str">
        <f>IFERROR(INDEX('Capacidade UAS-CUAS'!$F$4:$F$81,MATCH($B262,'Capacidade UAS-CUAS'!$E$4:$E$81,0)),"")</f>
        <v/>
      </c>
      <c r="D262" s="67" t="str">
        <f>IFERROR(INDEX('Capacidade UAS-CUAS'!$B$4:$B$81,MATCH($B262,'Capacidade UAS-CUAS'!$E$4:$E$81,0)),"")</f>
        <v/>
      </c>
      <c r="E262" s="68" t="str">
        <f>IFERROR(INDEX('Capacidade UAS-CUAS'!$D$4:$D$81,MATCH($B262,'Capacidade UAS-CUAS'!$E$4:$E$81,0)),"")</f>
        <v/>
      </c>
      <c r="F262" s="72"/>
      <c r="G262" s="72"/>
      <c r="H262" s="72"/>
      <c r="I262" s="72"/>
      <c r="J262" s="73"/>
      <c r="K262" s="73"/>
    </row>
    <row r="263" spans="1:11" x14ac:dyDescent="0.25">
      <c r="A263" s="71"/>
      <c r="B263" s="72"/>
      <c r="C263" s="67" t="str">
        <f>IFERROR(INDEX('Capacidade UAS-CUAS'!$F$4:$F$81,MATCH($B263,'Capacidade UAS-CUAS'!$E$4:$E$81,0)),"")</f>
        <v/>
      </c>
      <c r="D263" s="67" t="str">
        <f>IFERROR(INDEX('Capacidade UAS-CUAS'!$B$4:$B$81,MATCH($B263,'Capacidade UAS-CUAS'!$E$4:$E$81,0)),"")</f>
        <v/>
      </c>
      <c r="E263" s="68" t="str">
        <f>IFERROR(INDEX('Capacidade UAS-CUAS'!$D$4:$D$81,MATCH($B263,'Capacidade UAS-CUAS'!$E$4:$E$81,0)),"")</f>
        <v/>
      </c>
      <c r="F263" s="72"/>
      <c r="G263" s="72"/>
      <c r="H263" s="72"/>
      <c r="I263" s="72"/>
      <c r="J263" s="73"/>
      <c r="K263" s="73"/>
    </row>
    <row r="264" spans="1:11" x14ac:dyDescent="0.25">
      <c r="A264" s="71"/>
      <c r="B264" s="72"/>
      <c r="C264" s="67" t="str">
        <f>IFERROR(INDEX('Capacidade UAS-CUAS'!$F$4:$F$81,MATCH($B264,'Capacidade UAS-CUAS'!$E$4:$E$81,0)),"")</f>
        <v/>
      </c>
      <c r="D264" s="67" t="str">
        <f>IFERROR(INDEX('Capacidade UAS-CUAS'!$B$4:$B$81,MATCH($B264,'Capacidade UAS-CUAS'!$E$4:$E$81,0)),"")</f>
        <v/>
      </c>
      <c r="E264" s="68" t="str">
        <f>IFERROR(INDEX('Capacidade UAS-CUAS'!$D$4:$D$81,MATCH($B264,'Capacidade UAS-CUAS'!$E$4:$E$81,0)),"")</f>
        <v/>
      </c>
      <c r="F264" s="72"/>
      <c r="G264" s="72"/>
      <c r="H264" s="72"/>
      <c r="I264" s="72"/>
      <c r="J264" s="73"/>
      <c r="K264" s="73"/>
    </row>
    <row r="265" spans="1:11" x14ac:dyDescent="0.25">
      <c r="A265" s="71"/>
      <c r="B265" s="72"/>
      <c r="C265" s="67" t="str">
        <f>IFERROR(INDEX('Capacidade UAS-CUAS'!$F$4:$F$81,MATCH($B265,'Capacidade UAS-CUAS'!$E$4:$E$81,0)),"")</f>
        <v/>
      </c>
      <c r="D265" s="67" t="str">
        <f>IFERROR(INDEX('Capacidade UAS-CUAS'!$B$4:$B$81,MATCH($B265,'Capacidade UAS-CUAS'!$E$4:$E$81,0)),"")</f>
        <v/>
      </c>
      <c r="E265" s="68" t="str">
        <f>IFERROR(INDEX('Capacidade UAS-CUAS'!$D$4:$D$81,MATCH($B265,'Capacidade UAS-CUAS'!$E$4:$E$81,0)),"")</f>
        <v/>
      </c>
      <c r="F265" s="72"/>
      <c r="G265" s="72"/>
      <c r="H265" s="72"/>
      <c r="I265" s="72"/>
      <c r="J265" s="73"/>
      <c r="K265" s="73"/>
    </row>
    <row r="266" spans="1:11" x14ac:dyDescent="0.25">
      <c r="A266" s="71"/>
      <c r="B266" s="72"/>
      <c r="C266" s="67" t="str">
        <f>IFERROR(INDEX('Capacidade UAS-CUAS'!$F$4:$F$81,MATCH($B266,'Capacidade UAS-CUAS'!$E$4:$E$81,0)),"")</f>
        <v/>
      </c>
      <c r="D266" s="67" t="str">
        <f>IFERROR(INDEX('Capacidade UAS-CUAS'!$B$4:$B$81,MATCH($B266,'Capacidade UAS-CUAS'!$E$4:$E$81,0)),"")</f>
        <v/>
      </c>
      <c r="E266" s="68" t="str">
        <f>IFERROR(INDEX('Capacidade UAS-CUAS'!$D$4:$D$81,MATCH($B266,'Capacidade UAS-CUAS'!$E$4:$E$81,0)),"")</f>
        <v/>
      </c>
      <c r="F266" s="72"/>
      <c r="G266" s="72"/>
      <c r="H266" s="72"/>
      <c r="I266" s="72"/>
      <c r="J266" s="73"/>
      <c r="K266" s="73"/>
    </row>
    <row r="267" spans="1:11" x14ac:dyDescent="0.25">
      <c r="A267" s="71"/>
      <c r="B267" s="72"/>
      <c r="C267" s="67" t="str">
        <f>IFERROR(INDEX('Capacidade UAS-CUAS'!$F$4:$F$81,MATCH($B267,'Capacidade UAS-CUAS'!$E$4:$E$81,0)),"")</f>
        <v/>
      </c>
      <c r="D267" s="67" t="str">
        <f>IFERROR(INDEX('Capacidade UAS-CUAS'!$B$4:$B$81,MATCH($B267,'Capacidade UAS-CUAS'!$E$4:$E$81,0)),"")</f>
        <v/>
      </c>
      <c r="E267" s="68" t="str">
        <f>IFERROR(INDEX('Capacidade UAS-CUAS'!$D$4:$D$81,MATCH($B267,'Capacidade UAS-CUAS'!$E$4:$E$81,0)),"")</f>
        <v/>
      </c>
      <c r="F267" s="72"/>
      <c r="G267" s="72"/>
      <c r="H267" s="72"/>
      <c r="I267" s="72"/>
      <c r="J267" s="73"/>
      <c r="K267" s="73"/>
    </row>
    <row r="268" spans="1:11" x14ac:dyDescent="0.25">
      <c r="A268" s="71"/>
      <c r="B268" s="72"/>
      <c r="C268" s="67" t="str">
        <f>IFERROR(INDEX('Capacidade UAS-CUAS'!$F$4:$F$81,MATCH($B268,'Capacidade UAS-CUAS'!$E$4:$E$81,0)),"")</f>
        <v/>
      </c>
      <c r="D268" s="67" t="str">
        <f>IFERROR(INDEX('Capacidade UAS-CUAS'!$B$4:$B$81,MATCH($B268,'Capacidade UAS-CUAS'!$E$4:$E$81,0)),"")</f>
        <v/>
      </c>
      <c r="E268" s="68" t="str">
        <f>IFERROR(INDEX('Capacidade UAS-CUAS'!$D$4:$D$81,MATCH($B268,'Capacidade UAS-CUAS'!$E$4:$E$81,0)),"")</f>
        <v/>
      </c>
      <c r="F268" s="72"/>
      <c r="G268" s="72"/>
      <c r="H268" s="72"/>
      <c r="I268" s="72"/>
      <c r="J268" s="73"/>
      <c r="K268" s="73"/>
    </row>
    <row r="269" spans="1:11" x14ac:dyDescent="0.25">
      <c r="A269" s="71"/>
      <c r="B269" s="72"/>
      <c r="C269" s="67" t="str">
        <f>IFERROR(INDEX('Capacidade UAS-CUAS'!$F$4:$F$81,MATCH($B269,'Capacidade UAS-CUAS'!$E$4:$E$81,0)),"")</f>
        <v/>
      </c>
      <c r="D269" s="67" t="str">
        <f>IFERROR(INDEX('Capacidade UAS-CUAS'!$B$4:$B$81,MATCH($B269,'Capacidade UAS-CUAS'!$E$4:$E$81,0)),"")</f>
        <v/>
      </c>
      <c r="E269" s="68" t="str">
        <f>IFERROR(INDEX('Capacidade UAS-CUAS'!$D$4:$D$81,MATCH($B269,'Capacidade UAS-CUAS'!$E$4:$E$81,0)),"")</f>
        <v/>
      </c>
      <c r="F269" s="72"/>
      <c r="G269" s="72"/>
      <c r="H269" s="72"/>
      <c r="I269" s="72"/>
      <c r="J269" s="73"/>
      <c r="K269" s="73"/>
    </row>
    <row r="270" spans="1:11" x14ac:dyDescent="0.25">
      <c r="A270" s="71"/>
      <c r="B270" s="72"/>
      <c r="C270" s="67" t="str">
        <f>IFERROR(INDEX('Capacidade UAS-CUAS'!$F$4:$F$81,MATCH($B270,'Capacidade UAS-CUAS'!$E$4:$E$81,0)),"")</f>
        <v/>
      </c>
      <c r="D270" s="67" t="str">
        <f>IFERROR(INDEX('Capacidade UAS-CUAS'!$B$4:$B$81,MATCH($B270,'Capacidade UAS-CUAS'!$E$4:$E$81,0)),"")</f>
        <v/>
      </c>
      <c r="E270" s="68" t="str">
        <f>IFERROR(INDEX('Capacidade UAS-CUAS'!$D$4:$D$81,MATCH($B270,'Capacidade UAS-CUAS'!$E$4:$E$81,0)),"")</f>
        <v/>
      </c>
      <c r="F270" s="72"/>
      <c r="G270" s="72"/>
      <c r="H270" s="72"/>
      <c r="I270" s="72"/>
      <c r="J270" s="73"/>
      <c r="K270" s="73"/>
    </row>
    <row r="271" spans="1:11" x14ac:dyDescent="0.25">
      <c r="A271" s="71"/>
      <c r="B271" s="72"/>
      <c r="C271" s="67" t="str">
        <f>IFERROR(INDEX('Capacidade UAS-CUAS'!$F$4:$F$81,MATCH($B271,'Capacidade UAS-CUAS'!$E$4:$E$81,0)),"")</f>
        <v/>
      </c>
      <c r="D271" s="67" t="str">
        <f>IFERROR(INDEX('Capacidade UAS-CUAS'!$B$4:$B$81,MATCH($B271,'Capacidade UAS-CUAS'!$E$4:$E$81,0)),"")</f>
        <v/>
      </c>
      <c r="E271" s="68" t="str">
        <f>IFERROR(INDEX('Capacidade UAS-CUAS'!$D$4:$D$81,MATCH($B271,'Capacidade UAS-CUAS'!$E$4:$E$81,0)),"")</f>
        <v/>
      </c>
      <c r="F271" s="72"/>
      <c r="G271" s="72"/>
      <c r="H271" s="72"/>
      <c r="I271" s="72"/>
      <c r="J271" s="73"/>
      <c r="K271" s="73"/>
    </row>
    <row r="272" spans="1:11" x14ac:dyDescent="0.25">
      <c r="A272" s="71"/>
      <c r="B272" s="72"/>
      <c r="C272" s="67" t="str">
        <f>IFERROR(INDEX('Capacidade UAS-CUAS'!$F$4:$F$81,MATCH($B272,'Capacidade UAS-CUAS'!$E$4:$E$81,0)),"")</f>
        <v/>
      </c>
      <c r="D272" s="67" t="str">
        <f>IFERROR(INDEX('Capacidade UAS-CUAS'!$B$4:$B$81,MATCH($B272,'Capacidade UAS-CUAS'!$E$4:$E$81,0)),"")</f>
        <v/>
      </c>
      <c r="E272" s="68" t="str">
        <f>IFERROR(INDEX('Capacidade UAS-CUAS'!$D$4:$D$81,MATCH($B272,'Capacidade UAS-CUAS'!$E$4:$E$81,0)),"")</f>
        <v/>
      </c>
      <c r="F272" s="72"/>
      <c r="G272" s="72"/>
      <c r="H272" s="72"/>
      <c r="I272" s="72"/>
      <c r="J272" s="73"/>
      <c r="K272" s="73"/>
    </row>
    <row r="273" spans="1:11" x14ac:dyDescent="0.25">
      <c r="A273" s="71"/>
      <c r="B273" s="72"/>
      <c r="C273" s="67" t="str">
        <f>IFERROR(INDEX('Capacidade UAS-CUAS'!$F$4:$F$81,MATCH($B273,'Capacidade UAS-CUAS'!$E$4:$E$81,0)),"")</f>
        <v/>
      </c>
      <c r="D273" s="67" t="str">
        <f>IFERROR(INDEX('Capacidade UAS-CUAS'!$B$4:$B$81,MATCH($B273,'Capacidade UAS-CUAS'!$E$4:$E$81,0)),"")</f>
        <v/>
      </c>
      <c r="E273" s="68" t="str">
        <f>IFERROR(INDEX('Capacidade UAS-CUAS'!$D$4:$D$81,MATCH($B273,'Capacidade UAS-CUAS'!$E$4:$E$81,0)),"")</f>
        <v/>
      </c>
      <c r="F273" s="72"/>
      <c r="G273" s="72"/>
      <c r="H273" s="72"/>
      <c r="I273" s="72"/>
      <c r="J273" s="73"/>
      <c r="K273" s="73"/>
    </row>
    <row r="274" spans="1:11" x14ac:dyDescent="0.25">
      <c r="A274" s="71"/>
      <c r="B274" s="72"/>
      <c r="C274" s="67" t="str">
        <f>IFERROR(INDEX('Capacidade UAS-CUAS'!$F$4:$F$81,MATCH($B274,'Capacidade UAS-CUAS'!$E$4:$E$81,0)),"")</f>
        <v/>
      </c>
      <c r="D274" s="67" t="str">
        <f>IFERROR(INDEX('Capacidade UAS-CUAS'!$B$4:$B$81,MATCH($B274,'Capacidade UAS-CUAS'!$E$4:$E$81,0)),"")</f>
        <v/>
      </c>
      <c r="E274" s="68" t="str">
        <f>IFERROR(INDEX('Capacidade UAS-CUAS'!$D$4:$D$81,MATCH($B274,'Capacidade UAS-CUAS'!$E$4:$E$81,0)),"")</f>
        <v/>
      </c>
      <c r="F274" s="72"/>
      <c r="G274" s="72"/>
      <c r="H274" s="72"/>
      <c r="I274" s="72"/>
      <c r="J274" s="73"/>
      <c r="K274" s="73"/>
    </row>
    <row r="275" spans="1:11" x14ac:dyDescent="0.25">
      <c r="A275" s="71"/>
      <c r="B275" s="72"/>
      <c r="C275" s="67" t="str">
        <f>IFERROR(INDEX('Capacidade UAS-CUAS'!$F$4:$F$81,MATCH($B275,'Capacidade UAS-CUAS'!$E$4:$E$81,0)),"")</f>
        <v/>
      </c>
      <c r="D275" s="67" t="str">
        <f>IFERROR(INDEX('Capacidade UAS-CUAS'!$B$4:$B$81,MATCH($B275,'Capacidade UAS-CUAS'!$E$4:$E$81,0)),"")</f>
        <v/>
      </c>
      <c r="E275" s="68" t="str">
        <f>IFERROR(INDEX('Capacidade UAS-CUAS'!$D$4:$D$81,MATCH($B275,'Capacidade UAS-CUAS'!$E$4:$E$81,0)),"")</f>
        <v/>
      </c>
      <c r="F275" s="72"/>
      <c r="G275" s="72"/>
      <c r="H275" s="72"/>
      <c r="I275" s="72"/>
      <c r="J275" s="73"/>
      <c r="K275" s="73"/>
    </row>
    <row r="276" spans="1:11" x14ac:dyDescent="0.25">
      <c r="A276" s="71"/>
      <c r="B276" s="72"/>
      <c r="C276" s="67" t="str">
        <f>IFERROR(INDEX('Capacidade UAS-CUAS'!$F$4:$F$81,MATCH($B276,'Capacidade UAS-CUAS'!$E$4:$E$81,0)),"")</f>
        <v/>
      </c>
      <c r="D276" s="67" t="str">
        <f>IFERROR(INDEX('Capacidade UAS-CUAS'!$B$4:$B$81,MATCH($B276,'Capacidade UAS-CUAS'!$E$4:$E$81,0)),"")</f>
        <v/>
      </c>
      <c r="E276" s="68" t="str">
        <f>IFERROR(INDEX('Capacidade UAS-CUAS'!$D$4:$D$81,MATCH($B276,'Capacidade UAS-CUAS'!$E$4:$E$81,0)),"")</f>
        <v/>
      </c>
      <c r="F276" s="72"/>
      <c r="G276" s="72"/>
      <c r="H276" s="72"/>
      <c r="I276" s="72"/>
      <c r="J276" s="73"/>
      <c r="K276" s="73"/>
    </row>
    <row r="277" spans="1:11" x14ac:dyDescent="0.25">
      <c r="A277" s="71"/>
      <c r="B277" s="72"/>
      <c r="C277" s="67" t="str">
        <f>IFERROR(INDEX('Capacidade UAS-CUAS'!$F$4:$F$81,MATCH($B277,'Capacidade UAS-CUAS'!$E$4:$E$81,0)),"")</f>
        <v/>
      </c>
      <c r="D277" s="67" t="str">
        <f>IFERROR(INDEX('Capacidade UAS-CUAS'!$B$4:$B$81,MATCH($B277,'Capacidade UAS-CUAS'!$E$4:$E$81,0)),"")</f>
        <v/>
      </c>
      <c r="E277" s="68" t="str">
        <f>IFERROR(INDEX('Capacidade UAS-CUAS'!$D$4:$D$81,MATCH($B277,'Capacidade UAS-CUAS'!$E$4:$E$81,0)),"")</f>
        <v/>
      </c>
      <c r="F277" s="72"/>
      <c r="G277" s="72"/>
      <c r="H277" s="72"/>
      <c r="I277" s="72"/>
      <c r="J277" s="73"/>
      <c r="K277" s="73"/>
    </row>
    <row r="278" spans="1:11" x14ac:dyDescent="0.25">
      <c r="A278" s="71"/>
      <c r="B278" s="72"/>
      <c r="C278" s="67" t="str">
        <f>IFERROR(INDEX('Capacidade UAS-CUAS'!$F$4:$F$81,MATCH($B278,'Capacidade UAS-CUAS'!$E$4:$E$81,0)),"")</f>
        <v/>
      </c>
      <c r="D278" s="67" t="str">
        <f>IFERROR(INDEX('Capacidade UAS-CUAS'!$B$4:$B$81,MATCH($B278,'Capacidade UAS-CUAS'!$E$4:$E$81,0)),"")</f>
        <v/>
      </c>
      <c r="E278" s="68" t="str">
        <f>IFERROR(INDEX('Capacidade UAS-CUAS'!$D$4:$D$81,MATCH($B278,'Capacidade UAS-CUAS'!$E$4:$E$81,0)),"")</f>
        <v/>
      </c>
      <c r="F278" s="72"/>
      <c r="G278" s="72"/>
      <c r="H278" s="72"/>
      <c r="I278" s="72"/>
      <c r="J278" s="73"/>
      <c r="K278" s="73"/>
    </row>
    <row r="279" spans="1:11" x14ac:dyDescent="0.25">
      <c r="A279" s="71"/>
      <c r="B279" s="72"/>
      <c r="C279" s="67" t="str">
        <f>IFERROR(INDEX('Capacidade UAS-CUAS'!$F$4:$F$81,MATCH($B279,'Capacidade UAS-CUAS'!$E$4:$E$81,0)),"")</f>
        <v/>
      </c>
      <c r="D279" s="67" t="str">
        <f>IFERROR(INDEX('Capacidade UAS-CUAS'!$B$4:$B$81,MATCH($B279,'Capacidade UAS-CUAS'!$E$4:$E$81,0)),"")</f>
        <v/>
      </c>
      <c r="E279" s="68" t="str">
        <f>IFERROR(INDEX('Capacidade UAS-CUAS'!$D$4:$D$81,MATCH($B279,'Capacidade UAS-CUAS'!$E$4:$E$81,0)),"")</f>
        <v/>
      </c>
      <c r="F279" s="72"/>
      <c r="G279" s="72"/>
      <c r="H279" s="72"/>
      <c r="I279" s="72"/>
      <c r="J279" s="73"/>
      <c r="K279" s="73"/>
    </row>
    <row r="280" spans="1:11" x14ac:dyDescent="0.25">
      <c r="A280" s="71"/>
      <c r="B280" s="72"/>
      <c r="C280" s="67" t="str">
        <f>IFERROR(INDEX('Capacidade UAS-CUAS'!$F$4:$F$81,MATCH($B280,'Capacidade UAS-CUAS'!$E$4:$E$81,0)),"")</f>
        <v/>
      </c>
      <c r="D280" s="67" t="str">
        <f>IFERROR(INDEX('Capacidade UAS-CUAS'!$B$4:$B$81,MATCH($B280,'Capacidade UAS-CUAS'!$E$4:$E$81,0)),"")</f>
        <v/>
      </c>
      <c r="E280" s="68" t="str">
        <f>IFERROR(INDEX('Capacidade UAS-CUAS'!$D$4:$D$81,MATCH($B280,'Capacidade UAS-CUAS'!$E$4:$E$81,0)),"")</f>
        <v/>
      </c>
      <c r="F280" s="72"/>
      <c r="G280" s="72"/>
      <c r="H280" s="72"/>
      <c r="I280" s="72"/>
      <c r="J280" s="73"/>
      <c r="K280" s="73"/>
    </row>
    <row r="281" spans="1:11" x14ac:dyDescent="0.25">
      <c r="A281" s="71"/>
      <c r="B281" s="72"/>
      <c r="C281" s="67" t="str">
        <f>IFERROR(INDEX('Capacidade UAS-CUAS'!$F$4:$F$81,MATCH($B281,'Capacidade UAS-CUAS'!$E$4:$E$81,0)),"")</f>
        <v/>
      </c>
      <c r="D281" s="67" t="str">
        <f>IFERROR(INDEX('Capacidade UAS-CUAS'!$B$4:$B$81,MATCH($B281,'Capacidade UAS-CUAS'!$E$4:$E$81,0)),"")</f>
        <v/>
      </c>
      <c r="E281" s="68" t="str">
        <f>IFERROR(INDEX('Capacidade UAS-CUAS'!$D$4:$D$81,MATCH($B281,'Capacidade UAS-CUAS'!$E$4:$E$81,0)),"")</f>
        <v/>
      </c>
      <c r="F281" s="72"/>
      <c r="G281" s="72"/>
      <c r="H281" s="72"/>
      <c r="I281" s="72"/>
      <c r="J281" s="73"/>
      <c r="K281" s="73"/>
    </row>
    <row r="282" spans="1:11" x14ac:dyDescent="0.25">
      <c r="A282" s="71"/>
      <c r="B282" s="72"/>
      <c r="C282" s="67" t="str">
        <f>IFERROR(INDEX('Capacidade UAS-CUAS'!$F$4:$F$81,MATCH($B282,'Capacidade UAS-CUAS'!$E$4:$E$81,0)),"")</f>
        <v/>
      </c>
      <c r="D282" s="67" t="str">
        <f>IFERROR(INDEX('Capacidade UAS-CUAS'!$B$4:$B$81,MATCH($B282,'Capacidade UAS-CUAS'!$E$4:$E$81,0)),"")</f>
        <v/>
      </c>
      <c r="E282" s="68" t="str">
        <f>IFERROR(INDEX('Capacidade UAS-CUAS'!$D$4:$D$81,MATCH($B282,'Capacidade UAS-CUAS'!$E$4:$E$81,0)),"")</f>
        <v/>
      </c>
      <c r="F282" s="72"/>
      <c r="G282" s="72"/>
      <c r="H282" s="72"/>
      <c r="I282" s="72"/>
      <c r="J282" s="73"/>
      <c r="K282" s="73"/>
    </row>
    <row r="283" spans="1:11" x14ac:dyDescent="0.25">
      <c r="A283" s="71"/>
      <c r="B283" s="72"/>
      <c r="C283" s="67" t="str">
        <f>IFERROR(INDEX('Capacidade UAS-CUAS'!$F$4:$F$81,MATCH($B283,'Capacidade UAS-CUAS'!$E$4:$E$81,0)),"")</f>
        <v/>
      </c>
      <c r="D283" s="67" t="str">
        <f>IFERROR(INDEX('Capacidade UAS-CUAS'!$B$4:$B$81,MATCH($B283,'Capacidade UAS-CUAS'!$E$4:$E$81,0)),"")</f>
        <v/>
      </c>
      <c r="E283" s="68" t="str">
        <f>IFERROR(INDEX('Capacidade UAS-CUAS'!$D$4:$D$81,MATCH($B283,'Capacidade UAS-CUAS'!$E$4:$E$81,0)),"")</f>
        <v/>
      </c>
      <c r="F283" s="72"/>
      <c r="G283" s="72"/>
      <c r="H283" s="72"/>
      <c r="I283" s="72"/>
      <c r="J283" s="73"/>
      <c r="K283" s="73"/>
    </row>
    <row r="284" spans="1:11" x14ac:dyDescent="0.25">
      <c r="A284" s="71"/>
      <c r="B284" s="72"/>
      <c r="C284" s="67" t="str">
        <f>IFERROR(INDEX('Capacidade UAS-CUAS'!$F$4:$F$81,MATCH($B284,'Capacidade UAS-CUAS'!$E$4:$E$81,0)),"")</f>
        <v/>
      </c>
      <c r="D284" s="67" t="str">
        <f>IFERROR(INDEX('Capacidade UAS-CUAS'!$B$4:$B$81,MATCH($B284,'Capacidade UAS-CUAS'!$E$4:$E$81,0)),"")</f>
        <v/>
      </c>
      <c r="E284" s="68" t="str">
        <f>IFERROR(INDEX('Capacidade UAS-CUAS'!$D$4:$D$81,MATCH($B284,'Capacidade UAS-CUAS'!$E$4:$E$81,0)),"")</f>
        <v/>
      </c>
      <c r="F284" s="72"/>
      <c r="G284" s="72"/>
      <c r="H284" s="72"/>
      <c r="I284" s="72"/>
      <c r="J284" s="73"/>
      <c r="K284" s="73"/>
    </row>
    <row r="285" spans="1:11" x14ac:dyDescent="0.25">
      <c r="A285" s="71"/>
      <c r="B285" s="72"/>
      <c r="C285" s="67" t="str">
        <f>IFERROR(INDEX('Capacidade UAS-CUAS'!$F$4:$F$81,MATCH($B285,'Capacidade UAS-CUAS'!$E$4:$E$81,0)),"")</f>
        <v/>
      </c>
      <c r="D285" s="67" t="str">
        <f>IFERROR(INDEX('Capacidade UAS-CUAS'!$B$4:$B$81,MATCH($B285,'Capacidade UAS-CUAS'!$E$4:$E$81,0)),"")</f>
        <v/>
      </c>
      <c r="E285" s="68" t="str">
        <f>IFERROR(INDEX('Capacidade UAS-CUAS'!$D$4:$D$81,MATCH($B285,'Capacidade UAS-CUAS'!$E$4:$E$81,0)),"")</f>
        <v/>
      </c>
      <c r="F285" s="72"/>
      <c r="G285" s="72"/>
      <c r="H285" s="72"/>
      <c r="I285" s="72"/>
      <c r="J285" s="73"/>
      <c r="K285" s="73"/>
    </row>
    <row r="286" spans="1:11" x14ac:dyDescent="0.25">
      <c r="A286" s="71"/>
      <c r="B286" s="72"/>
      <c r="C286" s="67" t="str">
        <f>IFERROR(INDEX('Capacidade UAS-CUAS'!$F$4:$F$81,MATCH($B286,'Capacidade UAS-CUAS'!$E$4:$E$81,0)),"")</f>
        <v/>
      </c>
      <c r="D286" s="67" t="str">
        <f>IFERROR(INDEX('Capacidade UAS-CUAS'!$B$4:$B$81,MATCH($B286,'Capacidade UAS-CUAS'!$E$4:$E$81,0)),"")</f>
        <v/>
      </c>
      <c r="E286" s="68" t="str">
        <f>IFERROR(INDEX('Capacidade UAS-CUAS'!$D$4:$D$81,MATCH($B286,'Capacidade UAS-CUAS'!$E$4:$E$81,0)),"")</f>
        <v/>
      </c>
      <c r="F286" s="72"/>
      <c r="G286" s="72"/>
      <c r="H286" s="72"/>
      <c r="I286" s="72"/>
      <c r="J286" s="73"/>
      <c r="K286" s="73"/>
    </row>
    <row r="287" spans="1:11" x14ac:dyDescent="0.25">
      <c r="A287" s="71"/>
      <c r="B287" s="72"/>
      <c r="C287" s="67" t="str">
        <f>IFERROR(INDEX('Capacidade UAS-CUAS'!$F$4:$F$81,MATCH($B287,'Capacidade UAS-CUAS'!$E$4:$E$81,0)),"")</f>
        <v/>
      </c>
      <c r="D287" s="67" t="str">
        <f>IFERROR(INDEX('Capacidade UAS-CUAS'!$B$4:$B$81,MATCH($B287,'Capacidade UAS-CUAS'!$E$4:$E$81,0)),"")</f>
        <v/>
      </c>
      <c r="E287" s="68" t="str">
        <f>IFERROR(INDEX('Capacidade UAS-CUAS'!$D$4:$D$81,MATCH($B287,'Capacidade UAS-CUAS'!$E$4:$E$81,0)),"")</f>
        <v/>
      </c>
      <c r="F287" s="72"/>
      <c r="G287" s="72"/>
      <c r="H287" s="72"/>
      <c r="I287" s="72"/>
      <c r="J287" s="73"/>
      <c r="K287" s="73"/>
    </row>
    <row r="288" spans="1:11" x14ac:dyDescent="0.25">
      <c r="A288" s="71"/>
      <c r="B288" s="72"/>
      <c r="C288" s="67" t="str">
        <f>IFERROR(INDEX('Capacidade UAS-CUAS'!$F$4:$F$81,MATCH($B288,'Capacidade UAS-CUAS'!$E$4:$E$81,0)),"")</f>
        <v/>
      </c>
      <c r="D288" s="67" t="str">
        <f>IFERROR(INDEX('Capacidade UAS-CUAS'!$B$4:$B$81,MATCH($B288,'Capacidade UAS-CUAS'!$E$4:$E$81,0)),"")</f>
        <v/>
      </c>
      <c r="E288" s="68" t="str">
        <f>IFERROR(INDEX('Capacidade UAS-CUAS'!$D$4:$D$81,MATCH($B288,'Capacidade UAS-CUAS'!$E$4:$E$81,0)),"")</f>
        <v/>
      </c>
      <c r="F288" s="72"/>
      <c r="G288" s="72"/>
      <c r="H288" s="72"/>
      <c r="I288" s="72"/>
      <c r="J288" s="73"/>
      <c r="K288" s="73"/>
    </row>
    <row r="289" spans="1:11" x14ac:dyDescent="0.25">
      <c r="A289" s="71"/>
      <c r="B289" s="72"/>
      <c r="C289" s="67" t="str">
        <f>IFERROR(INDEX('Capacidade UAS-CUAS'!$F$4:$F$81,MATCH($B289,'Capacidade UAS-CUAS'!$E$4:$E$81,0)),"")</f>
        <v/>
      </c>
      <c r="D289" s="67" t="str">
        <f>IFERROR(INDEX('Capacidade UAS-CUAS'!$B$4:$B$81,MATCH($B289,'Capacidade UAS-CUAS'!$E$4:$E$81,0)),"")</f>
        <v/>
      </c>
      <c r="E289" s="68" t="str">
        <f>IFERROR(INDEX('Capacidade UAS-CUAS'!$D$4:$D$81,MATCH($B289,'Capacidade UAS-CUAS'!$E$4:$E$81,0)),"")</f>
        <v/>
      </c>
      <c r="F289" s="72"/>
      <c r="G289" s="72"/>
      <c r="H289" s="72"/>
      <c r="I289" s="72"/>
      <c r="J289" s="73"/>
      <c r="K289" s="73"/>
    </row>
    <row r="290" spans="1:11" x14ac:dyDescent="0.25">
      <c r="A290" s="71"/>
      <c r="B290" s="72"/>
      <c r="C290" s="67" t="str">
        <f>IFERROR(INDEX('Capacidade UAS-CUAS'!$F$4:$F$81,MATCH($B290,'Capacidade UAS-CUAS'!$E$4:$E$81,0)),"")</f>
        <v/>
      </c>
      <c r="D290" s="67" t="str">
        <f>IFERROR(INDEX('Capacidade UAS-CUAS'!$B$4:$B$81,MATCH($B290,'Capacidade UAS-CUAS'!$E$4:$E$81,0)),"")</f>
        <v/>
      </c>
      <c r="E290" s="68" t="str">
        <f>IFERROR(INDEX('Capacidade UAS-CUAS'!$D$4:$D$81,MATCH($B290,'Capacidade UAS-CUAS'!$E$4:$E$81,0)),"")</f>
        <v/>
      </c>
      <c r="F290" s="72"/>
      <c r="G290" s="72"/>
      <c r="H290" s="72"/>
      <c r="I290" s="72"/>
      <c r="J290" s="73"/>
      <c r="K290" s="73"/>
    </row>
    <row r="291" spans="1:11" x14ac:dyDescent="0.25">
      <c r="A291" s="71"/>
      <c r="B291" s="72"/>
      <c r="C291" s="67" t="str">
        <f>IFERROR(INDEX('Capacidade UAS-CUAS'!$F$4:$F$81,MATCH($B291,'Capacidade UAS-CUAS'!$E$4:$E$81,0)),"")</f>
        <v/>
      </c>
      <c r="D291" s="67" t="str">
        <f>IFERROR(INDEX('Capacidade UAS-CUAS'!$B$4:$B$81,MATCH($B291,'Capacidade UAS-CUAS'!$E$4:$E$81,0)),"")</f>
        <v/>
      </c>
      <c r="E291" s="68" t="str">
        <f>IFERROR(INDEX('Capacidade UAS-CUAS'!$D$4:$D$81,MATCH($B291,'Capacidade UAS-CUAS'!$E$4:$E$81,0)),"")</f>
        <v/>
      </c>
      <c r="F291" s="72"/>
      <c r="G291" s="72"/>
      <c r="H291" s="72"/>
      <c r="I291" s="72"/>
      <c r="J291" s="73"/>
      <c r="K291" s="73"/>
    </row>
    <row r="292" spans="1:11" x14ac:dyDescent="0.25">
      <c r="A292" s="71"/>
      <c r="B292" s="72"/>
      <c r="C292" s="67" t="str">
        <f>IFERROR(INDEX('Capacidade UAS-CUAS'!$F$4:$F$81,MATCH($B292,'Capacidade UAS-CUAS'!$E$4:$E$81,0)),"")</f>
        <v/>
      </c>
      <c r="D292" s="67" t="str">
        <f>IFERROR(INDEX('Capacidade UAS-CUAS'!$B$4:$B$81,MATCH($B292,'Capacidade UAS-CUAS'!$E$4:$E$81,0)),"")</f>
        <v/>
      </c>
      <c r="E292" s="68" t="str">
        <f>IFERROR(INDEX('Capacidade UAS-CUAS'!$D$4:$D$81,MATCH($B292,'Capacidade UAS-CUAS'!$E$4:$E$81,0)),"")</f>
        <v/>
      </c>
      <c r="F292" s="72"/>
      <c r="G292" s="72"/>
      <c r="H292" s="72"/>
      <c r="I292" s="72"/>
      <c r="J292" s="73"/>
      <c r="K292" s="73"/>
    </row>
    <row r="293" spans="1:11" x14ac:dyDescent="0.25">
      <c r="A293" s="71"/>
      <c r="B293" s="72"/>
      <c r="C293" s="67" t="str">
        <f>IFERROR(INDEX('Capacidade UAS-CUAS'!$F$4:$F$81,MATCH($B293,'Capacidade UAS-CUAS'!$E$4:$E$81,0)),"")</f>
        <v/>
      </c>
      <c r="D293" s="67" t="str">
        <f>IFERROR(INDEX('Capacidade UAS-CUAS'!$B$4:$B$81,MATCH($B293,'Capacidade UAS-CUAS'!$E$4:$E$81,0)),"")</f>
        <v/>
      </c>
      <c r="E293" s="68" t="str">
        <f>IFERROR(INDEX('Capacidade UAS-CUAS'!$D$4:$D$81,MATCH($B293,'Capacidade UAS-CUAS'!$E$4:$E$81,0)),"")</f>
        <v/>
      </c>
      <c r="F293" s="72"/>
      <c r="G293" s="72"/>
      <c r="H293" s="72"/>
      <c r="I293" s="72"/>
      <c r="J293" s="73"/>
      <c r="K293" s="73"/>
    </row>
    <row r="294" spans="1:11" x14ac:dyDescent="0.25">
      <c r="A294" s="71"/>
      <c r="B294" s="72"/>
      <c r="C294" s="67" t="str">
        <f>IFERROR(INDEX('Capacidade UAS-CUAS'!$F$4:$F$81,MATCH($B294,'Capacidade UAS-CUAS'!$E$4:$E$81,0)),"")</f>
        <v/>
      </c>
      <c r="D294" s="67" t="str">
        <f>IFERROR(INDEX('Capacidade UAS-CUAS'!$B$4:$B$81,MATCH($B294,'Capacidade UAS-CUAS'!$E$4:$E$81,0)),"")</f>
        <v/>
      </c>
      <c r="E294" s="68" t="str">
        <f>IFERROR(INDEX('Capacidade UAS-CUAS'!$D$4:$D$81,MATCH($B294,'Capacidade UAS-CUAS'!$E$4:$E$81,0)),"")</f>
        <v/>
      </c>
      <c r="F294" s="72"/>
      <c r="G294" s="72"/>
      <c r="H294" s="72"/>
      <c r="I294" s="72"/>
      <c r="J294" s="73"/>
      <c r="K294" s="73"/>
    </row>
    <row r="295" spans="1:11" x14ac:dyDescent="0.25">
      <c r="A295" s="71"/>
      <c r="B295" s="72"/>
      <c r="C295" s="67" t="str">
        <f>IFERROR(INDEX('Capacidade UAS-CUAS'!$F$4:$F$81,MATCH($B295,'Capacidade UAS-CUAS'!$E$4:$E$81,0)),"")</f>
        <v/>
      </c>
      <c r="D295" s="67" t="str">
        <f>IFERROR(INDEX('Capacidade UAS-CUAS'!$B$4:$B$81,MATCH($B295,'Capacidade UAS-CUAS'!$E$4:$E$81,0)),"")</f>
        <v/>
      </c>
      <c r="E295" s="68" t="str">
        <f>IFERROR(INDEX('Capacidade UAS-CUAS'!$D$4:$D$81,MATCH($B295,'Capacidade UAS-CUAS'!$E$4:$E$81,0)),"")</f>
        <v/>
      </c>
      <c r="F295" s="72"/>
      <c r="G295" s="72"/>
      <c r="H295" s="72"/>
      <c r="I295" s="72"/>
      <c r="J295" s="73"/>
      <c r="K295" s="73"/>
    </row>
    <row r="296" spans="1:11" x14ac:dyDescent="0.25">
      <c r="A296" s="71"/>
      <c r="B296" s="72"/>
      <c r="C296" s="67" t="str">
        <f>IFERROR(INDEX('Capacidade UAS-CUAS'!$F$4:$F$81,MATCH($B296,'Capacidade UAS-CUAS'!$E$4:$E$81,0)),"")</f>
        <v/>
      </c>
      <c r="D296" s="67" t="str">
        <f>IFERROR(INDEX('Capacidade UAS-CUAS'!$B$4:$B$81,MATCH($B296,'Capacidade UAS-CUAS'!$E$4:$E$81,0)),"")</f>
        <v/>
      </c>
      <c r="E296" s="68" t="str">
        <f>IFERROR(INDEX('Capacidade UAS-CUAS'!$D$4:$D$81,MATCH($B296,'Capacidade UAS-CUAS'!$E$4:$E$81,0)),"")</f>
        <v/>
      </c>
      <c r="F296" s="72"/>
      <c r="G296" s="72"/>
      <c r="H296" s="72"/>
      <c r="I296" s="72"/>
      <c r="J296" s="73"/>
      <c r="K296" s="73"/>
    </row>
    <row r="297" spans="1:11" x14ac:dyDescent="0.25">
      <c r="A297" s="71"/>
      <c r="B297" s="72"/>
      <c r="C297" s="67" t="str">
        <f>IFERROR(INDEX('Capacidade UAS-CUAS'!$F$4:$F$81,MATCH($B297,'Capacidade UAS-CUAS'!$E$4:$E$81,0)),"")</f>
        <v/>
      </c>
      <c r="D297" s="67" t="str">
        <f>IFERROR(INDEX('Capacidade UAS-CUAS'!$B$4:$B$81,MATCH($B297,'Capacidade UAS-CUAS'!$E$4:$E$81,0)),"")</f>
        <v/>
      </c>
      <c r="E297" s="68" t="str">
        <f>IFERROR(INDEX('Capacidade UAS-CUAS'!$D$4:$D$81,MATCH($B297,'Capacidade UAS-CUAS'!$E$4:$E$81,0)),"")</f>
        <v/>
      </c>
      <c r="F297" s="72"/>
      <c r="G297" s="72"/>
      <c r="H297" s="72"/>
      <c r="I297" s="72"/>
      <c r="J297" s="73"/>
      <c r="K297" s="73"/>
    </row>
    <row r="298" spans="1:11" x14ac:dyDescent="0.25">
      <c r="A298" s="71"/>
      <c r="B298" s="72"/>
      <c r="C298" s="67" t="str">
        <f>IFERROR(INDEX('Capacidade UAS-CUAS'!$F$4:$F$81,MATCH($B298,'Capacidade UAS-CUAS'!$E$4:$E$81,0)),"")</f>
        <v/>
      </c>
      <c r="D298" s="67" t="str">
        <f>IFERROR(INDEX('Capacidade UAS-CUAS'!$B$4:$B$81,MATCH($B298,'Capacidade UAS-CUAS'!$E$4:$E$81,0)),"")</f>
        <v/>
      </c>
      <c r="E298" s="68" t="str">
        <f>IFERROR(INDEX('Capacidade UAS-CUAS'!$D$4:$D$81,MATCH($B298,'Capacidade UAS-CUAS'!$E$4:$E$81,0)),"")</f>
        <v/>
      </c>
      <c r="F298" s="72"/>
      <c r="G298" s="72"/>
      <c r="H298" s="72"/>
      <c r="I298" s="72"/>
      <c r="J298" s="73"/>
      <c r="K298" s="73"/>
    </row>
    <row r="299" spans="1:11" x14ac:dyDescent="0.25">
      <c r="A299" s="71"/>
      <c r="B299" s="72"/>
      <c r="C299" s="67" t="str">
        <f>IFERROR(INDEX('Capacidade UAS-CUAS'!$F$4:$F$81,MATCH($B299,'Capacidade UAS-CUAS'!$E$4:$E$81,0)),"")</f>
        <v/>
      </c>
      <c r="D299" s="67" t="str">
        <f>IFERROR(INDEX('Capacidade UAS-CUAS'!$B$4:$B$81,MATCH($B299,'Capacidade UAS-CUAS'!$E$4:$E$81,0)),"")</f>
        <v/>
      </c>
      <c r="E299" s="68" t="str">
        <f>IFERROR(INDEX('Capacidade UAS-CUAS'!$D$4:$D$81,MATCH($B299,'Capacidade UAS-CUAS'!$E$4:$E$81,0)),"")</f>
        <v/>
      </c>
      <c r="F299" s="72"/>
      <c r="G299" s="72"/>
      <c r="H299" s="72"/>
      <c r="I299" s="72"/>
      <c r="J299" s="73"/>
      <c r="K299" s="73"/>
    </row>
    <row r="300" spans="1:11" x14ac:dyDescent="0.25">
      <c r="A300" s="71"/>
      <c r="B300" s="72"/>
      <c r="C300" s="67" t="str">
        <f>IFERROR(INDEX('Capacidade UAS-CUAS'!$F$4:$F$81,MATCH($B300,'Capacidade UAS-CUAS'!$E$4:$E$81,0)),"")</f>
        <v/>
      </c>
      <c r="D300" s="67" t="str">
        <f>IFERROR(INDEX('Capacidade UAS-CUAS'!$B$4:$B$81,MATCH($B300,'Capacidade UAS-CUAS'!$E$4:$E$81,0)),"")</f>
        <v/>
      </c>
      <c r="E300" s="68" t="str">
        <f>IFERROR(INDEX('Capacidade UAS-CUAS'!$D$4:$D$81,MATCH($B300,'Capacidade UAS-CUAS'!$E$4:$E$81,0)),"")</f>
        <v/>
      </c>
      <c r="F300" s="72"/>
      <c r="G300" s="72"/>
      <c r="H300" s="72"/>
      <c r="I300" s="72"/>
      <c r="J300" s="73"/>
      <c r="K300" s="73"/>
    </row>
    <row r="301" spans="1:11" x14ac:dyDescent="0.25">
      <c r="A301" s="71"/>
      <c r="B301" s="72"/>
      <c r="C301" s="67" t="str">
        <f>IFERROR(INDEX('Capacidade UAS-CUAS'!$F$4:$F$81,MATCH($B301,'Capacidade UAS-CUAS'!$E$4:$E$81,0)),"")</f>
        <v/>
      </c>
      <c r="D301" s="67" t="str">
        <f>IFERROR(INDEX('Capacidade UAS-CUAS'!$B$4:$B$81,MATCH($B301,'Capacidade UAS-CUAS'!$E$4:$E$81,0)),"")</f>
        <v/>
      </c>
      <c r="E301" s="68" t="str">
        <f>IFERROR(INDEX('Capacidade UAS-CUAS'!$D$4:$D$81,MATCH($B301,'Capacidade UAS-CUAS'!$E$4:$E$81,0)),"")</f>
        <v/>
      </c>
      <c r="F301" s="72"/>
      <c r="G301" s="72"/>
      <c r="H301" s="72"/>
      <c r="I301" s="72"/>
      <c r="J301" s="73"/>
      <c r="K301" s="73"/>
    </row>
    <row r="302" spans="1:11" x14ac:dyDescent="0.25">
      <c r="A302" s="71"/>
      <c r="B302" s="72"/>
      <c r="C302" s="67" t="str">
        <f>IFERROR(INDEX('Capacidade UAS-CUAS'!$F$4:$F$81,MATCH($B302,'Capacidade UAS-CUAS'!$E$4:$E$81,0)),"")</f>
        <v/>
      </c>
      <c r="D302" s="67" t="str">
        <f>IFERROR(INDEX('Capacidade UAS-CUAS'!$B$4:$B$81,MATCH($B302,'Capacidade UAS-CUAS'!$E$4:$E$81,0)),"")</f>
        <v/>
      </c>
      <c r="E302" s="68" t="str">
        <f>IFERROR(INDEX('Capacidade UAS-CUAS'!$D$4:$D$81,MATCH($B302,'Capacidade UAS-CUAS'!$E$4:$E$81,0)),"")</f>
        <v/>
      </c>
      <c r="F302" s="72"/>
      <c r="G302" s="72"/>
      <c r="H302" s="72"/>
      <c r="I302" s="72"/>
      <c r="J302" s="73"/>
      <c r="K302" s="73"/>
    </row>
    <row r="303" spans="1:11" x14ac:dyDescent="0.25">
      <c r="A303" s="71"/>
      <c r="B303" s="72"/>
      <c r="C303" s="67" t="str">
        <f>IFERROR(INDEX('Capacidade UAS-CUAS'!$F$4:$F$81,MATCH($B303,'Capacidade UAS-CUAS'!$E$4:$E$81,0)),"")</f>
        <v/>
      </c>
      <c r="D303" s="67" t="str">
        <f>IFERROR(INDEX('Capacidade UAS-CUAS'!$B$4:$B$81,MATCH($B303,'Capacidade UAS-CUAS'!$E$4:$E$81,0)),"")</f>
        <v/>
      </c>
      <c r="E303" s="68" t="str">
        <f>IFERROR(INDEX('Capacidade UAS-CUAS'!$D$4:$D$81,MATCH($B303,'Capacidade UAS-CUAS'!$E$4:$E$81,0)),"")</f>
        <v/>
      </c>
      <c r="F303" s="72"/>
      <c r="G303" s="72"/>
      <c r="H303" s="72"/>
      <c r="I303" s="72"/>
      <c r="J303" s="73"/>
      <c r="K303" s="73"/>
    </row>
    <row r="304" spans="1:11" x14ac:dyDescent="0.25">
      <c r="A304" s="71"/>
      <c r="B304" s="72"/>
      <c r="C304" s="67" t="str">
        <f>IFERROR(INDEX('Capacidade UAS-CUAS'!$F$4:$F$81,MATCH($B304,'Capacidade UAS-CUAS'!$E$4:$E$81,0)),"")</f>
        <v/>
      </c>
      <c r="D304" s="67" t="str">
        <f>IFERROR(INDEX('Capacidade UAS-CUAS'!$B$4:$B$81,MATCH($B304,'Capacidade UAS-CUAS'!$E$4:$E$81,0)),"")</f>
        <v/>
      </c>
      <c r="E304" s="68" t="str">
        <f>IFERROR(INDEX('Capacidade UAS-CUAS'!$D$4:$D$81,MATCH($B304,'Capacidade UAS-CUAS'!$E$4:$E$81,0)),"")</f>
        <v/>
      </c>
      <c r="F304" s="72"/>
      <c r="G304" s="72"/>
      <c r="H304" s="72"/>
      <c r="I304" s="72"/>
      <c r="J304" s="73"/>
      <c r="K304" s="73"/>
    </row>
    <row r="306" spans="1:1" x14ac:dyDescent="0.25">
      <c r="A306" s="74" t="s">
        <v>376</v>
      </c>
    </row>
  </sheetData>
  <mergeCells count="2">
    <mergeCell ref="A1:K1"/>
    <mergeCell ref="A2:K2"/>
  </mergeCells>
  <dataValidations count="2">
    <dataValidation type="list" allowBlank="1" sqref="F4:G304">
      <formula1>"UAS,C-UAS"</formula1>
      <formula2>0</formula2>
    </dataValidation>
    <dataValidation type="list" allowBlank="1" errorTitle="Subtipo UAS" error="Aplicável apenas a serviços do tipo UAS." sqref="H4:H304">
      <formula1>"Reconhecimento,Exercício,Apoio a Operação,Recolha de Imagens"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NM inválido" error="Selecione um NM da lista (folha Capacidade UAS-CUAS).">
          <x14:formula1>
            <xm:f>'Capacidade UAS-CUAS'!$E$4:$E$81</xm:f>
          </x14:formula1>
          <x14:formula2>
            <xm:f>0</xm:f>
          </x14:formula2>
          <xm:sqref>B4:B304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topLeftCell="A10" workbookViewId="0">
      <selection activeCell="B94" sqref="B94"/>
    </sheetView>
  </sheetViews>
  <sheetFormatPr defaultRowHeight="15" x14ac:dyDescent="0.25"/>
  <cols>
    <col min="1" max="1" width="23.5703125" bestFit="1" customWidth="1"/>
    <col min="2" max="2" width="50.5703125" bestFit="1" customWidth="1"/>
    <col min="3" max="3" width="13.7109375" bestFit="1" customWidth="1"/>
  </cols>
  <sheetData>
    <row r="1" spans="1:10" ht="16.5" x14ac:dyDescent="0.25">
      <c r="A1" s="97" t="s">
        <v>377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8" t="s">
        <v>378</v>
      </c>
      <c r="B2" s="98"/>
      <c r="C2" s="98"/>
      <c r="D2" s="98"/>
      <c r="E2" s="98"/>
      <c r="F2" s="98"/>
      <c r="G2" s="98"/>
      <c r="H2" s="98"/>
      <c r="I2" s="98"/>
      <c r="J2" s="98"/>
    </row>
    <row r="3" spans="1:10" ht="24" x14ac:dyDescent="0.25">
      <c r="A3" s="66" t="s">
        <v>6</v>
      </c>
      <c r="B3" s="66" t="s">
        <v>335</v>
      </c>
      <c r="C3" s="66" t="s">
        <v>3</v>
      </c>
      <c r="D3" s="66" t="s">
        <v>379</v>
      </c>
      <c r="E3" s="66" t="s">
        <v>356</v>
      </c>
      <c r="F3" s="66" t="s">
        <v>352</v>
      </c>
      <c r="G3" s="66" t="s">
        <v>380</v>
      </c>
      <c r="H3" s="66" t="s">
        <v>353</v>
      </c>
      <c r="I3" s="66" t="s">
        <v>381</v>
      </c>
      <c r="J3" s="66" t="s">
        <v>382</v>
      </c>
    </row>
    <row r="4" spans="1:10" x14ac:dyDescent="0.25">
      <c r="A4" s="69" t="str">
        <f>'Capacidade UAS-CUAS'!E4</f>
        <v>2140038</v>
      </c>
      <c r="B4" s="70" t="str">
        <f>'Capacidade UAS-CUAS'!F4</f>
        <v>Luis Manuel Maceiro Cantante</v>
      </c>
      <c r="C4" s="70" t="str">
        <f>'Capacidade UAS-CUAS'!B4</f>
        <v>Comando / SOI</v>
      </c>
      <c r="D4" s="69">
        <f>COUNTIF(Serviços!$B$4:$B$304,A4)</f>
        <v>0</v>
      </c>
      <c r="E4" s="69">
        <f>COUNTIFS(Serviços!$B$4:$B$304,A4,Serviços!$F$4:$F$304,"UAS")</f>
        <v>0</v>
      </c>
      <c r="F4" s="69">
        <f>COUNTIFS(Serviços!$B$4:$B$304,A4,Serviços!$F$4:$F$304,"C-UAS")</f>
        <v>0</v>
      </c>
      <c r="G4" s="69">
        <f>COUNTIFS(Serviços!$B$4:$B$304,A4,Serviços!$H$4:$H$304,"Reconhecimento")</f>
        <v>0</v>
      </c>
      <c r="H4" s="69">
        <f>COUNTIFS(Serviços!$B$4:$B$304,A4,Serviços!$H$4:$H$304,"Exercício")</f>
        <v>0</v>
      </c>
      <c r="I4" s="69">
        <f>COUNTIFS(Serviços!$B$4:$B$304,A4,Serviços!$H$4:$H$304,"Apoio a Operação")</f>
        <v>0</v>
      </c>
      <c r="J4" s="69">
        <f>COUNTIFS(Serviços!$B$4:$B$304,A4,Serviços!$H$4:$H$304,"Recolha de Imagens")</f>
        <v>0</v>
      </c>
    </row>
    <row r="5" spans="1:10" x14ac:dyDescent="0.25">
      <c r="A5" s="68" t="str">
        <f>'Capacidade UAS-CUAS'!E5</f>
        <v>2020825</v>
      </c>
      <c r="B5" s="67" t="str">
        <f>'Capacidade UAS-CUAS'!F5</f>
        <v>António João Carlos e Granja</v>
      </c>
      <c r="C5" s="67" t="str">
        <f>'Capacidade UAS-CUAS'!B5</f>
        <v>Secretaria GIOP</v>
      </c>
      <c r="D5" s="69">
        <f>COUNTIF(Serviços!$B$4:$B$304,A5)</f>
        <v>2</v>
      </c>
      <c r="E5" s="69">
        <f>COUNTIFS(Serviços!$B$4:$B$304,A5,Serviços!$F$4:$F$304,"UAS")</f>
        <v>1</v>
      </c>
      <c r="F5" s="69">
        <f>COUNTIFS(Serviços!$B$4:$B$304,A5,Serviços!$F$4:$F$304,"C-UAS")</f>
        <v>1</v>
      </c>
      <c r="G5" s="69">
        <f>COUNTIFS(Serviços!$B$4:$B$304,A5,Serviços!$H$4:$H$304,"Reconhecimento")</f>
        <v>0</v>
      </c>
      <c r="H5" s="69">
        <f>COUNTIFS(Serviços!$B$4:$B$304,A5,Serviços!$H$4:$H$304,"Exercício")</f>
        <v>0</v>
      </c>
      <c r="I5" s="69">
        <f>COUNTIFS(Serviços!$B$4:$B$304,A5,Serviços!$H$4:$H$304,"Apoio a Operação")</f>
        <v>1</v>
      </c>
      <c r="J5" s="69">
        <f>COUNTIFS(Serviços!$B$4:$B$304,A5,Serviços!$H$4:$H$304,"Recolha de Imagens")</f>
        <v>1</v>
      </c>
    </row>
    <row r="6" spans="1:10" x14ac:dyDescent="0.25">
      <c r="A6" s="69">
        <f>'Capacidade UAS-CUAS'!E6</f>
        <v>1970024</v>
      </c>
      <c r="B6" s="70" t="str">
        <f>'Capacidade UAS-CUAS'!F6</f>
        <v>Manuel António Gonçalves Cordeiro</v>
      </c>
      <c r="C6" s="70" t="str">
        <f>'Capacidade UAS-CUAS'!B6</f>
        <v>SOI</v>
      </c>
      <c r="D6" s="69">
        <f>COUNTIF(Serviços!$B$4:$B$304,A6)</f>
        <v>2</v>
      </c>
      <c r="E6" s="69">
        <f>COUNTIFS(Serviços!$B$4:$B$304,A6,Serviços!$F$4:$F$304,"UAS")</f>
        <v>1</v>
      </c>
      <c r="F6" s="69">
        <f>COUNTIFS(Serviços!$B$4:$B$304,A6,Serviços!$F$4:$F$304,"C-UAS")</f>
        <v>1</v>
      </c>
      <c r="G6" s="69">
        <f>COUNTIFS(Serviços!$B$4:$B$304,A6,Serviços!$H$4:$H$304,"Reconhecimento")</f>
        <v>0</v>
      </c>
      <c r="H6" s="69">
        <f>COUNTIFS(Serviços!$B$4:$B$304,A6,Serviços!$H$4:$H$304,"Exercício")</f>
        <v>2</v>
      </c>
      <c r="I6" s="69">
        <f>COUNTIFS(Serviços!$B$4:$B$304,A6,Serviços!$H$4:$H$304,"Apoio a Operação")</f>
        <v>0</v>
      </c>
      <c r="J6" s="69">
        <f>COUNTIFS(Serviços!$B$4:$B$304,A6,Serviços!$H$4:$H$304,"Recolha de Imagens")</f>
        <v>0</v>
      </c>
    </row>
    <row r="7" spans="1:10" x14ac:dyDescent="0.25">
      <c r="A7" s="68" t="str">
        <f>'Capacidade UAS-CUAS'!E7</f>
        <v>2031108</v>
      </c>
      <c r="B7" s="67" t="str">
        <f>'Capacidade UAS-CUAS'!F7</f>
        <v>Hélder Simão Nunes</v>
      </c>
      <c r="C7" s="67" t="str">
        <f>'Capacidade UAS-CUAS'!B7</f>
        <v>SOI</v>
      </c>
      <c r="D7" s="69">
        <f>COUNTIF(Serviços!$B$4:$B$304,A7)</f>
        <v>0</v>
      </c>
      <c r="E7" s="69">
        <f>COUNTIFS(Serviços!$B$4:$B$304,A7,Serviços!$F$4:$F$304,"UAS")</f>
        <v>0</v>
      </c>
      <c r="F7" s="69">
        <f>COUNTIFS(Serviços!$B$4:$B$304,A7,Serviços!$F$4:$F$304,"C-UAS")</f>
        <v>0</v>
      </c>
      <c r="G7" s="69">
        <f>COUNTIFS(Serviços!$B$4:$B$304,A7,Serviços!$H$4:$H$304,"Reconhecimento")</f>
        <v>0</v>
      </c>
      <c r="H7" s="69">
        <f>COUNTIFS(Serviços!$B$4:$B$304,A7,Serviços!$H$4:$H$304,"Exercício")</f>
        <v>0</v>
      </c>
      <c r="I7" s="69">
        <f>COUNTIFS(Serviços!$B$4:$B$304,A7,Serviços!$H$4:$H$304,"Apoio a Operação")</f>
        <v>0</v>
      </c>
      <c r="J7" s="69">
        <f>COUNTIFS(Serviços!$B$4:$B$304,A7,Serviços!$H$4:$H$304,"Recolha de Imagens")</f>
        <v>0</v>
      </c>
    </row>
    <row r="8" spans="1:10" x14ac:dyDescent="0.25">
      <c r="A8" s="69" t="str">
        <f>'Capacidade UAS-CUAS'!E8</f>
        <v>2030883</v>
      </c>
      <c r="B8" s="70" t="str">
        <f>'Capacidade UAS-CUAS'!F8</f>
        <v>Paulo Sérgio Pessanha Saraiva Loureiro</v>
      </c>
      <c r="C8" s="70" t="str">
        <f>'Capacidade UAS-CUAS'!B8</f>
        <v>SOI</v>
      </c>
      <c r="D8" s="69">
        <f>COUNTIF(Serviços!$B$4:$B$304,A8)</f>
        <v>2</v>
      </c>
      <c r="E8" s="69">
        <f>COUNTIFS(Serviços!$B$4:$B$304,A8,Serviços!$F$4:$F$304,"UAS")</f>
        <v>1</v>
      </c>
      <c r="F8" s="69">
        <f>COUNTIFS(Serviços!$B$4:$B$304,A8,Serviços!$F$4:$F$304,"C-UAS")</f>
        <v>1</v>
      </c>
      <c r="G8" s="69">
        <f>COUNTIFS(Serviços!$B$4:$B$304,A8,Serviços!$H$4:$H$304,"Reconhecimento")</f>
        <v>0</v>
      </c>
      <c r="H8" s="69">
        <f>COUNTIFS(Serviços!$B$4:$B$304,A8,Serviços!$H$4:$H$304,"Exercício")</f>
        <v>0</v>
      </c>
      <c r="I8" s="69">
        <f>COUNTIFS(Serviços!$B$4:$B$304,A8,Serviços!$H$4:$H$304,"Apoio a Operação")</f>
        <v>1</v>
      </c>
      <c r="J8" s="69">
        <f>COUNTIFS(Serviços!$B$4:$B$304,A8,Serviços!$H$4:$H$304,"Recolha de Imagens")</f>
        <v>1</v>
      </c>
    </row>
    <row r="9" spans="1:10" x14ac:dyDescent="0.25">
      <c r="A9" s="68">
        <f>'Capacidade UAS-CUAS'!E9</f>
        <v>2040618</v>
      </c>
      <c r="B9" s="67" t="str">
        <f>'Capacidade UAS-CUAS'!F9</f>
        <v>Paulo Alexandre Nunes Fernandes Estêvão</v>
      </c>
      <c r="C9" s="67" t="str">
        <f>'Capacidade UAS-CUAS'!B9</f>
        <v>SOI</v>
      </c>
      <c r="D9" s="69">
        <f>COUNTIF(Serviços!$B$4:$B$304,A9)</f>
        <v>8</v>
      </c>
      <c r="E9" s="69">
        <f>COUNTIFS(Serviços!$B$4:$B$304,A9,Serviços!$F$4:$F$304,"UAS")</f>
        <v>5</v>
      </c>
      <c r="F9" s="69">
        <f>COUNTIFS(Serviços!$B$4:$B$304,A9,Serviços!$F$4:$F$304,"C-UAS")</f>
        <v>3</v>
      </c>
      <c r="G9" s="69">
        <f>COUNTIFS(Serviços!$B$4:$B$304,A9,Serviços!$H$4:$H$304,"Reconhecimento")</f>
        <v>1</v>
      </c>
      <c r="H9" s="69">
        <f>COUNTIFS(Serviços!$B$4:$B$304,A9,Serviços!$H$4:$H$304,"Exercício")</f>
        <v>3</v>
      </c>
      <c r="I9" s="69">
        <f>COUNTIFS(Serviços!$B$4:$B$304,A9,Serviços!$H$4:$H$304,"Apoio a Operação")</f>
        <v>1</v>
      </c>
      <c r="J9" s="69">
        <f>COUNTIFS(Serviços!$B$4:$B$304,A9,Serviços!$H$4:$H$304,"Recolha de Imagens")</f>
        <v>3</v>
      </c>
    </row>
    <row r="10" spans="1:10" x14ac:dyDescent="0.25">
      <c r="A10" s="69">
        <f>'Capacidade UAS-CUAS'!E10</f>
        <v>2090487</v>
      </c>
      <c r="B10" s="70" t="str">
        <f>'Capacidade UAS-CUAS'!F10</f>
        <v>Wilson da Silva Sousa</v>
      </c>
      <c r="C10" s="70" t="str">
        <f>'Capacidade UAS-CUAS'!B10</f>
        <v>SOI</v>
      </c>
      <c r="D10" s="69">
        <f>COUNTIF(Serviços!$B$4:$B$304,A10)</f>
        <v>3</v>
      </c>
      <c r="E10" s="69">
        <f>COUNTIFS(Serviços!$B$4:$B$304,A10,Serviços!$F$4:$F$304,"UAS")</f>
        <v>1</v>
      </c>
      <c r="F10" s="69">
        <f>COUNTIFS(Serviços!$B$4:$B$304,A10,Serviços!$F$4:$F$304,"C-UAS")</f>
        <v>2</v>
      </c>
      <c r="G10" s="69">
        <f>COUNTIFS(Serviços!$B$4:$B$304,A10,Serviços!$H$4:$H$304,"Reconhecimento")</f>
        <v>0</v>
      </c>
      <c r="H10" s="69">
        <f>COUNTIFS(Serviços!$B$4:$B$304,A10,Serviços!$H$4:$H$304,"Exercício")</f>
        <v>3</v>
      </c>
      <c r="I10" s="69">
        <f>COUNTIFS(Serviços!$B$4:$B$304,A10,Serviços!$H$4:$H$304,"Apoio a Operação")</f>
        <v>0</v>
      </c>
      <c r="J10" s="69">
        <f>COUNTIFS(Serviços!$B$4:$B$304,A10,Serviços!$H$4:$H$304,"Recolha de Imagens")</f>
        <v>0</v>
      </c>
    </row>
    <row r="11" spans="1:10" x14ac:dyDescent="0.25">
      <c r="A11" s="68" t="str">
        <f>'Capacidade UAS-CUAS'!E11</f>
        <v>2030644</v>
      </c>
      <c r="B11" s="67" t="str">
        <f>'Capacidade UAS-CUAS'!F11</f>
        <v>Bruno Miguel Correia Pimenta</v>
      </c>
      <c r="C11" s="67" t="str">
        <f>'Capacidade UAS-CUAS'!B11</f>
        <v>SOI</v>
      </c>
      <c r="D11" s="69">
        <f>COUNTIF(Serviços!$B$4:$B$304,A11)</f>
        <v>0</v>
      </c>
      <c r="E11" s="69">
        <f>COUNTIFS(Serviços!$B$4:$B$304,A11,Serviços!$F$4:$F$304,"UAS")</f>
        <v>0</v>
      </c>
      <c r="F11" s="69">
        <f>COUNTIFS(Serviços!$B$4:$B$304,A11,Serviços!$F$4:$F$304,"C-UAS")</f>
        <v>0</v>
      </c>
      <c r="G11" s="69">
        <f>COUNTIFS(Serviços!$B$4:$B$304,A11,Serviços!$H$4:$H$304,"Reconhecimento")</f>
        <v>0</v>
      </c>
      <c r="H11" s="69">
        <f>COUNTIFS(Serviços!$B$4:$B$304,A11,Serviços!$H$4:$H$304,"Exercício")</f>
        <v>0</v>
      </c>
      <c r="I11" s="69">
        <f>COUNTIFS(Serviços!$B$4:$B$304,A11,Serviços!$H$4:$H$304,"Apoio a Operação")</f>
        <v>0</v>
      </c>
      <c r="J11" s="69">
        <f>COUNTIFS(Serviços!$B$4:$B$304,A11,Serviços!$H$4:$H$304,"Recolha de Imagens")</f>
        <v>0</v>
      </c>
    </row>
    <row r="12" spans="1:10" x14ac:dyDescent="0.25">
      <c r="A12" s="69">
        <f>'Capacidade UAS-CUAS'!E12</f>
        <v>2030052</v>
      </c>
      <c r="B12" s="70" t="str">
        <f>'Capacidade UAS-CUAS'!F12</f>
        <v>Filipe Jorge dos Santos Silva</v>
      </c>
      <c r="C12" s="70" t="str">
        <f>'Capacidade UAS-CUAS'!B12</f>
        <v>SOI</v>
      </c>
      <c r="D12" s="69">
        <f>COUNTIF(Serviços!$B$4:$B$304,A12)</f>
        <v>2</v>
      </c>
      <c r="E12" s="69">
        <f>COUNTIFS(Serviços!$B$4:$B$304,A12,Serviços!$F$4:$F$304,"UAS")</f>
        <v>2</v>
      </c>
      <c r="F12" s="69">
        <f>COUNTIFS(Serviços!$B$4:$B$304,A12,Serviços!$F$4:$F$304,"C-UAS")</f>
        <v>0</v>
      </c>
      <c r="G12" s="69">
        <f>COUNTIFS(Serviços!$B$4:$B$304,A12,Serviços!$H$4:$H$304,"Reconhecimento")</f>
        <v>2</v>
      </c>
      <c r="H12" s="69">
        <f>COUNTIFS(Serviços!$B$4:$B$304,A12,Serviços!$H$4:$H$304,"Exercício")</f>
        <v>0</v>
      </c>
      <c r="I12" s="69">
        <f>COUNTIFS(Serviços!$B$4:$B$304,A12,Serviços!$H$4:$H$304,"Apoio a Operação")</f>
        <v>0</v>
      </c>
      <c r="J12" s="69">
        <f>COUNTIFS(Serviços!$B$4:$B$304,A12,Serviços!$H$4:$H$304,"Recolha de Imagens")</f>
        <v>0</v>
      </c>
    </row>
    <row r="13" spans="1:10" x14ac:dyDescent="0.25">
      <c r="A13" s="68" t="str">
        <f>'Capacidade UAS-CUAS'!E13</f>
        <v>2040185</v>
      </c>
      <c r="B13" s="67" t="str">
        <f>'Capacidade UAS-CUAS'!F13</f>
        <v>Carlos Manuel Jorge dos Santos</v>
      </c>
      <c r="C13" s="67" t="str">
        <f>'Capacidade UAS-CUAS'!B13</f>
        <v>SOI</v>
      </c>
      <c r="D13" s="69">
        <f>COUNTIF(Serviços!$B$4:$B$304,A13)</f>
        <v>0</v>
      </c>
      <c r="E13" s="69">
        <f>COUNTIFS(Serviços!$B$4:$B$304,A13,Serviços!$F$4:$F$304,"UAS")</f>
        <v>0</v>
      </c>
      <c r="F13" s="69">
        <f>COUNTIFS(Serviços!$B$4:$B$304,A13,Serviços!$F$4:$F$304,"C-UAS")</f>
        <v>0</v>
      </c>
      <c r="G13" s="69">
        <f>COUNTIFS(Serviços!$B$4:$B$304,A13,Serviços!$H$4:$H$304,"Reconhecimento")</f>
        <v>0</v>
      </c>
      <c r="H13" s="69">
        <f>COUNTIFS(Serviços!$B$4:$B$304,A13,Serviços!$H$4:$H$304,"Exercício")</f>
        <v>0</v>
      </c>
      <c r="I13" s="69">
        <f>COUNTIFS(Serviços!$B$4:$B$304,A13,Serviços!$H$4:$H$304,"Apoio a Operação")</f>
        <v>0</v>
      </c>
      <c r="J13" s="69">
        <f>COUNTIFS(Serviços!$B$4:$B$304,A13,Serviços!$H$4:$H$304,"Recolha de Imagens")</f>
        <v>0</v>
      </c>
    </row>
    <row r="14" spans="1:10" x14ac:dyDescent="0.25">
      <c r="A14" s="69">
        <f>'Capacidade UAS-CUAS'!E14</f>
        <v>2070317</v>
      </c>
      <c r="B14" s="70" t="str">
        <f>'Capacidade UAS-CUAS'!F14</f>
        <v>José Carlos Soares Gomes</v>
      </c>
      <c r="C14" s="70" t="str">
        <f>'Capacidade UAS-CUAS'!B14</f>
        <v>SOI</v>
      </c>
      <c r="D14" s="69">
        <f>COUNTIF(Serviços!$B$4:$B$304,A14)</f>
        <v>2</v>
      </c>
      <c r="E14" s="69">
        <f>COUNTIFS(Serviços!$B$4:$B$304,A14,Serviços!$F$4:$F$304,"UAS")</f>
        <v>1</v>
      </c>
      <c r="F14" s="69">
        <f>COUNTIFS(Serviços!$B$4:$B$304,A14,Serviços!$F$4:$F$304,"C-UAS")</f>
        <v>1</v>
      </c>
      <c r="G14" s="69">
        <f>COUNTIFS(Serviços!$B$4:$B$304,A14,Serviços!$H$4:$H$304,"Reconhecimento")</f>
        <v>0</v>
      </c>
      <c r="H14" s="69">
        <f>COUNTIFS(Serviços!$B$4:$B$304,A14,Serviços!$H$4:$H$304,"Exercício")</f>
        <v>0</v>
      </c>
      <c r="I14" s="69">
        <f>COUNTIFS(Serviços!$B$4:$B$304,A14,Serviços!$H$4:$H$304,"Apoio a Operação")</f>
        <v>1</v>
      </c>
      <c r="J14" s="69">
        <f>COUNTIFS(Serviços!$B$4:$B$304,A14,Serviços!$H$4:$H$304,"Recolha de Imagens")</f>
        <v>1</v>
      </c>
    </row>
    <row r="15" spans="1:10" x14ac:dyDescent="0.25">
      <c r="A15" s="68" t="str">
        <f>'Capacidade UAS-CUAS'!E16</f>
        <v>2000474</v>
      </c>
      <c r="B15" s="67" t="str">
        <f>'Capacidade UAS-CUAS'!F16</f>
        <v>Jorge Manuel Graça Rodrigues</v>
      </c>
      <c r="C15" s="67" t="str">
        <f>'Capacidade UAS-CUAS'!B16</f>
        <v>1.ª Companhia</v>
      </c>
      <c r="D15" s="69">
        <f>COUNTIF(Serviços!$B$4:$B$304,A15)</f>
        <v>0</v>
      </c>
      <c r="E15" s="69">
        <f>COUNTIFS(Serviços!$B$4:$B$304,A15,Serviços!$F$4:$F$304,"UAS")</f>
        <v>0</v>
      </c>
      <c r="F15" s="69">
        <f>COUNTIFS(Serviços!$B$4:$B$304,A15,Serviços!$F$4:$F$304,"C-UAS")</f>
        <v>0</v>
      </c>
      <c r="G15" s="69">
        <f>COUNTIFS(Serviços!$B$4:$B$304,A15,Serviços!$H$4:$H$304,"Reconhecimento")</f>
        <v>0</v>
      </c>
      <c r="H15" s="69">
        <f>COUNTIFS(Serviços!$B$4:$B$304,A15,Serviços!$H$4:$H$304,"Exercício")</f>
        <v>0</v>
      </c>
      <c r="I15" s="69">
        <f>COUNTIFS(Serviços!$B$4:$B$304,A15,Serviços!$H$4:$H$304,"Apoio a Operação")</f>
        <v>0</v>
      </c>
      <c r="J15" s="69">
        <f>COUNTIFS(Serviços!$B$4:$B$304,A15,Serviços!$H$4:$H$304,"Recolha de Imagens")</f>
        <v>0</v>
      </c>
    </row>
    <row r="16" spans="1:10" x14ac:dyDescent="0.25">
      <c r="A16" s="69">
        <f>'Capacidade UAS-CUAS'!E17</f>
        <v>1970349</v>
      </c>
      <c r="B16" s="70" t="str">
        <f>'Capacidade UAS-CUAS'!F17</f>
        <v>Paulo Aurélio Fernandes Alves</v>
      </c>
      <c r="C16" s="70" t="str">
        <f>'Capacidade UAS-CUAS'!B17</f>
        <v>1.ª Companhia</v>
      </c>
      <c r="D16" s="69">
        <f>COUNTIF(Serviços!$B$4:$B$304,A16)</f>
        <v>0</v>
      </c>
      <c r="E16" s="69">
        <f>COUNTIFS(Serviços!$B$4:$B$304,A16,Serviços!$F$4:$F$304,"UAS")</f>
        <v>0</v>
      </c>
      <c r="F16" s="69">
        <f>COUNTIFS(Serviços!$B$4:$B$304,A16,Serviços!$F$4:$F$304,"C-UAS")</f>
        <v>0</v>
      </c>
      <c r="G16" s="69">
        <f>COUNTIFS(Serviços!$B$4:$B$304,A16,Serviços!$H$4:$H$304,"Reconhecimento")</f>
        <v>0</v>
      </c>
      <c r="H16" s="69">
        <f>COUNTIFS(Serviços!$B$4:$B$304,A16,Serviços!$H$4:$H$304,"Exercício")</f>
        <v>0</v>
      </c>
      <c r="I16" s="69">
        <f>COUNTIFS(Serviços!$B$4:$B$304,A16,Serviços!$H$4:$H$304,"Apoio a Operação")</f>
        <v>0</v>
      </c>
      <c r="J16" s="69">
        <f>COUNTIFS(Serviços!$B$4:$B$304,A16,Serviços!$H$4:$H$304,"Recolha de Imagens")</f>
        <v>0</v>
      </c>
    </row>
    <row r="17" spans="1:10" x14ac:dyDescent="0.25">
      <c r="A17" s="68">
        <f>'Capacidade UAS-CUAS'!E18</f>
        <v>2000796</v>
      </c>
      <c r="B17" s="67" t="str">
        <f>'Capacidade UAS-CUAS'!F18</f>
        <v>Jorge António Monteiro Silvano</v>
      </c>
      <c r="C17" s="67" t="str">
        <f>'Capacidade UAS-CUAS'!B18</f>
        <v>1.ª Companhia</v>
      </c>
      <c r="D17" s="69">
        <f>COUNTIF(Serviços!$B$4:$B$304,A17)</f>
        <v>1</v>
      </c>
      <c r="E17" s="69">
        <f>COUNTIFS(Serviços!$B$4:$B$304,A17,Serviços!$F$4:$F$304,"UAS")</f>
        <v>1</v>
      </c>
      <c r="F17" s="69">
        <f>COUNTIFS(Serviços!$B$4:$B$304,A17,Serviços!$F$4:$F$304,"C-UAS")</f>
        <v>0</v>
      </c>
      <c r="G17" s="69">
        <f>COUNTIFS(Serviços!$B$4:$B$304,A17,Serviços!$H$4:$H$304,"Reconhecimento")</f>
        <v>1</v>
      </c>
      <c r="H17" s="69">
        <f>COUNTIFS(Serviços!$B$4:$B$304,A17,Serviços!$H$4:$H$304,"Exercício")</f>
        <v>0</v>
      </c>
      <c r="I17" s="69">
        <f>COUNTIFS(Serviços!$B$4:$B$304,A17,Serviços!$H$4:$H$304,"Apoio a Operação")</f>
        <v>0</v>
      </c>
      <c r="J17" s="69">
        <f>COUNTIFS(Serviços!$B$4:$B$304,A17,Serviços!$H$4:$H$304,"Recolha de Imagens")</f>
        <v>0</v>
      </c>
    </row>
    <row r="18" spans="1:10" x14ac:dyDescent="0.25">
      <c r="A18" s="69" t="str">
        <f>'Capacidade UAS-CUAS'!E19</f>
        <v>2070254</v>
      </c>
      <c r="B18" s="70" t="str">
        <f>'Capacidade UAS-CUAS'!F19</f>
        <v>Sílvio Manuel Supico Serra</v>
      </c>
      <c r="C18" s="70" t="str">
        <f>'Capacidade UAS-CUAS'!B19</f>
        <v>1.ª Companhia</v>
      </c>
      <c r="D18" s="69">
        <f>COUNTIF(Serviços!$B$4:$B$304,A18)</f>
        <v>0</v>
      </c>
      <c r="E18" s="69">
        <f>COUNTIFS(Serviços!$B$4:$B$304,A18,Serviços!$F$4:$F$304,"UAS")</f>
        <v>0</v>
      </c>
      <c r="F18" s="69">
        <f>COUNTIFS(Serviços!$B$4:$B$304,A18,Serviços!$F$4:$F$304,"C-UAS")</f>
        <v>0</v>
      </c>
      <c r="G18" s="69">
        <f>COUNTIFS(Serviços!$B$4:$B$304,A18,Serviços!$H$4:$H$304,"Reconhecimento")</f>
        <v>0</v>
      </c>
      <c r="H18" s="69">
        <f>COUNTIFS(Serviços!$B$4:$B$304,A18,Serviços!$H$4:$H$304,"Exercício")</f>
        <v>0</v>
      </c>
      <c r="I18" s="69">
        <f>COUNTIFS(Serviços!$B$4:$B$304,A18,Serviços!$H$4:$H$304,"Apoio a Operação")</f>
        <v>0</v>
      </c>
      <c r="J18" s="69">
        <f>COUNTIFS(Serviços!$B$4:$B$304,A18,Serviços!$H$4:$H$304,"Recolha de Imagens")</f>
        <v>0</v>
      </c>
    </row>
    <row r="19" spans="1:10" x14ac:dyDescent="0.25">
      <c r="A19" s="68">
        <f>'Capacidade UAS-CUAS'!E20</f>
        <v>2150382</v>
      </c>
      <c r="B19" s="67" t="str">
        <f>'Capacidade UAS-CUAS'!F20</f>
        <v>Pedro Miguel Rodrigues Carrapatoso</v>
      </c>
      <c r="C19" s="67" t="str">
        <f>'Capacidade UAS-CUAS'!B20</f>
        <v>1.ª Companhia</v>
      </c>
      <c r="D19" s="69">
        <f>COUNTIF(Serviços!$B$4:$B$304,A19)</f>
        <v>0</v>
      </c>
      <c r="E19" s="69">
        <f>COUNTIFS(Serviços!$B$4:$B$304,A19,Serviços!$F$4:$F$304,"UAS")</f>
        <v>0</v>
      </c>
      <c r="F19" s="69">
        <f>COUNTIFS(Serviços!$B$4:$B$304,A19,Serviços!$F$4:$F$304,"C-UAS")</f>
        <v>0</v>
      </c>
      <c r="G19" s="69">
        <f>COUNTIFS(Serviços!$B$4:$B$304,A19,Serviços!$H$4:$H$304,"Reconhecimento")</f>
        <v>0</v>
      </c>
      <c r="H19" s="69">
        <f>COUNTIFS(Serviços!$B$4:$B$304,A19,Serviços!$H$4:$H$304,"Exercício")</f>
        <v>0</v>
      </c>
      <c r="I19" s="69">
        <f>COUNTIFS(Serviços!$B$4:$B$304,A19,Serviços!$H$4:$H$304,"Apoio a Operação")</f>
        <v>0</v>
      </c>
      <c r="J19" s="69">
        <f>COUNTIFS(Serviços!$B$4:$B$304,A19,Serviços!$H$4:$H$304,"Recolha de Imagens")</f>
        <v>0</v>
      </c>
    </row>
    <row r="20" spans="1:10" x14ac:dyDescent="0.25">
      <c r="A20" s="69" t="str">
        <f>'Capacidade UAS-CUAS'!E21</f>
        <v>2210742</v>
      </c>
      <c r="B20" s="70" t="str">
        <f>'Capacidade UAS-CUAS'!F21</f>
        <v>Leandro Filipe da Cruz Silva</v>
      </c>
      <c r="C20" s="70" t="str">
        <f>'Capacidade UAS-CUAS'!B21</f>
        <v>1.ª Companhia</v>
      </c>
      <c r="D20" s="69">
        <f>COUNTIF(Serviços!$B$4:$B$304,A20)</f>
        <v>0</v>
      </c>
      <c r="E20" s="69">
        <f>COUNTIFS(Serviços!$B$4:$B$304,A20,Serviços!$F$4:$F$304,"UAS")</f>
        <v>0</v>
      </c>
      <c r="F20" s="69">
        <f>COUNTIFS(Serviços!$B$4:$B$304,A20,Serviços!$F$4:$F$304,"C-UAS")</f>
        <v>0</v>
      </c>
      <c r="G20" s="69">
        <f>COUNTIFS(Serviços!$B$4:$B$304,A20,Serviços!$H$4:$H$304,"Reconhecimento")</f>
        <v>0</v>
      </c>
      <c r="H20" s="69">
        <f>COUNTIFS(Serviços!$B$4:$B$304,A20,Serviços!$H$4:$H$304,"Exercício")</f>
        <v>0</v>
      </c>
      <c r="I20" s="69">
        <f>COUNTIFS(Serviços!$B$4:$B$304,A20,Serviços!$H$4:$H$304,"Apoio a Operação")</f>
        <v>0</v>
      </c>
      <c r="J20" s="69">
        <f>COUNTIFS(Serviços!$B$4:$B$304,A20,Serviços!$H$4:$H$304,"Recolha de Imagens")</f>
        <v>0</v>
      </c>
    </row>
    <row r="21" spans="1:10" x14ac:dyDescent="0.25">
      <c r="A21" s="68" t="str">
        <f>'Capacidade UAS-CUAS'!E22</f>
        <v>2071127</v>
      </c>
      <c r="B21" s="67" t="str">
        <f>'Capacidade UAS-CUAS'!F22</f>
        <v>Alexandre Dias Ramalheiro</v>
      </c>
      <c r="C21" s="67" t="str">
        <f>'Capacidade UAS-CUAS'!B22</f>
        <v>1.ª Companhia</v>
      </c>
      <c r="D21" s="69">
        <f>COUNTIF(Serviços!$B$4:$B$304,A21)</f>
        <v>0</v>
      </c>
      <c r="E21" s="69">
        <f>COUNTIFS(Serviços!$B$4:$B$304,A21,Serviços!$F$4:$F$304,"UAS")</f>
        <v>0</v>
      </c>
      <c r="F21" s="69">
        <f>COUNTIFS(Serviços!$B$4:$B$304,A21,Serviços!$F$4:$F$304,"C-UAS")</f>
        <v>0</v>
      </c>
      <c r="G21" s="69">
        <f>COUNTIFS(Serviços!$B$4:$B$304,A21,Serviços!$H$4:$H$304,"Reconhecimento")</f>
        <v>0</v>
      </c>
      <c r="H21" s="69">
        <f>COUNTIFS(Serviços!$B$4:$B$304,A21,Serviços!$H$4:$H$304,"Exercício")</f>
        <v>0</v>
      </c>
      <c r="I21" s="69">
        <f>COUNTIFS(Serviços!$B$4:$B$304,A21,Serviços!$H$4:$H$304,"Apoio a Operação")</f>
        <v>0</v>
      </c>
      <c r="J21" s="69">
        <f>COUNTIFS(Serviços!$B$4:$B$304,A21,Serviços!$H$4:$H$304,"Recolha de Imagens")</f>
        <v>0</v>
      </c>
    </row>
    <row r="22" spans="1:10" x14ac:dyDescent="0.25">
      <c r="A22" s="69">
        <f>'Capacidade UAS-CUAS'!E23</f>
        <v>2000318</v>
      </c>
      <c r="B22" s="70" t="str">
        <f>'Capacidade UAS-CUAS'!F23</f>
        <v>Rui Fernando Oliveira Custódio</v>
      </c>
      <c r="C22" s="70" t="str">
        <f>'Capacidade UAS-CUAS'!B23</f>
        <v>1.ª Companhia</v>
      </c>
      <c r="D22" s="69">
        <f>COUNTIF(Serviços!$B$4:$B$304,A22)</f>
        <v>0</v>
      </c>
      <c r="E22" s="69">
        <f>COUNTIFS(Serviços!$B$4:$B$304,A22,Serviços!$F$4:$F$304,"UAS")</f>
        <v>0</v>
      </c>
      <c r="F22" s="69">
        <f>COUNTIFS(Serviços!$B$4:$B$304,A22,Serviços!$F$4:$F$304,"C-UAS")</f>
        <v>0</v>
      </c>
      <c r="G22" s="69">
        <f>COUNTIFS(Serviços!$B$4:$B$304,A22,Serviços!$H$4:$H$304,"Reconhecimento")</f>
        <v>0</v>
      </c>
      <c r="H22" s="69">
        <f>COUNTIFS(Serviços!$B$4:$B$304,A22,Serviços!$H$4:$H$304,"Exercício")</f>
        <v>0</v>
      </c>
      <c r="I22" s="69">
        <f>COUNTIFS(Serviços!$B$4:$B$304,A22,Serviços!$H$4:$H$304,"Apoio a Operação")</f>
        <v>0</v>
      </c>
      <c r="J22" s="69">
        <f>COUNTIFS(Serviços!$B$4:$B$304,A22,Serviços!$H$4:$H$304,"Recolha de Imagens")</f>
        <v>0</v>
      </c>
    </row>
    <row r="23" spans="1:10" x14ac:dyDescent="0.25">
      <c r="A23" s="68" t="str">
        <f>'Capacidade UAS-CUAS'!E24</f>
        <v>2030636</v>
      </c>
      <c r="B23" s="67" t="str">
        <f>'Capacidade UAS-CUAS'!F24</f>
        <v>Francisco João Alves Silvestre</v>
      </c>
      <c r="C23" s="67" t="str">
        <f>'Capacidade UAS-CUAS'!B24</f>
        <v>1.ª Companhia</v>
      </c>
      <c r="D23" s="69">
        <f>COUNTIF(Serviços!$B$4:$B$304,A23)</f>
        <v>0</v>
      </c>
      <c r="E23" s="69">
        <f>COUNTIFS(Serviços!$B$4:$B$304,A23,Serviços!$F$4:$F$304,"UAS")</f>
        <v>0</v>
      </c>
      <c r="F23" s="69">
        <f>COUNTIFS(Serviços!$B$4:$B$304,A23,Serviços!$F$4:$F$304,"C-UAS")</f>
        <v>0</v>
      </c>
      <c r="G23" s="69">
        <f>COUNTIFS(Serviços!$B$4:$B$304,A23,Serviços!$H$4:$H$304,"Reconhecimento")</f>
        <v>0</v>
      </c>
      <c r="H23" s="69">
        <f>COUNTIFS(Serviços!$B$4:$B$304,A23,Serviços!$H$4:$H$304,"Exercício")</f>
        <v>0</v>
      </c>
      <c r="I23" s="69">
        <f>COUNTIFS(Serviços!$B$4:$B$304,A23,Serviços!$H$4:$H$304,"Apoio a Operação")</f>
        <v>0</v>
      </c>
      <c r="J23" s="69">
        <f>COUNTIFS(Serviços!$B$4:$B$304,A23,Serviços!$H$4:$H$304,"Recolha de Imagens")</f>
        <v>0</v>
      </c>
    </row>
    <row r="24" spans="1:10" x14ac:dyDescent="0.25">
      <c r="A24" s="69">
        <f>'Capacidade UAS-CUAS'!E25</f>
        <v>2040499</v>
      </c>
      <c r="B24" s="70" t="str">
        <f>'Capacidade UAS-CUAS'!F25</f>
        <v>Daniel de Almeida Campos Dias</v>
      </c>
      <c r="C24" s="70" t="str">
        <f>'Capacidade UAS-CUAS'!B25</f>
        <v>1.ª Companhia</v>
      </c>
      <c r="D24" s="69">
        <f>COUNTIF(Serviços!$B$4:$B$304,A24)</f>
        <v>0</v>
      </c>
      <c r="E24" s="69">
        <f>COUNTIFS(Serviços!$B$4:$B$304,A24,Serviços!$F$4:$F$304,"UAS")</f>
        <v>0</v>
      </c>
      <c r="F24" s="69">
        <f>COUNTIFS(Serviços!$B$4:$B$304,A24,Serviços!$F$4:$F$304,"C-UAS")</f>
        <v>0</v>
      </c>
      <c r="G24" s="69">
        <f>COUNTIFS(Serviços!$B$4:$B$304,A24,Serviços!$H$4:$H$304,"Reconhecimento")</f>
        <v>0</v>
      </c>
      <c r="H24" s="69">
        <f>COUNTIFS(Serviços!$B$4:$B$304,A24,Serviços!$H$4:$H$304,"Exercício")</f>
        <v>0</v>
      </c>
      <c r="I24" s="69">
        <f>COUNTIFS(Serviços!$B$4:$B$304,A24,Serviços!$H$4:$H$304,"Apoio a Operação")</f>
        <v>0</v>
      </c>
      <c r="J24" s="69">
        <f>COUNTIFS(Serviços!$B$4:$B$304,A24,Serviços!$H$4:$H$304,"Recolha de Imagens")</f>
        <v>0</v>
      </c>
    </row>
    <row r="25" spans="1:10" x14ac:dyDescent="0.25">
      <c r="A25" s="68" t="str">
        <f>'Capacidade UAS-CUAS'!E26</f>
        <v>2060731</v>
      </c>
      <c r="B25" s="67" t="str">
        <f>'Capacidade UAS-CUAS'!F26</f>
        <v>André Simões Sabino</v>
      </c>
      <c r="C25" s="67" t="str">
        <f>'Capacidade UAS-CUAS'!B26</f>
        <v>1.ª Companhia</v>
      </c>
      <c r="D25" s="69">
        <f>COUNTIF(Serviços!$B$4:$B$304,A25)</f>
        <v>0</v>
      </c>
      <c r="E25" s="69">
        <f>COUNTIFS(Serviços!$B$4:$B$304,A25,Serviços!$F$4:$F$304,"UAS")</f>
        <v>0</v>
      </c>
      <c r="F25" s="69">
        <f>COUNTIFS(Serviços!$B$4:$B$304,A25,Serviços!$F$4:$F$304,"C-UAS")</f>
        <v>0</v>
      </c>
      <c r="G25" s="69">
        <f>COUNTIFS(Serviços!$B$4:$B$304,A25,Serviços!$H$4:$H$304,"Reconhecimento")</f>
        <v>0</v>
      </c>
      <c r="H25" s="69">
        <f>COUNTIFS(Serviços!$B$4:$B$304,A25,Serviços!$H$4:$H$304,"Exercício")</f>
        <v>0</v>
      </c>
      <c r="I25" s="69">
        <f>COUNTIFS(Serviços!$B$4:$B$304,A25,Serviços!$H$4:$H$304,"Apoio a Operação")</f>
        <v>0</v>
      </c>
      <c r="J25" s="69">
        <f>COUNTIFS(Serviços!$B$4:$B$304,A25,Serviços!$H$4:$H$304,"Recolha de Imagens")</f>
        <v>0</v>
      </c>
    </row>
    <row r="26" spans="1:10" x14ac:dyDescent="0.25">
      <c r="A26" s="69" t="str">
        <f>'Capacidade UAS-CUAS'!E27</f>
        <v>2071255</v>
      </c>
      <c r="B26" s="70" t="str">
        <f>'Capacidade UAS-CUAS'!F27</f>
        <v>Marco Paulo Pedro Santos</v>
      </c>
      <c r="C26" s="70" t="str">
        <f>'Capacidade UAS-CUAS'!B27</f>
        <v>1.ª Companhia</v>
      </c>
      <c r="D26" s="69">
        <f>COUNTIF(Serviços!$B$4:$B$304,A26)</f>
        <v>0</v>
      </c>
      <c r="E26" s="69">
        <f>COUNTIFS(Serviços!$B$4:$B$304,A26,Serviços!$F$4:$F$304,"UAS")</f>
        <v>0</v>
      </c>
      <c r="F26" s="69">
        <f>COUNTIFS(Serviços!$B$4:$B$304,A26,Serviços!$F$4:$F$304,"C-UAS")</f>
        <v>0</v>
      </c>
      <c r="G26" s="69">
        <f>COUNTIFS(Serviços!$B$4:$B$304,A26,Serviços!$H$4:$H$304,"Reconhecimento")</f>
        <v>0</v>
      </c>
      <c r="H26" s="69">
        <f>COUNTIFS(Serviços!$B$4:$B$304,A26,Serviços!$H$4:$H$304,"Exercício")</f>
        <v>0</v>
      </c>
      <c r="I26" s="69">
        <f>COUNTIFS(Serviços!$B$4:$B$304,A26,Serviços!$H$4:$H$304,"Apoio a Operação")</f>
        <v>0</v>
      </c>
      <c r="J26" s="69">
        <f>COUNTIFS(Serviços!$B$4:$B$304,A26,Serviços!$H$4:$H$304,"Recolha de Imagens")</f>
        <v>0</v>
      </c>
    </row>
    <row r="27" spans="1:10" x14ac:dyDescent="0.25">
      <c r="A27" s="68">
        <f>'Capacidade UAS-CUAS'!E28</f>
        <v>2100421</v>
      </c>
      <c r="B27" s="67" t="str">
        <f>'Capacidade UAS-CUAS'!F28</f>
        <v>Jacinto Manuel Farinho Neves</v>
      </c>
      <c r="C27" s="67" t="str">
        <f>'Capacidade UAS-CUAS'!B28</f>
        <v>1.ª Companhia</v>
      </c>
      <c r="D27" s="69">
        <f>COUNTIF(Serviços!$B$4:$B$304,A27)</f>
        <v>0</v>
      </c>
      <c r="E27" s="69">
        <f>COUNTIFS(Serviços!$B$4:$B$304,A27,Serviços!$F$4:$F$304,"UAS")</f>
        <v>0</v>
      </c>
      <c r="F27" s="69">
        <f>COUNTIFS(Serviços!$B$4:$B$304,A27,Serviços!$F$4:$F$304,"C-UAS")</f>
        <v>0</v>
      </c>
      <c r="G27" s="69">
        <f>COUNTIFS(Serviços!$B$4:$B$304,A27,Serviços!$H$4:$H$304,"Reconhecimento")</f>
        <v>0</v>
      </c>
      <c r="H27" s="69">
        <f>COUNTIFS(Serviços!$B$4:$B$304,A27,Serviços!$H$4:$H$304,"Exercício")</f>
        <v>0</v>
      </c>
      <c r="I27" s="69">
        <f>COUNTIFS(Serviços!$B$4:$B$304,A27,Serviços!$H$4:$H$304,"Apoio a Operação")</f>
        <v>0</v>
      </c>
      <c r="J27" s="69">
        <f>COUNTIFS(Serviços!$B$4:$B$304,A27,Serviços!$H$4:$H$304,"Recolha de Imagens")</f>
        <v>0</v>
      </c>
    </row>
    <row r="28" spans="1:10" x14ac:dyDescent="0.25">
      <c r="A28" s="69" t="str">
        <f>'Capacidade UAS-CUAS'!E29</f>
        <v>2140080</v>
      </c>
      <c r="B28" s="70" t="str">
        <f>'Capacidade UAS-CUAS'!F29</f>
        <v>Filipe Pimenta da Silva Rodrigues Vaquinhas Pereira de Melo</v>
      </c>
      <c r="C28" s="70" t="str">
        <f>'Capacidade UAS-CUAS'!B29</f>
        <v>1.ª Companhia</v>
      </c>
      <c r="D28" s="69">
        <f>COUNTIF(Serviços!$B$4:$B$304,A28)</f>
        <v>0</v>
      </c>
      <c r="E28" s="69">
        <f>COUNTIFS(Serviços!$B$4:$B$304,A28,Serviços!$F$4:$F$304,"UAS")</f>
        <v>0</v>
      </c>
      <c r="F28" s="69">
        <f>COUNTIFS(Serviços!$B$4:$B$304,A28,Serviços!$F$4:$F$304,"C-UAS")</f>
        <v>0</v>
      </c>
      <c r="G28" s="69">
        <f>COUNTIFS(Serviços!$B$4:$B$304,A28,Serviços!$H$4:$H$304,"Reconhecimento")</f>
        <v>0</v>
      </c>
      <c r="H28" s="69">
        <f>COUNTIFS(Serviços!$B$4:$B$304,A28,Serviços!$H$4:$H$304,"Exercício")</f>
        <v>0</v>
      </c>
      <c r="I28" s="69">
        <f>COUNTIFS(Serviços!$B$4:$B$304,A28,Serviços!$H$4:$H$304,"Apoio a Operação")</f>
        <v>0</v>
      </c>
      <c r="J28" s="69">
        <f>COUNTIFS(Serviços!$B$4:$B$304,A28,Serviços!$H$4:$H$304,"Recolha de Imagens")</f>
        <v>0</v>
      </c>
    </row>
    <row r="29" spans="1:10" x14ac:dyDescent="0.25">
      <c r="A29" s="68">
        <f>'Capacidade UAS-CUAS'!E30</f>
        <v>2060327</v>
      </c>
      <c r="B29" s="67" t="str">
        <f>'Capacidade UAS-CUAS'!F30</f>
        <v>Alfredo Rodrigues Moreira da Cunha</v>
      </c>
      <c r="C29" s="67" t="str">
        <f>'Capacidade UAS-CUAS'!B30</f>
        <v>1.ª Companhia</v>
      </c>
      <c r="D29" s="69">
        <f>COUNTIF(Serviços!$B$4:$B$304,A29)</f>
        <v>0</v>
      </c>
      <c r="E29" s="69">
        <f>COUNTIFS(Serviços!$B$4:$B$304,A29,Serviços!$F$4:$F$304,"UAS")</f>
        <v>0</v>
      </c>
      <c r="F29" s="69">
        <f>COUNTIFS(Serviços!$B$4:$B$304,A29,Serviços!$F$4:$F$304,"C-UAS")</f>
        <v>0</v>
      </c>
      <c r="G29" s="69">
        <f>COUNTIFS(Serviços!$B$4:$B$304,A29,Serviços!$H$4:$H$304,"Reconhecimento")</f>
        <v>0</v>
      </c>
      <c r="H29" s="69">
        <f>COUNTIFS(Serviços!$B$4:$B$304,A29,Serviços!$H$4:$H$304,"Exercício")</f>
        <v>0</v>
      </c>
      <c r="I29" s="69">
        <f>COUNTIFS(Serviços!$B$4:$B$304,A29,Serviços!$H$4:$H$304,"Apoio a Operação")</f>
        <v>0</v>
      </c>
      <c r="J29" s="69">
        <f>COUNTIFS(Serviços!$B$4:$B$304,A29,Serviços!$H$4:$H$304,"Recolha de Imagens")</f>
        <v>0</v>
      </c>
    </row>
    <row r="30" spans="1:10" x14ac:dyDescent="0.25">
      <c r="A30" s="69" t="str">
        <f>'Capacidade UAS-CUAS'!E31</f>
        <v>2040169</v>
      </c>
      <c r="B30" s="70" t="str">
        <f>'Capacidade UAS-CUAS'!F31</f>
        <v>Carlos André Simão Vieira</v>
      </c>
      <c r="C30" s="70" t="str">
        <f>'Capacidade UAS-CUAS'!B31</f>
        <v>1.ª Companhia</v>
      </c>
      <c r="D30" s="69">
        <f>COUNTIF(Serviços!$B$4:$B$304,A30)</f>
        <v>0</v>
      </c>
      <c r="E30" s="69">
        <f>COUNTIFS(Serviços!$B$4:$B$304,A30,Serviços!$F$4:$F$304,"UAS")</f>
        <v>0</v>
      </c>
      <c r="F30" s="69">
        <f>COUNTIFS(Serviços!$B$4:$B$304,A30,Serviços!$F$4:$F$304,"C-UAS")</f>
        <v>0</v>
      </c>
      <c r="G30" s="69">
        <f>COUNTIFS(Serviços!$B$4:$B$304,A30,Serviços!$H$4:$H$304,"Reconhecimento")</f>
        <v>0</v>
      </c>
      <c r="H30" s="69">
        <f>COUNTIFS(Serviços!$B$4:$B$304,A30,Serviços!$H$4:$H$304,"Exercício")</f>
        <v>0</v>
      </c>
      <c r="I30" s="69">
        <f>COUNTIFS(Serviços!$B$4:$B$304,A30,Serviços!$H$4:$H$304,"Apoio a Operação")</f>
        <v>0</v>
      </c>
      <c r="J30" s="69">
        <f>COUNTIFS(Serviços!$B$4:$B$304,A30,Serviços!$H$4:$H$304,"Recolha de Imagens")</f>
        <v>0</v>
      </c>
    </row>
    <row r="31" spans="1:10" x14ac:dyDescent="0.25">
      <c r="A31" s="68">
        <f>'Capacidade UAS-CUAS'!E32</f>
        <v>2040351</v>
      </c>
      <c r="B31" s="67" t="str">
        <f>'Capacidade UAS-CUAS'!F32</f>
        <v>Nuno Gonçalo Moreira Rodrigues</v>
      </c>
      <c r="C31" s="67" t="str">
        <f>'Capacidade UAS-CUAS'!B32</f>
        <v>1.ª Companhia</v>
      </c>
      <c r="D31" s="69">
        <f>COUNTIF(Serviços!$B$4:$B$304,A31)</f>
        <v>1</v>
      </c>
      <c r="E31" s="69">
        <f>COUNTIFS(Serviços!$B$4:$B$304,A31,Serviços!$F$4:$F$304,"UAS")</f>
        <v>0</v>
      </c>
      <c r="F31" s="69">
        <f>COUNTIFS(Serviços!$B$4:$B$304,A31,Serviços!$F$4:$F$304,"C-UAS")</f>
        <v>1</v>
      </c>
      <c r="G31" s="69">
        <f>COUNTIFS(Serviços!$B$4:$B$304,A31,Serviços!$H$4:$H$304,"Reconhecimento")</f>
        <v>0</v>
      </c>
      <c r="H31" s="69">
        <f>COUNTIFS(Serviços!$B$4:$B$304,A31,Serviços!$H$4:$H$304,"Exercício")</f>
        <v>1</v>
      </c>
      <c r="I31" s="69">
        <f>COUNTIFS(Serviços!$B$4:$B$304,A31,Serviços!$H$4:$H$304,"Apoio a Operação")</f>
        <v>0</v>
      </c>
      <c r="J31" s="69">
        <f>COUNTIFS(Serviços!$B$4:$B$304,A31,Serviços!$H$4:$H$304,"Recolha de Imagens")</f>
        <v>0</v>
      </c>
    </row>
    <row r="32" spans="1:10" x14ac:dyDescent="0.25">
      <c r="A32" s="69">
        <f>'Capacidade UAS-CUAS'!E33</f>
        <v>2090816</v>
      </c>
      <c r="B32" s="70" t="str">
        <f>'Capacidade UAS-CUAS'!F33</f>
        <v>Nelson Ricardo Amorim da Costa</v>
      </c>
      <c r="C32" s="70" t="str">
        <f>'Capacidade UAS-CUAS'!B33</f>
        <v>1.ª Companhia</v>
      </c>
      <c r="D32" s="69">
        <f>COUNTIF(Serviços!$B$4:$B$304,A32)</f>
        <v>0</v>
      </c>
      <c r="E32" s="69">
        <f>COUNTIFS(Serviços!$B$4:$B$304,A32,Serviços!$F$4:$F$304,"UAS")</f>
        <v>0</v>
      </c>
      <c r="F32" s="69">
        <f>COUNTIFS(Serviços!$B$4:$B$304,A32,Serviços!$F$4:$F$304,"C-UAS")</f>
        <v>0</v>
      </c>
      <c r="G32" s="69">
        <f>COUNTIFS(Serviços!$B$4:$B$304,A32,Serviços!$H$4:$H$304,"Reconhecimento")</f>
        <v>0</v>
      </c>
      <c r="H32" s="69">
        <f>COUNTIFS(Serviços!$B$4:$B$304,A32,Serviços!$H$4:$H$304,"Exercício")</f>
        <v>0</v>
      </c>
      <c r="I32" s="69">
        <f>COUNTIFS(Serviços!$B$4:$B$304,A32,Serviços!$H$4:$H$304,"Apoio a Operação")</f>
        <v>0</v>
      </c>
      <c r="J32" s="69">
        <f>COUNTIFS(Serviços!$B$4:$B$304,A32,Serviços!$H$4:$H$304,"Recolha de Imagens")</f>
        <v>0</v>
      </c>
    </row>
    <row r="33" spans="1:10" x14ac:dyDescent="0.25">
      <c r="A33" s="68">
        <f>'Capacidade UAS-CUAS'!E34</f>
        <v>2020440</v>
      </c>
      <c r="B33" s="67" t="str">
        <f>'Capacidade UAS-CUAS'!F34</f>
        <v>Rodrigo Alexandre Rosa Mateus Calado</v>
      </c>
      <c r="C33" s="67" t="str">
        <f>'Capacidade UAS-CUAS'!B34</f>
        <v>1.ª Companhia</v>
      </c>
      <c r="D33" s="69">
        <f>COUNTIF(Serviços!$B$4:$B$304,A33)</f>
        <v>0</v>
      </c>
      <c r="E33" s="69">
        <f>COUNTIFS(Serviços!$B$4:$B$304,A33,Serviços!$F$4:$F$304,"UAS")</f>
        <v>0</v>
      </c>
      <c r="F33" s="69">
        <f>COUNTIFS(Serviços!$B$4:$B$304,A33,Serviços!$F$4:$F$304,"C-UAS")</f>
        <v>0</v>
      </c>
      <c r="G33" s="69">
        <f>COUNTIFS(Serviços!$B$4:$B$304,A33,Serviços!$H$4:$H$304,"Reconhecimento")</f>
        <v>0</v>
      </c>
      <c r="H33" s="69">
        <f>COUNTIFS(Serviços!$B$4:$B$304,A33,Serviços!$H$4:$H$304,"Exercício")</f>
        <v>0</v>
      </c>
      <c r="I33" s="69">
        <f>COUNTIFS(Serviços!$B$4:$B$304,A33,Serviços!$H$4:$H$304,"Apoio a Operação")</f>
        <v>0</v>
      </c>
      <c r="J33" s="69">
        <f>COUNTIFS(Serviços!$B$4:$B$304,A33,Serviços!$H$4:$H$304,"Recolha de Imagens")</f>
        <v>0</v>
      </c>
    </row>
    <row r="34" spans="1:10" x14ac:dyDescent="0.25">
      <c r="A34" s="69">
        <f>'Capacidade UAS-CUAS'!E35</f>
        <v>2160312</v>
      </c>
      <c r="B34" s="70" t="str">
        <f>'Capacidade UAS-CUAS'!F35</f>
        <v>Pedro Miguel Martins Nunes</v>
      </c>
      <c r="C34" s="70" t="str">
        <f>'Capacidade UAS-CUAS'!B35</f>
        <v>1.ª Companhia</v>
      </c>
      <c r="D34" s="69">
        <f>COUNTIF(Serviços!$B$4:$B$304,A34)</f>
        <v>0</v>
      </c>
      <c r="E34" s="69">
        <f>COUNTIFS(Serviços!$B$4:$B$304,A34,Serviços!$F$4:$F$304,"UAS")</f>
        <v>0</v>
      </c>
      <c r="F34" s="69">
        <f>COUNTIFS(Serviços!$B$4:$B$304,A34,Serviços!$F$4:$F$304,"C-UAS")</f>
        <v>0</v>
      </c>
      <c r="G34" s="69">
        <f>COUNTIFS(Serviços!$B$4:$B$304,A34,Serviços!$H$4:$H$304,"Reconhecimento")</f>
        <v>0</v>
      </c>
      <c r="H34" s="69">
        <f>COUNTIFS(Serviços!$B$4:$B$304,A34,Serviços!$H$4:$H$304,"Exercício")</f>
        <v>0</v>
      </c>
      <c r="I34" s="69">
        <f>COUNTIFS(Serviços!$B$4:$B$304,A34,Serviços!$H$4:$H$304,"Apoio a Operação")</f>
        <v>0</v>
      </c>
      <c r="J34" s="69">
        <f>COUNTIFS(Serviços!$B$4:$B$304,A34,Serviços!$H$4:$H$304,"Recolha de Imagens")</f>
        <v>0</v>
      </c>
    </row>
    <row r="35" spans="1:10" x14ac:dyDescent="0.25">
      <c r="A35" s="68">
        <f>'Capacidade UAS-CUAS'!E36</f>
        <v>2180148</v>
      </c>
      <c r="B35" s="67" t="str">
        <f>'Capacidade UAS-CUAS'!F36</f>
        <v>Rui Miguel Gonçalves Ribeiro</v>
      </c>
      <c r="C35" s="67" t="str">
        <f>'Capacidade UAS-CUAS'!B36</f>
        <v>1.ª Companhia</v>
      </c>
      <c r="D35" s="69">
        <f>COUNTIF(Serviços!$B$4:$B$304,A35)</f>
        <v>1</v>
      </c>
      <c r="E35" s="69">
        <f>COUNTIFS(Serviços!$B$4:$B$304,A35,Serviços!$F$4:$F$304,"UAS")</f>
        <v>0</v>
      </c>
      <c r="F35" s="69">
        <f>COUNTIFS(Serviços!$B$4:$B$304,A35,Serviços!$F$4:$F$304,"C-UAS")</f>
        <v>1</v>
      </c>
      <c r="G35" s="69">
        <f>COUNTIFS(Serviços!$B$4:$B$304,A35,Serviços!$H$4:$H$304,"Reconhecimento")</f>
        <v>0</v>
      </c>
      <c r="H35" s="69">
        <f>COUNTIFS(Serviços!$B$4:$B$304,A35,Serviços!$H$4:$H$304,"Exercício")</f>
        <v>1</v>
      </c>
      <c r="I35" s="69">
        <f>COUNTIFS(Serviços!$B$4:$B$304,A35,Serviços!$H$4:$H$304,"Apoio a Operação")</f>
        <v>0</v>
      </c>
      <c r="J35" s="69">
        <f>COUNTIFS(Serviços!$B$4:$B$304,A35,Serviços!$H$4:$H$304,"Recolha de Imagens")</f>
        <v>0</v>
      </c>
    </row>
    <row r="36" spans="1:10" x14ac:dyDescent="0.25">
      <c r="A36" s="69" t="str">
        <f>'Capacidade UAS-CUAS'!E37</f>
        <v>2211307</v>
      </c>
      <c r="B36" s="70" t="str">
        <f>'Capacidade UAS-CUAS'!F37</f>
        <v>João Pedro da Silva Soares</v>
      </c>
      <c r="C36" s="70" t="str">
        <f>'Capacidade UAS-CUAS'!B37</f>
        <v>1.ª Companhia</v>
      </c>
      <c r="D36" s="69">
        <f>COUNTIF(Serviços!$B$4:$B$304,A36)</f>
        <v>0</v>
      </c>
      <c r="E36" s="69">
        <f>COUNTIFS(Serviços!$B$4:$B$304,A36,Serviços!$F$4:$F$304,"UAS")</f>
        <v>0</v>
      </c>
      <c r="F36" s="69">
        <f>COUNTIFS(Serviços!$B$4:$B$304,A36,Serviços!$F$4:$F$304,"C-UAS")</f>
        <v>0</v>
      </c>
      <c r="G36" s="69">
        <f>COUNTIFS(Serviços!$B$4:$B$304,A36,Serviços!$H$4:$H$304,"Reconhecimento")</f>
        <v>0</v>
      </c>
      <c r="H36" s="69">
        <f>COUNTIFS(Serviços!$B$4:$B$304,A36,Serviços!$H$4:$H$304,"Exercício")</f>
        <v>0</v>
      </c>
      <c r="I36" s="69">
        <f>COUNTIFS(Serviços!$B$4:$B$304,A36,Serviços!$H$4:$H$304,"Apoio a Operação")</f>
        <v>0</v>
      </c>
      <c r="J36" s="69">
        <f>COUNTIFS(Serviços!$B$4:$B$304,A36,Serviços!$H$4:$H$304,"Recolha de Imagens")</f>
        <v>0</v>
      </c>
    </row>
    <row r="37" spans="1:10" x14ac:dyDescent="0.25">
      <c r="A37" s="68" t="str">
        <f>'Capacidade UAS-CUAS'!E38</f>
        <v>1990953</v>
      </c>
      <c r="B37" s="67" t="str">
        <f>'Capacidade UAS-CUAS'!F38</f>
        <v>Orlando Augusto Gil Cosme</v>
      </c>
      <c r="C37" s="67" t="str">
        <f>'Capacidade UAS-CUAS'!B38</f>
        <v>2.ª Companhia</v>
      </c>
      <c r="D37" s="69">
        <f>COUNTIF(Serviços!$B$4:$B$304,A37)</f>
        <v>0</v>
      </c>
      <c r="E37" s="69">
        <f>COUNTIFS(Serviços!$B$4:$B$304,A37,Serviços!$F$4:$F$304,"UAS")</f>
        <v>0</v>
      </c>
      <c r="F37" s="69">
        <f>COUNTIFS(Serviços!$B$4:$B$304,A37,Serviços!$F$4:$F$304,"C-UAS")</f>
        <v>0</v>
      </c>
      <c r="G37" s="69">
        <f>COUNTIFS(Serviços!$B$4:$B$304,A37,Serviços!$H$4:$H$304,"Reconhecimento")</f>
        <v>0</v>
      </c>
      <c r="H37" s="69">
        <f>COUNTIFS(Serviços!$B$4:$B$304,A37,Serviços!$H$4:$H$304,"Exercício")</f>
        <v>0</v>
      </c>
      <c r="I37" s="69">
        <f>COUNTIFS(Serviços!$B$4:$B$304,A37,Serviços!$H$4:$H$304,"Apoio a Operação")</f>
        <v>0</v>
      </c>
      <c r="J37" s="69">
        <f>COUNTIFS(Serviços!$B$4:$B$304,A37,Serviços!$H$4:$H$304,"Recolha de Imagens")</f>
        <v>0</v>
      </c>
    </row>
    <row r="38" spans="1:10" x14ac:dyDescent="0.25">
      <c r="A38" s="69" t="e">
        <f>'Capacidade UAS-CUAS'!#REF!</f>
        <v>#REF!</v>
      </c>
      <c r="B38" s="70" t="e">
        <f>'Capacidade UAS-CUAS'!#REF!</f>
        <v>#REF!</v>
      </c>
      <c r="C38" s="70" t="e">
        <f>'Capacidade UAS-CUAS'!#REF!</f>
        <v>#REF!</v>
      </c>
      <c r="D38" s="69">
        <f>COUNTIF(Serviços!$B$4:$B$304,A38)</f>
        <v>0</v>
      </c>
      <c r="E38" s="69">
        <f>COUNTIFS(Serviços!$B$4:$B$304,A38,Serviços!$F$4:$F$304,"UAS")</f>
        <v>0</v>
      </c>
      <c r="F38" s="69">
        <f>COUNTIFS(Serviços!$B$4:$B$304,A38,Serviços!$F$4:$F$304,"C-UAS")</f>
        <v>0</v>
      </c>
      <c r="G38" s="69">
        <f>COUNTIFS(Serviços!$B$4:$B$304,A38,Serviços!$H$4:$H$304,"Reconhecimento")</f>
        <v>0</v>
      </c>
      <c r="H38" s="69">
        <f>COUNTIFS(Serviços!$B$4:$B$304,A38,Serviços!$H$4:$H$304,"Exercício")</f>
        <v>0</v>
      </c>
      <c r="I38" s="69">
        <f>COUNTIFS(Serviços!$B$4:$B$304,A38,Serviços!$H$4:$H$304,"Apoio a Operação")</f>
        <v>0</v>
      </c>
      <c r="J38" s="69">
        <f>COUNTIFS(Serviços!$B$4:$B$304,A38,Serviços!$H$4:$H$304,"Recolha de Imagens")</f>
        <v>0</v>
      </c>
    </row>
    <row r="39" spans="1:10" x14ac:dyDescent="0.25">
      <c r="A39" s="68">
        <f>'Capacidade UAS-CUAS'!E39</f>
        <v>2060540</v>
      </c>
      <c r="B39" s="67" t="str">
        <f>'Capacidade UAS-CUAS'!F39</f>
        <v>Alexandre Filipe Correia Tomázio</v>
      </c>
      <c r="C39" s="67" t="str">
        <f>'Capacidade UAS-CUAS'!B39</f>
        <v>2.ª Companhia</v>
      </c>
      <c r="D39" s="69">
        <f>COUNTIF(Serviços!$B$4:$B$304,A39)</f>
        <v>0</v>
      </c>
      <c r="E39" s="69">
        <f>COUNTIFS(Serviços!$B$4:$B$304,A39,Serviços!$F$4:$F$304,"UAS")</f>
        <v>0</v>
      </c>
      <c r="F39" s="69">
        <f>COUNTIFS(Serviços!$B$4:$B$304,A39,Serviços!$F$4:$F$304,"C-UAS")</f>
        <v>0</v>
      </c>
      <c r="G39" s="69">
        <f>COUNTIFS(Serviços!$B$4:$B$304,A39,Serviços!$H$4:$H$304,"Reconhecimento")</f>
        <v>0</v>
      </c>
      <c r="H39" s="69">
        <f>COUNTIFS(Serviços!$B$4:$B$304,A39,Serviços!$H$4:$H$304,"Exercício")</f>
        <v>0</v>
      </c>
      <c r="I39" s="69">
        <f>COUNTIFS(Serviços!$B$4:$B$304,A39,Serviços!$H$4:$H$304,"Apoio a Operação")</f>
        <v>0</v>
      </c>
      <c r="J39" s="69">
        <f>COUNTIFS(Serviços!$B$4:$B$304,A39,Serviços!$H$4:$H$304,"Recolha de Imagens")</f>
        <v>0</v>
      </c>
    </row>
    <row r="40" spans="1:10" x14ac:dyDescent="0.25">
      <c r="A40" s="69">
        <f>'Capacidade UAS-CUAS'!E41</f>
        <v>2150448</v>
      </c>
      <c r="B40" s="70" t="str">
        <f>'Capacidade UAS-CUAS'!F41</f>
        <v>João Maria Domingos Henriques</v>
      </c>
      <c r="C40" s="70" t="str">
        <f>'Capacidade UAS-CUAS'!B41</f>
        <v>2.ª Companhia</v>
      </c>
      <c r="D40" s="69">
        <f>COUNTIF(Serviços!$B$4:$B$304,A40)</f>
        <v>0</v>
      </c>
      <c r="E40" s="69">
        <f>COUNTIFS(Serviços!$B$4:$B$304,A40,Serviços!$F$4:$F$304,"UAS")</f>
        <v>0</v>
      </c>
      <c r="F40" s="69">
        <f>COUNTIFS(Serviços!$B$4:$B$304,A40,Serviços!$F$4:$F$304,"C-UAS")</f>
        <v>0</v>
      </c>
      <c r="G40" s="69">
        <f>COUNTIFS(Serviços!$B$4:$B$304,A40,Serviços!$H$4:$H$304,"Reconhecimento")</f>
        <v>0</v>
      </c>
      <c r="H40" s="69">
        <f>COUNTIFS(Serviços!$B$4:$B$304,A40,Serviços!$H$4:$H$304,"Exercício")</f>
        <v>0</v>
      </c>
      <c r="I40" s="69">
        <f>COUNTIFS(Serviços!$B$4:$B$304,A40,Serviços!$H$4:$H$304,"Apoio a Operação")</f>
        <v>0</v>
      </c>
      <c r="J40" s="69">
        <f>COUNTIFS(Serviços!$B$4:$B$304,A40,Serviços!$H$4:$H$304,"Recolha de Imagens")</f>
        <v>0</v>
      </c>
    </row>
    <row r="41" spans="1:10" x14ac:dyDescent="0.25">
      <c r="A41" s="68">
        <f>'Capacidade UAS-CUAS'!E42</f>
        <v>1991035</v>
      </c>
      <c r="B41" s="67" t="str">
        <f>'Capacidade UAS-CUAS'!F42</f>
        <v>Bruno Miguel Lameiras Patrocínio</v>
      </c>
      <c r="C41" s="67" t="str">
        <f>'Capacidade UAS-CUAS'!B42</f>
        <v>2.ª Companhia</v>
      </c>
      <c r="D41" s="69">
        <f>COUNTIF(Serviços!$B$4:$B$304,A41)</f>
        <v>0</v>
      </c>
      <c r="E41" s="69">
        <f>COUNTIFS(Serviços!$B$4:$B$304,A41,Serviços!$F$4:$F$304,"UAS")</f>
        <v>0</v>
      </c>
      <c r="F41" s="69">
        <f>COUNTIFS(Serviços!$B$4:$B$304,A41,Serviços!$F$4:$F$304,"C-UAS")</f>
        <v>0</v>
      </c>
      <c r="G41" s="69">
        <f>COUNTIFS(Serviços!$B$4:$B$304,A41,Serviços!$H$4:$H$304,"Reconhecimento")</f>
        <v>0</v>
      </c>
      <c r="H41" s="69">
        <f>COUNTIFS(Serviços!$B$4:$B$304,A41,Serviços!$H$4:$H$304,"Exercício")</f>
        <v>0</v>
      </c>
      <c r="I41" s="69">
        <f>COUNTIFS(Serviços!$B$4:$B$304,A41,Serviços!$H$4:$H$304,"Apoio a Operação")</f>
        <v>0</v>
      </c>
      <c r="J41" s="69">
        <f>COUNTIFS(Serviços!$B$4:$B$304,A41,Serviços!$H$4:$H$304,"Recolha de Imagens")</f>
        <v>0</v>
      </c>
    </row>
    <row r="42" spans="1:10" x14ac:dyDescent="0.25">
      <c r="A42" s="69" t="str">
        <f>'Capacidade UAS-CUAS'!E43</f>
        <v>2070759</v>
      </c>
      <c r="B42" s="70" t="str">
        <f>'Capacidade UAS-CUAS'!F43</f>
        <v>David Filipe Monteiro Pereira</v>
      </c>
      <c r="C42" s="70" t="str">
        <f>'Capacidade UAS-CUAS'!B43</f>
        <v>2.ª Companhia</v>
      </c>
      <c r="D42" s="69">
        <f>COUNTIF(Serviços!$B$4:$B$304,A42)</f>
        <v>0</v>
      </c>
      <c r="E42" s="69">
        <f>COUNTIFS(Serviços!$B$4:$B$304,A42,Serviços!$F$4:$F$304,"UAS")</f>
        <v>0</v>
      </c>
      <c r="F42" s="69">
        <f>COUNTIFS(Serviços!$B$4:$B$304,A42,Serviços!$F$4:$F$304,"C-UAS")</f>
        <v>0</v>
      </c>
      <c r="G42" s="69">
        <f>COUNTIFS(Serviços!$B$4:$B$304,A42,Serviços!$H$4:$H$304,"Reconhecimento")</f>
        <v>0</v>
      </c>
      <c r="H42" s="69">
        <f>COUNTIFS(Serviços!$B$4:$B$304,A42,Serviços!$H$4:$H$304,"Exercício")</f>
        <v>0</v>
      </c>
      <c r="I42" s="69">
        <f>COUNTIFS(Serviços!$B$4:$B$304,A42,Serviços!$H$4:$H$304,"Apoio a Operação")</f>
        <v>0</v>
      </c>
      <c r="J42" s="69">
        <f>COUNTIFS(Serviços!$B$4:$B$304,A42,Serviços!$H$4:$H$304,"Recolha de Imagens")</f>
        <v>0</v>
      </c>
    </row>
    <row r="43" spans="1:10" x14ac:dyDescent="0.25">
      <c r="A43" s="68">
        <f>'Capacidade UAS-CUAS'!E44</f>
        <v>2070922</v>
      </c>
      <c r="B43" s="67" t="str">
        <f>'Capacidade UAS-CUAS'!F44</f>
        <v>Nuno Pedro Rolo Correia Veloso</v>
      </c>
      <c r="C43" s="67" t="str">
        <f>'Capacidade UAS-CUAS'!B44</f>
        <v>2.ª Companhia</v>
      </c>
      <c r="D43" s="69">
        <f>COUNTIF(Serviços!$B$4:$B$304,A43)</f>
        <v>1</v>
      </c>
      <c r="E43" s="69">
        <f>COUNTIFS(Serviços!$B$4:$B$304,A43,Serviços!$F$4:$F$304,"UAS")</f>
        <v>1</v>
      </c>
      <c r="F43" s="69">
        <f>COUNTIFS(Serviços!$B$4:$B$304,A43,Serviços!$F$4:$F$304,"C-UAS")</f>
        <v>0</v>
      </c>
      <c r="G43" s="69">
        <f>COUNTIFS(Serviços!$B$4:$B$304,A43,Serviços!$H$4:$H$304,"Reconhecimento")</f>
        <v>1</v>
      </c>
      <c r="H43" s="69">
        <f>COUNTIFS(Serviços!$B$4:$B$304,A43,Serviços!$H$4:$H$304,"Exercício")</f>
        <v>0</v>
      </c>
      <c r="I43" s="69">
        <f>COUNTIFS(Serviços!$B$4:$B$304,A43,Serviços!$H$4:$H$304,"Apoio a Operação")</f>
        <v>0</v>
      </c>
      <c r="J43" s="69">
        <f>COUNTIFS(Serviços!$B$4:$B$304,A43,Serviços!$H$4:$H$304,"Recolha de Imagens")</f>
        <v>0</v>
      </c>
    </row>
    <row r="44" spans="1:10" x14ac:dyDescent="0.25">
      <c r="A44" s="69" t="str">
        <f>'Capacidade UAS-CUAS'!E45</f>
        <v>2070960</v>
      </c>
      <c r="B44" s="70" t="str">
        <f>'Capacidade UAS-CUAS'!F45</f>
        <v>Nuno Duarte Beira Pires Pereira</v>
      </c>
      <c r="C44" s="70" t="str">
        <f>'Capacidade UAS-CUAS'!B45</f>
        <v>2.ª Companhia</v>
      </c>
      <c r="D44" s="69">
        <f>COUNTIF(Serviços!$B$4:$B$304,A44)</f>
        <v>0</v>
      </c>
      <c r="E44" s="69">
        <f>COUNTIFS(Serviços!$B$4:$B$304,A44,Serviços!$F$4:$F$304,"UAS")</f>
        <v>0</v>
      </c>
      <c r="F44" s="69">
        <f>COUNTIFS(Serviços!$B$4:$B$304,A44,Serviços!$F$4:$F$304,"C-UAS")</f>
        <v>0</v>
      </c>
      <c r="G44" s="69">
        <f>COUNTIFS(Serviços!$B$4:$B$304,A44,Serviços!$H$4:$H$304,"Reconhecimento")</f>
        <v>0</v>
      </c>
      <c r="H44" s="69">
        <f>COUNTIFS(Serviços!$B$4:$B$304,A44,Serviços!$H$4:$H$304,"Exercício")</f>
        <v>0</v>
      </c>
      <c r="I44" s="69">
        <f>COUNTIFS(Serviços!$B$4:$B$304,A44,Serviços!$H$4:$H$304,"Apoio a Operação")</f>
        <v>0</v>
      </c>
      <c r="J44" s="69">
        <f>COUNTIFS(Serviços!$B$4:$B$304,A44,Serviços!$H$4:$H$304,"Recolha de Imagens")</f>
        <v>0</v>
      </c>
    </row>
    <row r="45" spans="1:10" x14ac:dyDescent="0.25">
      <c r="A45" s="68">
        <f>'Capacidade UAS-CUAS'!E46</f>
        <v>2120476</v>
      </c>
      <c r="B45" s="67" t="str">
        <f>'Capacidade UAS-CUAS'!F46</f>
        <v>Tiago Realinho da Costa</v>
      </c>
      <c r="C45" s="67" t="str">
        <f>'Capacidade UAS-CUAS'!B46</f>
        <v>2.ª Companhia</v>
      </c>
      <c r="D45" s="69">
        <f>COUNTIF(Serviços!$B$4:$B$304,A45)</f>
        <v>0</v>
      </c>
      <c r="E45" s="69">
        <f>COUNTIFS(Serviços!$B$4:$B$304,A45,Serviços!$F$4:$F$304,"UAS")</f>
        <v>0</v>
      </c>
      <c r="F45" s="69">
        <f>COUNTIFS(Serviços!$B$4:$B$304,A45,Serviços!$F$4:$F$304,"C-UAS")</f>
        <v>0</v>
      </c>
      <c r="G45" s="69">
        <f>COUNTIFS(Serviços!$B$4:$B$304,A45,Serviços!$H$4:$H$304,"Reconhecimento")</f>
        <v>0</v>
      </c>
      <c r="H45" s="69">
        <f>COUNTIFS(Serviços!$B$4:$B$304,A45,Serviços!$H$4:$H$304,"Exercício")</f>
        <v>0</v>
      </c>
      <c r="I45" s="69">
        <f>COUNTIFS(Serviços!$B$4:$B$304,A45,Serviços!$H$4:$H$304,"Apoio a Operação")</f>
        <v>0</v>
      </c>
      <c r="J45" s="69">
        <f>COUNTIFS(Serviços!$B$4:$B$304,A45,Serviços!$H$4:$H$304,"Recolha de Imagens")</f>
        <v>0</v>
      </c>
    </row>
    <row r="46" spans="1:10" x14ac:dyDescent="0.25">
      <c r="A46" s="69">
        <f>'Capacidade UAS-CUAS'!E47</f>
        <v>2220821</v>
      </c>
      <c r="B46" s="70" t="str">
        <f>'Capacidade UAS-CUAS'!F47</f>
        <v>João Carlos Pereira Nunes</v>
      </c>
      <c r="C46" s="70" t="str">
        <f>'Capacidade UAS-CUAS'!B47</f>
        <v>2.ª Companhia</v>
      </c>
      <c r="D46" s="69">
        <f>COUNTIF(Serviços!$B$4:$B$304,A46)</f>
        <v>0</v>
      </c>
      <c r="E46" s="69">
        <f>COUNTIFS(Serviços!$B$4:$B$304,A46,Serviços!$F$4:$F$304,"UAS")</f>
        <v>0</v>
      </c>
      <c r="F46" s="69">
        <f>COUNTIFS(Serviços!$B$4:$B$304,A46,Serviços!$F$4:$F$304,"C-UAS")</f>
        <v>0</v>
      </c>
      <c r="G46" s="69">
        <f>COUNTIFS(Serviços!$B$4:$B$304,A46,Serviços!$H$4:$H$304,"Reconhecimento")</f>
        <v>0</v>
      </c>
      <c r="H46" s="69">
        <f>COUNTIFS(Serviços!$B$4:$B$304,A46,Serviços!$H$4:$H$304,"Exercício")</f>
        <v>0</v>
      </c>
      <c r="I46" s="69">
        <f>COUNTIFS(Serviços!$B$4:$B$304,A46,Serviços!$H$4:$H$304,"Apoio a Operação")</f>
        <v>0</v>
      </c>
      <c r="J46" s="69">
        <f>COUNTIFS(Serviços!$B$4:$B$304,A46,Serviços!$H$4:$H$304,"Recolha de Imagens")</f>
        <v>0</v>
      </c>
    </row>
    <row r="47" spans="1:10" x14ac:dyDescent="0.25">
      <c r="A47" s="68">
        <f>'Capacidade UAS-CUAS'!E48</f>
        <v>2090305</v>
      </c>
      <c r="B47" s="67" t="str">
        <f>'Capacidade UAS-CUAS'!F48</f>
        <v>Fabio Emanuel Marques Antunes</v>
      </c>
      <c r="C47" s="67" t="str">
        <f>'Capacidade UAS-CUAS'!B48</f>
        <v>2.ª Companhia</v>
      </c>
      <c r="D47" s="69">
        <f>COUNTIF(Serviços!$B$4:$B$304,A47)</f>
        <v>0</v>
      </c>
      <c r="E47" s="69">
        <f>COUNTIFS(Serviços!$B$4:$B$304,A47,Serviços!$F$4:$F$304,"UAS")</f>
        <v>0</v>
      </c>
      <c r="F47" s="69">
        <f>COUNTIFS(Serviços!$B$4:$B$304,A47,Serviços!$F$4:$F$304,"C-UAS")</f>
        <v>0</v>
      </c>
      <c r="G47" s="69">
        <f>COUNTIFS(Serviços!$B$4:$B$304,A47,Serviços!$H$4:$H$304,"Reconhecimento")</f>
        <v>0</v>
      </c>
      <c r="H47" s="69">
        <f>COUNTIFS(Serviços!$B$4:$B$304,A47,Serviços!$H$4:$H$304,"Exercício")</f>
        <v>0</v>
      </c>
      <c r="I47" s="69">
        <f>COUNTIFS(Serviços!$B$4:$B$304,A47,Serviços!$H$4:$H$304,"Apoio a Operação")</f>
        <v>0</v>
      </c>
      <c r="J47" s="69">
        <f>COUNTIFS(Serviços!$B$4:$B$304,A47,Serviços!$H$4:$H$304,"Recolha de Imagens")</f>
        <v>0</v>
      </c>
    </row>
    <row r="48" spans="1:10" x14ac:dyDescent="0.25">
      <c r="A48" s="69">
        <f>'Capacidade UAS-CUAS'!E49</f>
        <v>1970446</v>
      </c>
      <c r="B48" s="70" t="str">
        <f>'Capacidade UAS-CUAS'!F49</f>
        <v>Paulo Jorge dos Santos Coelho</v>
      </c>
      <c r="C48" s="70" t="str">
        <f>'Capacidade UAS-CUAS'!B49</f>
        <v>2.ª Companhia</v>
      </c>
      <c r="D48" s="69">
        <f>COUNTIF(Serviços!$B$4:$B$304,A48)</f>
        <v>0</v>
      </c>
      <c r="E48" s="69">
        <f>COUNTIFS(Serviços!$B$4:$B$304,A48,Serviços!$F$4:$F$304,"UAS")</f>
        <v>0</v>
      </c>
      <c r="F48" s="69">
        <f>COUNTIFS(Serviços!$B$4:$B$304,A48,Serviços!$F$4:$F$304,"C-UAS")</f>
        <v>0</v>
      </c>
      <c r="G48" s="69">
        <f>COUNTIFS(Serviços!$B$4:$B$304,A48,Serviços!$H$4:$H$304,"Reconhecimento")</f>
        <v>0</v>
      </c>
      <c r="H48" s="69">
        <f>COUNTIFS(Serviços!$B$4:$B$304,A48,Serviços!$H$4:$H$304,"Exercício")</f>
        <v>0</v>
      </c>
      <c r="I48" s="69">
        <f>COUNTIFS(Serviços!$B$4:$B$304,A48,Serviços!$H$4:$H$304,"Apoio a Operação")</f>
        <v>0</v>
      </c>
      <c r="J48" s="69">
        <f>COUNTIFS(Serviços!$B$4:$B$304,A48,Serviços!$H$4:$H$304,"Recolha de Imagens")</f>
        <v>0</v>
      </c>
    </row>
    <row r="49" spans="1:10" x14ac:dyDescent="0.25">
      <c r="A49" s="68" t="str">
        <f>'Capacidade UAS-CUAS'!E50</f>
        <v>1990783</v>
      </c>
      <c r="B49" s="67" t="str">
        <f>'Capacidade UAS-CUAS'!F50</f>
        <v>Luís Filipe Sequeira Batista Pombo</v>
      </c>
      <c r="C49" s="67" t="str">
        <f>'Capacidade UAS-CUAS'!B50</f>
        <v>2.ª Companhia</v>
      </c>
      <c r="D49" s="69">
        <f>COUNTIF(Serviços!$B$4:$B$304,A49)</f>
        <v>0</v>
      </c>
      <c r="E49" s="69">
        <f>COUNTIFS(Serviços!$B$4:$B$304,A49,Serviços!$F$4:$F$304,"UAS")</f>
        <v>0</v>
      </c>
      <c r="F49" s="69">
        <f>COUNTIFS(Serviços!$B$4:$B$304,A49,Serviços!$F$4:$F$304,"C-UAS")</f>
        <v>0</v>
      </c>
      <c r="G49" s="69">
        <f>COUNTIFS(Serviços!$B$4:$B$304,A49,Serviços!$H$4:$H$304,"Reconhecimento")</f>
        <v>0</v>
      </c>
      <c r="H49" s="69">
        <f>COUNTIFS(Serviços!$B$4:$B$304,A49,Serviços!$H$4:$H$304,"Exercício")</f>
        <v>0</v>
      </c>
      <c r="I49" s="69">
        <f>COUNTIFS(Serviços!$B$4:$B$304,A49,Serviços!$H$4:$H$304,"Apoio a Operação")</f>
        <v>0</v>
      </c>
      <c r="J49" s="69">
        <f>COUNTIFS(Serviços!$B$4:$B$304,A49,Serviços!$H$4:$H$304,"Recolha de Imagens")</f>
        <v>0</v>
      </c>
    </row>
    <row r="50" spans="1:10" x14ac:dyDescent="0.25">
      <c r="A50" s="69" t="str">
        <f>'Capacidade UAS-CUAS'!E51</f>
        <v>2010584</v>
      </c>
      <c r="B50" s="70" t="str">
        <f>'Capacidade UAS-CUAS'!F51</f>
        <v>Alberto Pinto de Andrade</v>
      </c>
      <c r="C50" s="70" t="str">
        <f>'Capacidade UAS-CUAS'!B51</f>
        <v>2.ª Companhia</v>
      </c>
      <c r="D50" s="69">
        <f>COUNTIF(Serviços!$B$4:$B$304,A50)</f>
        <v>0</v>
      </c>
      <c r="E50" s="69">
        <f>COUNTIFS(Serviços!$B$4:$B$304,A50,Serviços!$F$4:$F$304,"UAS")</f>
        <v>0</v>
      </c>
      <c r="F50" s="69">
        <f>COUNTIFS(Serviços!$B$4:$B$304,A50,Serviços!$F$4:$F$304,"C-UAS")</f>
        <v>0</v>
      </c>
      <c r="G50" s="69">
        <f>COUNTIFS(Serviços!$B$4:$B$304,A50,Serviços!$H$4:$H$304,"Reconhecimento")</f>
        <v>0</v>
      </c>
      <c r="H50" s="69">
        <f>COUNTIFS(Serviços!$B$4:$B$304,A50,Serviços!$H$4:$H$304,"Exercício")</f>
        <v>0</v>
      </c>
      <c r="I50" s="69">
        <f>COUNTIFS(Serviços!$B$4:$B$304,A50,Serviços!$H$4:$H$304,"Apoio a Operação")</f>
        <v>0</v>
      </c>
      <c r="J50" s="69">
        <f>COUNTIFS(Serviços!$B$4:$B$304,A50,Serviços!$H$4:$H$304,"Recolha de Imagens")</f>
        <v>0</v>
      </c>
    </row>
    <row r="51" spans="1:10" x14ac:dyDescent="0.25">
      <c r="A51" s="68">
        <f>'Capacidade UAS-CUAS'!E52</f>
        <v>2040406</v>
      </c>
      <c r="B51" s="67" t="str">
        <f>'Capacidade UAS-CUAS'!F52</f>
        <v>José Alfredo Trigo Lorga</v>
      </c>
      <c r="C51" s="67" t="str">
        <f>'Capacidade UAS-CUAS'!B52</f>
        <v>2.ª Companhia</v>
      </c>
      <c r="D51" s="69">
        <f>COUNTIF(Serviços!$B$4:$B$304,A51)</f>
        <v>0</v>
      </c>
      <c r="E51" s="69">
        <f>COUNTIFS(Serviços!$B$4:$B$304,A51,Serviços!$F$4:$F$304,"UAS")</f>
        <v>0</v>
      </c>
      <c r="F51" s="69">
        <f>COUNTIFS(Serviços!$B$4:$B$304,A51,Serviços!$F$4:$F$304,"C-UAS")</f>
        <v>0</v>
      </c>
      <c r="G51" s="69">
        <f>COUNTIFS(Serviços!$B$4:$B$304,A51,Serviços!$H$4:$H$304,"Reconhecimento")</f>
        <v>0</v>
      </c>
      <c r="H51" s="69">
        <f>COUNTIFS(Serviços!$B$4:$B$304,A51,Serviços!$H$4:$H$304,"Exercício")</f>
        <v>0</v>
      </c>
      <c r="I51" s="69">
        <f>COUNTIFS(Serviços!$B$4:$B$304,A51,Serviços!$H$4:$H$304,"Apoio a Operação")</f>
        <v>0</v>
      </c>
      <c r="J51" s="69">
        <f>COUNTIFS(Serviços!$B$4:$B$304,A51,Serviços!$H$4:$H$304,"Recolha de Imagens")</f>
        <v>0</v>
      </c>
    </row>
    <row r="52" spans="1:10" x14ac:dyDescent="0.25">
      <c r="A52" s="69" t="str">
        <f>'Capacidade UAS-CUAS'!E53</f>
        <v>2040682</v>
      </c>
      <c r="B52" s="70" t="str">
        <f>'Capacidade UAS-CUAS'!F53</f>
        <v>Dário Gonçalo Farçadas Ruivo</v>
      </c>
      <c r="C52" s="70" t="str">
        <f>'Capacidade UAS-CUAS'!B53</f>
        <v>2.ª Companhia</v>
      </c>
      <c r="D52" s="69">
        <f>COUNTIF(Serviços!$B$4:$B$304,A52)</f>
        <v>0</v>
      </c>
      <c r="E52" s="69">
        <f>COUNTIFS(Serviços!$B$4:$B$304,A52,Serviços!$F$4:$F$304,"UAS")</f>
        <v>0</v>
      </c>
      <c r="F52" s="69">
        <f>COUNTIFS(Serviços!$B$4:$B$304,A52,Serviços!$F$4:$F$304,"C-UAS")</f>
        <v>0</v>
      </c>
      <c r="G52" s="69">
        <f>COUNTIFS(Serviços!$B$4:$B$304,A52,Serviços!$H$4:$H$304,"Reconhecimento")</f>
        <v>0</v>
      </c>
      <c r="H52" s="69">
        <f>COUNTIFS(Serviços!$B$4:$B$304,A52,Serviços!$H$4:$H$304,"Exercício")</f>
        <v>0</v>
      </c>
      <c r="I52" s="69">
        <f>COUNTIFS(Serviços!$B$4:$B$304,A52,Serviços!$H$4:$H$304,"Apoio a Operação")</f>
        <v>0</v>
      </c>
      <c r="J52" s="69">
        <f>COUNTIFS(Serviços!$B$4:$B$304,A52,Serviços!$H$4:$H$304,"Recolha de Imagens")</f>
        <v>0</v>
      </c>
    </row>
    <row r="53" spans="1:10" x14ac:dyDescent="0.25">
      <c r="A53" s="68" t="str">
        <f>'Capacidade UAS-CUAS'!E54</f>
        <v>2061022</v>
      </c>
      <c r="B53" s="67" t="str">
        <f>'Capacidade UAS-CUAS'!F54</f>
        <v>Bruno José Lopes Ferreira Furtado</v>
      </c>
      <c r="C53" s="67" t="str">
        <f>'Capacidade UAS-CUAS'!B54</f>
        <v>2.ª Companhia</v>
      </c>
      <c r="D53" s="69">
        <f>COUNTIF(Serviços!$B$4:$B$304,A53)</f>
        <v>0</v>
      </c>
      <c r="E53" s="69">
        <f>COUNTIFS(Serviços!$B$4:$B$304,A53,Serviços!$F$4:$F$304,"UAS")</f>
        <v>0</v>
      </c>
      <c r="F53" s="69">
        <f>COUNTIFS(Serviços!$B$4:$B$304,A53,Serviços!$F$4:$F$304,"C-UAS")</f>
        <v>0</v>
      </c>
      <c r="G53" s="69">
        <f>COUNTIFS(Serviços!$B$4:$B$304,A53,Serviços!$H$4:$H$304,"Reconhecimento")</f>
        <v>0</v>
      </c>
      <c r="H53" s="69">
        <f>COUNTIFS(Serviços!$B$4:$B$304,A53,Serviços!$H$4:$H$304,"Exercício")</f>
        <v>0</v>
      </c>
      <c r="I53" s="69">
        <f>COUNTIFS(Serviços!$B$4:$B$304,A53,Serviços!$H$4:$H$304,"Apoio a Operação")</f>
        <v>0</v>
      </c>
      <c r="J53" s="69">
        <f>COUNTIFS(Serviços!$B$4:$B$304,A53,Serviços!$H$4:$H$304,"Recolha de Imagens")</f>
        <v>0</v>
      </c>
    </row>
    <row r="54" spans="1:10" x14ac:dyDescent="0.25">
      <c r="A54" s="69">
        <f>'Capacidade UAS-CUAS'!E55</f>
        <v>2210169</v>
      </c>
      <c r="B54" s="70" t="str">
        <f>'Capacidade UAS-CUAS'!F55</f>
        <v>Gonçalo Filipe Sousa Ferreira</v>
      </c>
      <c r="C54" s="70" t="str">
        <f>'Capacidade UAS-CUAS'!B55</f>
        <v>2.ª Companhia</v>
      </c>
      <c r="D54" s="69">
        <f>COUNTIF(Serviços!$B$4:$B$304,A54)</f>
        <v>0</v>
      </c>
      <c r="E54" s="69">
        <f>COUNTIFS(Serviços!$B$4:$B$304,A54,Serviços!$F$4:$F$304,"UAS")</f>
        <v>0</v>
      </c>
      <c r="F54" s="69">
        <f>COUNTIFS(Serviços!$B$4:$B$304,A54,Serviços!$F$4:$F$304,"C-UAS")</f>
        <v>0</v>
      </c>
      <c r="G54" s="69">
        <f>COUNTIFS(Serviços!$B$4:$B$304,A54,Serviços!$H$4:$H$304,"Reconhecimento")</f>
        <v>0</v>
      </c>
      <c r="H54" s="69">
        <f>COUNTIFS(Serviços!$B$4:$B$304,A54,Serviços!$H$4:$H$304,"Exercício")</f>
        <v>0</v>
      </c>
      <c r="I54" s="69">
        <f>COUNTIFS(Serviços!$B$4:$B$304,A54,Serviços!$H$4:$H$304,"Apoio a Operação")</f>
        <v>0</v>
      </c>
      <c r="J54" s="69">
        <f>COUNTIFS(Serviços!$B$4:$B$304,A54,Serviços!$H$4:$H$304,"Recolha de Imagens")</f>
        <v>0</v>
      </c>
    </row>
    <row r="55" spans="1:10" x14ac:dyDescent="0.25">
      <c r="A55" s="68">
        <f>'Capacidade UAS-CUAS'!E56</f>
        <v>2100420</v>
      </c>
      <c r="B55" s="67" t="str">
        <f>'Capacidade UAS-CUAS'!F56</f>
        <v>Rúben Alexandre Avelino Valente</v>
      </c>
      <c r="C55" s="67" t="str">
        <f>'Capacidade UAS-CUAS'!B56</f>
        <v>3.ª Companhia</v>
      </c>
      <c r="D55" s="69">
        <f>COUNTIF(Serviços!$B$4:$B$304,A55)</f>
        <v>0</v>
      </c>
      <c r="E55" s="69">
        <f>COUNTIFS(Serviços!$B$4:$B$304,A55,Serviços!$F$4:$F$304,"UAS")</f>
        <v>0</v>
      </c>
      <c r="F55" s="69">
        <f>COUNTIFS(Serviços!$B$4:$B$304,A55,Serviços!$F$4:$F$304,"C-UAS")</f>
        <v>0</v>
      </c>
      <c r="G55" s="69">
        <f>COUNTIFS(Serviços!$B$4:$B$304,A55,Serviços!$H$4:$H$304,"Reconhecimento")</f>
        <v>0</v>
      </c>
      <c r="H55" s="69">
        <f>COUNTIFS(Serviços!$B$4:$B$304,A55,Serviços!$H$4:$H$304,"Exercício")</f>
        <v>0</v>
      </c>
      <c r="I55" s="69">
        <f>COUNTIFS(Serviços!$B$4:$B$304,A55,Serviços!$H$4:$H$304,"Apoio a Operação")</f>
        <v>0</v>
      </c>
      <c r="J55" s="69">
        <f>COUNTIFS(Serviços!$B$4:$B$304,A55,Serviços!$H$4:$H$304,"Recolha de Imagens")</f>
        <v>0</v>
      </c>
    </row>
    <row r="56" spans="1:10" x14ac:dyDescent="0.25">
      <c r="A56" s="69" t="str">
        <f>'Capacidade UAS-CUAS'!E57</f>
        <v>2000832</v>
      </c>
      <c r="B56" s="70" t="str">
        <f>'Capacidade UAS-CUAS'!F57</f>
        <v>Manuel Alexandre da Silva Rocha</v>
      </c>
      <c r="C56" s="70" t="str">
        <f>'Capacidade UAS-CUAS'!B57</f>
        <v>3.ª Companhia</v>
      </c>
      <c r="D56" s="69">
        <f>COUNTIF(Serviços!$B$4:$B$304,A56)</f>
        <v>0</v>
      </c>
      <c r="E56" s="69">
        <f>COUNTIFS(Serviços!$B$4:$B$304,A56,Serviços!$F$4:$F$304,"UAS")</f>
        <v>0</v>
      </c>
      <c r="F56" s="69">
        <f>COUNTIFS(Serviços!$B$4:$B$304,A56,Serviços!$F$4:$F$304,"C-UAS")</f>
        <v>0</v>
      </c>
      <c r="G56" s="69">
        <f>COUNTIFS(Serviços!$B$4:$B$304,A56,Serviços!$H$4:$H$304,"Reconhecimento")</f>
        <v>0</v>
      </c>
      <c r="H56" s="69">
        <f>COUNTIFS(Serviços!$B$4:$B$304,A56,Serviços!$H$4:$H$304,"Exercício")</f>
        <v>0</v>
      </c>
      <c r="I56" s="69">
        <f>COUNTIFS(Serviços!$B$4:$B$304,A56,Serviços!$H$4:$H$304,"Apoio a Operação")</f>
        <v>0</v>
      </c>
      <c r="J56" s="69">
        <f>COUNTIFS(Serviços!$B$4:$B$304,A56,Serviços!$H$4:$H$304,"Recolha de Imagens")</f>
        <v>0</v>
      </c>
    </row>
    <row r="57" spans="1:10" x14ac:dyDescent="0.25">
      <c r="A57" s="68">
        <f>'Capacidade UAS-CUAS'!E58</f>
        <v>2010798</v>
      </c>
      <c r="B57" s="67" t="str">
        <f>'Capacidade UAS-CUAS'!F58</f>
        <v>Adérito da Silva Castro Guedes Vieira</v>
      </c>
      <c r="C57" s="67" t="str">
        <f>'Capacidade UAS-CUAS'!B58</f>
        <v>3.ª Companhia</v>
      </c>
      <c r="D57" s="69">
        <f>COUNTIF(Serviços!$B$4:$B$304,A57)</f>
        <v>0</v>
      </c>
      <c r="E57" s="69">
        <f>COUNTIFS(Serviços!$B$4:$B$304,A57,Serviços!$F$4:$F$304,"UAS")</f>
        <v>0</v>
      </c>
      <c r="F57" s="69">
        <f>COUNTIFS(Serviços!$B$4:$B$304,A57,Serviços!$F$4:$F$304,"C-UAS")</f>
        <v>0</v>
      </c>
      <c r="G57" s="69">
        <f>COUNTIFS(Serviços!$B$4:$B$304,A57,Serviços!$H$4:$H$304,"Reconhecimento")</f>
        <v>0</v>
      </c>
      <c r="H57" s="69">
        <f>COUNTIFS(Serviços!$B$4:$B$304,A57,Serviços!$H$4:$H$304,"Exercício")</f>
        <v>0</v>
      </c>
      <c r="I57" s="69">
        <f>COUNTIFS(Serviços!$B$4:$B$304,A57,Serviços!$H$4:$H$304,"Apoio a Operação")</f>
        <v>0</v>
      </c>
      <c r="J57" s="69">
        <f>COUNTIFS(Serviços!$B$4:$B$304,A57,Serviços!$H$4:$H$304,"Recolha de Imagens")</f>
        <v>0</v>
      </c>
    </row>
    <row r="58" spans="1:10" x14ac:dyDescent="0.25">
      <c r="A58" s="69" t="str">
        <f>'Capacidade UAS-CUAS'!E59</f>
        <v>2020899</v>
      </c>
      <c r="B58" s="70" t="str">
        <f>'Capacidade UAS-CUAS'!F59</f>
        <v>João Paulo Nogueira Fernandes</v>
      </c>
      <c r="C58" s="70" t="str">
        <f>'Capacidade UAS-CUAS'!B59</f>
        <v>3.ª Companhia</v>
      </c>
      <c r="D58" s="69">
        <f>COUNTIF(Serviços!$B$4:$B$304,A58)</f>
        <v>0</v>
      </c>
      <c r="E58" s="69">
        <f>COUNTIFS(Serviços!$B$4:$B$304,A58,Serviços!$F$4:$F$304,"UAS")</f>
        <v>0</v>
      </c>
      <c r="F58" s="69">
        <f>COUNTIFS(Serviços!$B$4:$B$304,A58,Serviços!$F$4:$F$304,"C-UAS")</f>
        <v>0</v>
      </c>
      <c r="G58" s="69">
        <f>COUNTIFS(Serviços!$B$4:$B$304,A58,Serviços!$H$4:$H$304,"Reconhecimento")</f>
        <v>0</v>
      </c>
      <c r="H58" s="69">
        <f>COUNTIFS(Serviços!$B$4:$B$304,A58,Serviços!$H$4:$H$304,"Exercício")</f>
        <v>0</v>
      </c>
      <c r="I58" s="69">
        <f>COUNTIFS(Serviços!$B$4:$B$304,A58,Serviços!$H$4:$H$304,"Apoio a Operação")</f>
        <v>0</v>
      </c>
      <c r="J58" s="69">
        <f>COUNTIFS(Serviços!$B$4:$B$304,A58,Serviços!$H$4:$H$304,"Recolha de Imagens")</f>
        <v>0</v>
      </c>
    </row>
    <row r="59" spans="1:10" x14ac:dyDescent="0.25">
      <c r="A59" s="68" t="str">
        <f>'Capacidade UAS-CUAS'!E60</f>
        <v>2070931</v>
      </c>
      <c r="B59" s="67" t="str">
        <f>'Capacidade UAS-CUAS'!F60</f>
        <v>João Nuno Varino Alves</v>
      </c>
      <c r="C59" s="67" t="str">
        <f>'Capacidade UAS-CUAS'!B60</f>
        <v>3.ª Companhia</v>
      </c>
      <c r="D59" s="69">
        <f>COUNTIF(Serviços!$B$4:$B$304,A59)</f>
        <v>0</v>
      </c>
      <c r="E59" s="69">
        <f>COUNTIFS(Serviços!$B$4:$B$304,A59,Serviços!$F$4:$F$304,"UAS")</f>
        <v>0</v>
      </c>
      <c r="F59" s="69">
        <f>COUNTIFS(Serviços!$B$4:$B$304,A59,Serviços!$F$4:$F$304,"C-UAS")</f>
        <v>0</v>
      </c>
      <c r="G59" s="69">
        <f>COUNTIFS(Serviços!$B$4:$B$304,A59,Serviços!$H$4:$H$304,"Reconhecimento")</f>
        <v>0</v>
      </c>
      <c r="H59" s="69">
        <f>COUNTIFS(Serviços!$B$4:$B$304,A59,Serviços!$H$4:$H$304,"Exercício")</f>
        <v>0</v>
      </c>
      <c r="I59" s="69">
        <f>COUNTIFS(Serviços!$B$4:$B$304,A59,Serviços!$H$4:$H$304,"Apoio a Operação")</f>
        <v>0</v>
      </c>
      <c r="J59" s="69">
        <f>COUNTIFS(Serviços!$B$4:$B$304,A59,Serviços!$H$4:$H$304,"Recolha de Imagens")</f>
        <v>0</v>
      </c>
    </row>
    <row r="60" spans="1:10" x14ac:dyDescent="0.25">
      <c r="A60" s="69" t="str">
        <f>'Capacidade UAS-CUAS'!E61</f>
        <v>2071215</v>
      </c>
      <c r="B60" s="70" t="str">
        <f>'Capacidade UAS-CUAS'!F61</f>
        <v>Roberto Faustino Soares</v>
      </c>
      <c r="C60" s="70" t="str">
        <f>'Capacidade UAS-CUAS'!B61</f>
        <v>3.ª Companhia</v>
      </c>
      <c r="D60" s="69">
        <f>COUNTIF(Serviços!$B$4:$B$304,A60)</f>
        <v>0</v>
      </c>
      <c r="E60" s="69">
        <f>COUNTIFS(Serviços!$B$4:$B$304,A60,Serviços!$F$4:$F$304,"UAS")</f>
        <v>0</v>
      </c>
      <c r="F60" s="69">
        <f>COUNTIFS(Serviços!$B$4:$B$304,A60,Serviços!$F$4:$F$304,"C-UAS")</f>
        <v>0</v>
      </c>
      <c r="G60" s="69">
        <f>COUNTIFS(Serviços!$B$4:$B$304,A60,Serviços!$H$4:$H$304,"Reconhecimento")</f>
        <v>0</v>
      </c>
      <c r="H60" s="69">
        <f>COUNTIFS(Serviços!$B$4:$B$304,A60,Serviços!$H$4:$H$304,"Exercício")</f>
        <v>0</v>
      </c>
      <c r="I60" s="69">
        <f>COUNTIFS(Serviços!$B$4:$B$304,A60,Serviços!$H$4:$H$304,"Apoio a Operação")</f>
        <v>0</v>
      </c>
      <c r="J60" s="69">
        <f>COUNTIFS(Serviços!$B$4:$B$304,A60,Serviços!$H$4:$H$304,"Recolha de Imagens")</f>
        <v>0</v>
      </c>
    </row>
    <row r="61" spans="1:10" x14ac:dyDescent="0.25">
      <c r="A61" s="68">
        <f>'Capacidade UAS-CUAS'!E62</f>
        <v>2150227</v>
      </c>
      <c r="B61" s="67" t="str">
        <f>'Capacidade UAS-CUAS'!F62</f>
        <v>Carlos Daniel Matias Eufrásio</v>
      </c>
      <c r="C61" s="67" t="str">
        <f>'Capacidade UAS-CUAS'!B62</f>
        <v>3.ª Companhia</v>
      </c>
      <c r="D61" s="69">
        <f>COUNTIF(Serviços!$B$4:$B$304,A61)</f>
        <v>0</v>
      </c>
      <c r="E61" s="69">
        <f>COUNTIFS(Serviços!$B$4:$B$304,A61,Serviços!$F$4:$F$304,"UAS")</f>
        <v>0</v>
      </c>
      <c r="F61" s="69">
        <f>COUNTIFS(Serviços!$B$4:$B$304,A61,Serviços!$F$4:$F$304,"C-UAS")</f>
        <v>0</v>
      </c>
      <c r="G61" s="69">
        <f>COUNTIFS(Serviços!$B$4:$B$304,A61,Serviços!$H$4:$H$304,"Reconhecimento")</f>
        <v>0</v>
      </c>
      <c r="H61" s="69">
        <f>COUNTIFS(Serviços!$B$4:$B$304,A61,Serviços!$H$4:$H$304,"Exercício")</f>
        <v>0</v>
      </c>
      <c r="I61" s="69">
        <f>COUNTIFS(Serviços!$B$4:$B$304,A61,Serviços!$H$4:$H$304,"Apoio a Operação")</f>
        <v>0</v>
      </c>
      <c r="J61" s="69">
        <f>COUNTIFS(Serviços!$B$4:$B$304,A61,Serviços!$H$4:$H$304,"Recolha de Imagens")</f>
        <v>0</v>
      </c>
    </row>
    <row r="62" spans="1:10" x14ac:dyDescent="0.25">
      <c r="A62" s="69" t="str">
        <f>'Capacidade UAS-CUAS'!E63</f>
        <v>2210115</v>
      </c>
      <c r="B62" s="70" t="str">
        <f>'Capacidade UAS-CUAS'!F63</f>
        <v>Pedro Miguel Ramalho da Silva</v>
      </c>
      <c r="C62" s="70" t="str">
        <f>'Capacidade UAS-CUAS'!B63</f>
        <v>3.ª Companhia</v>
      </c>
      <c r="D62" s="69">
        <f>COUNTIF(Serviços!$B$4:$B$304,A62)</f>
        <v>0</v>
      </c>
      <c r="E62" s="69">
        <f>COUNTIFS(Serviços!$B$4:$B$304,A62,Serviços!$F$4:$F$304,"UAS")</f>
        <v>0</v>
      </c>
      <c r="F62" s="69">
        <f>COUNTIFS(Serviços!$B$4:$B$304,A62,Serviços!$F$4:$F$304,"C-UAS")</f>
        <v>0</v>
      </c>
      <c r="G62" s="69">
        <f>COUNTIFS(Serviços!$B$4:$B$304,A62,Serviços!$H$4:$H$304,"Reconhecimento")</f>
        <v>0</v>
      </c>
      <c r="H62" s="69">
        <f>COUNTIFS(Serviços!$B$4:$B$304,A62,Serviços!$H$4:$H$304,"Exercício")</f>
        <v>0</v>
      </c>
      <c r="I62" s="69">
        <f>COUNTIFS(Serviços!$B$4:$B$304,A62,Serviços!$H$4:$H$304,"Apoio a Operação")</f>
        <v>0</v>
      </c>
      <c r="J62" s="69">
        <f>COUNTIFS(Serviços!$B$4:$B$304,A62,Serviços!$H$4:$H$304,"Recolha de Imagens")</f>
        <v>0</v>
      </c>
    </row>
    <row r="63" spans="1:10" x14ac:dyDescent="0.25">
      <c r="A63" s="68">
        <f>'Capacidade UAS-CUAS'!E64</f>
        <v>2225091</v>
      </c>
      <c r="B63" s="67" t="str">
        <f>'Capacidade UAS-CUAS'!F64</f>
        <v>Francisco Ferreira Matias</v>
      </c>
      <c r="C63" s="67" t="str">
        <f>'Capacidade UAS-CUAS'!B64</f>
        <v>3.ª Companhia</v>
      </c>
      <c r="D63" s="69">
        <f>COUNTIF(Serviços!$B$4:$B$304,A63)</f>
        <v>0</v>
      </c>
      <c r="E63" s="69">
        <f>COUNTIFS(Serviços!$B$4:$B$304,A63,Serviços!$F$4:$F$304,"UAS")</f>
        <v>0</v>
      </c>
      <c r="F63" s="69">
        <f>COUNTIFS(Serviços!$B$4:$B$304,A63,Serviços!$F$4:$F$304,"C-UAS")</f>
        <v>0</v>
      </c>
      <c r="G63" s="69">
        <f>COUNTIFS(Serviços!$B$4:$B$304,A63,Serviços!$H$4:$H$304,"Reconhecimento")</f>
        <v>0</v>
      </c>
      <c r="H63" s="69">
        <f>COUNTIFS(Serviços!$B$4:$B$304,A63,Serviços!$H$4:$H$304,"Exercício")</f>
        <v>0</v>
      </c>
      <c r="I63" s="69">
        <f>COUNTIFS(Serviços!$B$4:$B$304,A63,Serviços!$H$4:$H$304,"Apoio a Operação")</f>
        <v>0</v>
      </c>
      <c r="J63" s="69">
        <f>COUNTIFS(Serviços!$B$4:$B$304,A63,Serviços!$H$4:$H$304,"Recolha de Imagens")</f>
        <v>0</v>
      </c>
    </row>
    <row r="64" spans="1:10" x14ac:dyDescent="0.25">
      <c r="A64" s="69" t="str">
        <f>'Capacidade UAS-CUAS'!E65</f>
        <v>2140147</v>
      </c>
      <c r="B64" s="70" t="str">
        <f>'Capacidade UAS-CUAS'!F65</f>
        <v>Fábio Emanuel Morgado Gomes</v>
      </c>
      <c r="C64" s="70" t="str">
        <f>'Capacidade UAS-CUAS'!B65</f>
        <v>3.ª Companhia</v>
      </c>
      <c r="D64" s="69">
        <f>COUNTIF(Serviços!$B$4:$B$304,A64)</f>
        <v>0</v>
      </c>
      <c r="E64" s="69">
        <f>COUNTIFS(Serviços!$B$4:$B$304,A64,Serviços!$F$4:$F$304,"UAS")</f>
        <v>0</v>
      </c>
      <c r="F64" s="69">
        <f>COUNTIFS(Serviços!$B$4:$B$304,A64,Serviços!$F$4:$F$304,"C-UAS")</f>
        <v>0</v>
      </c>
      <c r="G64" s="69">
        <f>COUNTIFS(Serviços!$B$4:$B$304,A64,Serviços!$H$4:$H$304,"Reconhecimento")</f>
        <v>0</v>
      </c>
      <c r="H64" s="69">
        <f>COUNTIFS(Serviços!$B$4:$B$304,A64,Serviços!$H$4:$H$304,"Exercício")</f>
        <v>0</v>
      </c>
      <c r="I64" s="69">
        <f>COUNTIFS(Serviços!$B$4:$B$304,A64,Serviços!$H$4:$H$304,"Apoio a Operação")</f>
        <v>0</v>
      </c>
      <c r="J64" s="69">
        <f>COUNTIFS(Serviços!$B$4:$B$304,A64,Serviços!$H$4:$H$304,"Recolha de Imagens")</f>
        <v>0</v>
      </c>
    </row>
    <row r="65" spans="1:10" x14ac:dyDescent="0.25">
      <c r="A65" s="68">
        <f>'Capacidade UAS-CUAS'!E66</f>
        <v>2030055</v>
      </c>
      <c r="B65" s="67" t="str">
        <f>'Capacidade UAS-CUAS'!F66</f>
        <v>Victor Emanuel Cortinhas de Sousa Rosa</v>
      </c>
      <c r="C65" s="67" t="str">
        <f>'Capacidade UAS-CUAS'!B66</f>
        <v>3.ª Companhia</v>
      </c>
      <c r="D65" s="69">
        <f>COUNTIF(Serviços!$B$4:$B$304,A65)</f>
        <v>1</v>
      </c>
      <c r="E65" s="69">
        <f>COUNTIFS(Serviços!$B$4:$B$304,A65,Serviços!$F$4:$F$304,"UAS")</f>
        <v>1</v>
      </c>
      <c r="F65" s="69">
        <f>COUNTIFS(Serviços!$B$4:$B$304,A65,Serviços!$F$4:$F$304,"C-UAS")</f>
        <v>0</v>
      </c>
      <c r="G65" s="69">
        <f>COUNTIFS(Serviços!$B$4:$B$304,A65,Serviços!$H$4:$H$304,"Reconhecimento")</f>
        <v>1</v>
      </c>
      <c r="H65" s="69">
        <f>COUNTIFS(Serviços!$B$4:$B$304,A65,Serviços!$H$4:$H$304,"Exercício")</f>
        <v>0</v>
      </c>
      <c r="I65" s="69">
        <f>COUNTIFS(Serviços!$B$4:$B$304,A65,Serviços!$H$4:$H$304,"Apoio a Operação")</f>
        <v>0</v>
      </c>
      <c r="J65" s="69">
        <f>COUNTIFS(Serviços!$B$4:$B$304,A65,Serviços!$H$4:$H$304,"Recolha de Imagens")</f>
        <v>0</v>
      </c>
    </row>
    <row r="66" spans="1:10" x14ac:dyDescent="0.25">
      <c r="A66" s="69" t="str">
        <f>'Capacidade UAS-CUAS'!E67</f>
        <v>2060268</v>
      </c>
      <c r="B66" s="70" t="str">
        <f>'Capacidade UAS-CUAS'!F67</f>
        <v>Paulo Miguel Pereira dos Santos</v>
      </c>
      <c r="C66" s="70" t="str">
        <f>'Capacidade UAS-CUAS'!B67</f>
        <v>3.ª Companhia</v>
      </c>
      <c r="D66" s="69">
        <f>COUNTIF(Serviços!$B$4:$B$304,A66)</f>
        <v>0</v>
      </c>
      <c r="E66" s="69">
        <f>COUNTIFS(Serviços!$B$4:$B$304,A66,Serviços!$F$4:$F$304,"UAS")</f>
        <v>0</v>
      </c>
      <c r="F66" s="69">
        <f>COUNTIFS(Serviços!$B$4:$B$304,A66,Serviços!$F$4:$F$304,"C-UAS")</f>
        <v>0</v>
      </c>
      <c r="G66" s="69">
        <f>COUNTIFS(Serviços!$B$4:$B$304,A66,Serviços!$H$4:$H$304,"Reconhecimento")</f>
        <v>0</v>
      </c>
      <c r="H66" s="69">
        <f>COUNTIFS(Serviços!$B$4:$B$304,A66,Serviços!$H$4:$H$304,"Exercício")</f>
        <v>0</v>
      </c>
      <c r="I66" s="69">
        <f>COUNTIFS(Serviços!$B$4:$B$304,A66,Serviços!$H$4:$H$304,"Apoio a Operação")</f>
        <v>0</v>
      </c>
      <c r="J66" s="69">
        <f>COUNTIFS(Serviços!$B$4:$B$304,A66,Serviços!$H$4:$H$304,"Recolha de Imagens")</f>
        <v>0</v>
      </c>
    </row>
    <row r="67" spans="1:10" x14ac:dyDescent="0.25">
      <c r="A67" s="68">
        <f>'Capacidade UAS-CUAS'!E68</f>
        <v>2140751</v>
      </c>
      <c r="B67" s="67" t="str">
        <f>'Capacidade UAS-CUAS'!F68</f>
        <v>Fábio Manuel Monteiro Antunes</v>
      </c>
      <c r="C67" s="67" t="str">
        <f>'Capacidade UAS-CUAS'!B68</f>
        <v>3.ª Companhia</v>
      </c>
      <c r="D67" s="69">
        <f>COUNTIF(Serviços!$B$4:$B$304,A67)</f>
        <v>0</v>
      </c>
      <c r="E67" s="69">
        <f>COUNTIFS(Serviços!$B$4:$B$304,A67,Serviços!$F$4:$F$304,"UAS")</f>
        <v>0</v>
      </c>
      <c r="F67" s="69">
        <f>COUNTIFS(Serviços!$B$4:$B$304,A67,Serviços!$F$4:$F$304,"C-UAS")</f>
        <v>0</v>
      </c>
      <c r="G67" s="69">
        <f>COUNTIFS(Serviços!$B$4:$B$304,A67,Serviços!$H$4:$H$304,"Reconhecimento")</f>
        <v>0</v>
      </c>
      <c r="H67" s="69">
        <f>COUNTIFS(Serviços!$B$4:$B$304,A67,Serviços!$H$4:$H$304,"Exercício")</f>
        <v>0</v>
      </c>
      <c r="I67" s="69">
        <f>COUNTIFS(Serviços!$B$4:$B$304,A67,Serviços!$H$4:$H$304,"Apoio a Operação")</f>
        <v>0</v>
      </c>
      <c r="J67" s="69">
        <f>COUNTIFS(Serviços!$B$4:$B$304,A67,Serviços!$H$4:$H$304,"Recolha de Imagens")</f>
        <v>0</v>
      </c>
    </row>
    <row r="68" spans="1:10" x14ac:dyDescent="0.25">
      <c r="A68" s="69">
        <f>'Capacidade UAS-CUAS'!E69</f>
        <v>2140884</v>
      </c>
      <c r="B68" s="70" t="str">
        <f>'Capacidade UAS-CUAS'!F69</f>
        <v>Mário Jorge Esteves Aparício</v>
      </c>
      <c r="C68" s="70" t="str">
        <f>'Capacidade UAS-CUAS'!B69</f>
        <v>3.ª Companhia</v>
      </c>
      <c r="D68" s="69">
        <f>COUNTIF(Serviços!$B$4:$B$304,A68)</f>
        <v>0</v>
      </c>
      <c r="E68" s="69">
        <f>COUNTIFS(Serviços!$B$4:$B$304,A68,Serviços!$F$4:$F$304,"UAS")</f>
        <v>0</v>
      </c>
      <c r="F68" s="69">
        <f>COUNTIFS(Serviços!$B$4:$B$304,A68,Serviços!$F$4:$F$304,"C-UAS")</f>
        <v>0</v>
      </c>
      <c r="G68" s="69">
        <f>COUNTIFS(Serviços!$B$4:$B$304,A68,Serviços!$H$4:$H$304,"Reconhecimento")</f>
        <v>0</v>
      </c>
      <c r="H68" s="69">
        <f>COUNTIFS(Serviços!$B$4:$B$304,A68,Serviços!$H$4:$H$304,"Exercício")</f>
        <v>0</v>
      </c>
      <c r="I68" s="69">
        <f>COUNTIFS(Serviços!$B$4:$B$304,A68,Serviços!$H$4:$H$304,"Apoio a Operação")</f>
        <v>0</v>
      </c>
      <c r="J68" s="69">
        <f>COUNTIFS(Serviços!$B$4:$B$304,A68,Serviços!$H$4:$H$304,"Recolha de Imagens")</f>
        <v>0</v>
      </c>
    </row>
    <row r="69" spans="1:10" x14ac:dyDescent="0.25">
      <c r="A69" s="68">
        <f>'Capacidade UAS-CUAS'!E70</f>
        <v>2150206</v>
      </c>
      <c r="B69" s="67" t="str">
        <f>'Capacidade UAS-CUAS'!F70</f>
        <v>Flávio João Mota Jorge</v>
      </c>
      <c r="C69" s="67" t="str">
        <f>'Capacidade UAS-CUAS'!B70</f>
        <v>3.ª Companhia</v>
      </c>
      <c r="D69" s="69">
        <f>COUNTIF(Serviços!$B$4:$B$304,A69)</f>
        <v>0</v>
      </c>
      <c r="E69" s="69">
        <f>COUNTIFS(Serviços!$B$4:$B$304,A69,Serviços!$F$4:$F$304,"UAS")</f>
        <v>0</v>
      </c>
      <c r="F69" s="69">
        <f>COUNTIFS(Serviços!$B$4:$B$304,A69,Serviços!$F$4:$F$304,"C-UAS")</f>
        <v>0</v>
      </c>
      <c r="G69" s="69">
        <f>COUNTIFS(Serviços!$B$4:$B$304,A69,Serviços!$H$4:$H$304,"Reconhecimento")</f>
        <v>0</v>
      </c>
      <c r="H69" s="69">
        <f>COUNTIFS(Serviços!$B$4:$B$304,A69,Serviços!$H$4:$H$304,"Exercício")</f>
        <v>0</v>
      </c>
      <c r="I69" s="69">
        <f>COUNTIFS(Serviços!$B$4:$B$304,A69,Serviços!$H$4:$H$304,"Apoio a Operação")</f>
        <v>0</v>
      </c>
      <c r="J69" s="69">
        <f>COUNTIFS(Serviços!$B$4:$B$304,A69,Serviços!$H$4:$H$304,"Recolha de Imagens")</f>
        <v>0</v>
      </c>
    </row>
    <row r="70" spans="1:10" x14ac:dyDescent="0.25">
      <c r="A70" s="69">
        <f>'Capacidade UAS-CUAS'!E71</f>
        <v>2211470</v>
      </c>
      <c r="B70" s="70" t="str">
        <f>'Capacidade UAS-CUAS'!F71</f>
        <v>João Pedro Tomaz Lourenço</v>
      </c>
      <c r="C70" s="70" t="str">
        <f>'Capacidade UAS-CUAS'!B71</f>
        <v>3.ª Companhia</v>
      </c>
      <c r="D70" s="69">
        <f>COUNTIF(Serviços!$B$4:$B$304,A70)</f>
        <v>0</v>
      </c>
      <c r="E70" s="69">
        <f>COUNTIFS(Serviços!$B$4:$B$304,A70,Serviços!$F$4:$F$304,"UAS")</f>
        <v>0</v>
      </c>
      <c r="F70" s="69">
        <f>COUNTIFS(Serviços!$B$4:$B$304,A70,Serviços!$F$4:$F$304,"C-UAS")</f>
        <v>0</v>
      </c>
      <c r="G70" s="69">
        <f>COUNTIFS(Serviços!$B$4:$B$304,A70,Serviços!$H$4:$H$304,"Reconhecimento")</f>
        <v>0</v>
      </c>
      <c r="H70" s="69">
        <f>COUNTIFS(Serviços!$B$4:$B$304,A70,Serviços!$H$4:$H$304,"Exercício")</f>
        <v>0</v>
      </c>
      <c r="I70" s="69">
        <f>COUNTIFS(Serviços!$B$4:$B$304,A70,Serviços!$H$4:$H$304,"Apoio a Operação")</f>
        <v>0</v>
      </c>
      <c r="J70" s="69">
        <f>COUNTIFS(Serviços!$B$4:$B$304,A70,Serviços!$H$4:$H$304,"Recolha de Imagens")</f>
        <v>0</v>
      </c>
    </row>
    <row r="71" spans="1:10" x14ac:dyDescent="0.25">
      <c r="A71" s="68" t="str">
        <f>'Capacidade UAS-CUAS'!E72</f>
        <v>2140655</v>
      </c>
      <c r="B71" s="67" t="str">
        <f>'Capacidade UAS-CUAS'!F72</f>
        <v>Bruno Alexandre Marques Ferreira</v>
      </c>
      <c r="C71" s="67" t="str">
        <f>'Capacidade UAS-CUAS'!B72</f>
        <v>3.ª Companhia</v>
      </c>
      <c r="D71" s="69">
        <f>COUNTIF(Serviços!$B$4:$B$304,A71)</f>
        <v>0</v>
      </c>
      <c r="E71" s="69">
        <f>COUNTIFS(Serviços!$B$4:$B$304,A71,Serviços!$F$4:$F$304,"UAS")</f>
        <v>0</v>
      </c>
      <c r="F71" s="69">
        <f>COUNTIFS(Serviços!$B$4:$B$304,A71,Serviços!$F$4:$F$304,"C-UAS")</f>
        <v>0</v>
      </c>
      <c r="G71" s="69">
        <f>COUNTIFS(Serviços!$B$4:$B$304,A71,Serviços!$H$4:$H$304,"Reconhecimento")</f>
        <v>0</v>
      </c>
      <c r="H71" s="69">
        <f>COUNTIFS(Serviços!$B$4:$B$304,A71,Serviços!$H$4:$H$304,"Exercício")</f>
        <v>0</v>
      </c>
      <c r="I71" s="69">
        <f>COUNTIFS(Serviços!$B$4:$B$304,A71,Serviços!$H$4:$H$304,"Apoio a Operação")</f>
        <v>0</v>
      </c>
      <c r="J71" s="69">
        <f>COUNTIFS(Serviços!$B$4:$B$304,A71,Serviços!$H$4:$H$304,"Recolha de Imagens")</f>
        <v>0</v>
      </c>
    </row>
    <row r="72" spans="1:10" x14ac:dyDescent="0.25">
      <c r="A72" s="69" t="str">
        <f>'Capacidade UAS-CUAS'!E73</f>
        <v>2030236</v>
      </c>
      <c r="B72" s="70" t="str">
        <f>'Capacidade UAS-CUAS'!F73</f>
        <v>André Gouveia da Rocha</v>
      </c>
      <c r="C72" s="70" t="str">
        <f>'Capacidade UAS-CUAS'!B73</f>
        <v>3.ª Companhia</v>
      </c>
      <c r="D72" s="69">
        <f>COUNTIF(Serviços!$B$4:$B$304,A72)</f>
        <v>0</v>
      </c>
      <c r="E72" s="69">
        <f>COUNTIFS(Serviços!$B$4:$B$304,A72,Serviços!$F$4:$F$304,"UAS")</f>
        <v>0</v>
      </c>
      <c r="F72" s="69">
        <f>COUNTIFS(Serviços!$B$4:$B$304,A72,Serviços!$F$4:$F$304,"C-UAS")</f>
        <v>0</v>
      </c>
      <c r="G72" s="69">
        <f>COUNTIFS(Serviços!$B$4:$B$304,A72,Serviços!$H$4:$H$304,"Reconhecimento")</f>
        <v>0</v>
      </c>
      <c r="H72" s="69">
        <f>COUNTIFS(Serviços!$B$4:$B$304,A72,Serviços!$H$4:$H$304,"Exercício")</f>
        <v>0</v>
      </c>
      <c r="I72" s="69">
        <f>COUNTIFS(Serviços!$B$4:$B$304,A72,Serviços!$H$4:$H$304,"Apoio a Operação")</f>
        <v>0</v>
      </c>
      <c r="J72" s="69">
        <f>COUNTIFS(Serviços!$B$4:$B$304,A72,Serviços!$H$4:$H$304,"Recolha de Imagens")</f>
        <v>0</v>
      </c>
    </row>
    <row r="73" spans="1:10" x14ac:dyDescent="0.25">
      <c r="A73" s="68">
        <f>'Capacidade UAS-CUAS'!E74</f>
        <v>2060261</v>
      </c>
      <c r="B73" s="67" t="str">
        <f>'Capacidade UAS-CUAS'!F74</f>
        <v>João Filipe Germano Mendes</v>
      </c>
      <c r="C73" s="67" t="str">
        <f>'Capacidade UAS-CUAS'!B74</f>
        <v>3.ª Companhia</v>
      </c>
      <c r="D73" s="69">
        <f>COUNTIF(Serviços!$B$4:$B$304,A73)</f>
        <v>0</v>
      </c>
      <c r="E73" s="69">
        <f>COUNTIFS(Serviços!$B$4:$B$304,A73,Serviços!$F$4:$F$304,"UAS")</f>
        <v>0</v>
      </c>
      <c r="F73" s="69">
        <f>COUNTIFS(Serviços!$B$4:$B$304,A73,Serviços!$F$4:$F$304,"C-UAS")</f>
        <v>0</v>
      </c>
      <c r="G73" s="69">
        <f>COUNTIFS(Serviços!$B$4:$B$304,A73,Serviços!$H$4:$H$304,"Reconhecimento")</f>
        <v>0</v>
      </c>
      <c r="H73" s="69">
        <f>COUNTIFS(Serviços!$B$4:$B$304,A73,Serviços!$H$4:$H$304,"Exercício")</f>
        <v>0</v>
      </c>
      <c r="I73" s="69">
        <f>COUNTIFS(Serviços!$B$4:$B$304,A73,Serviços!$H$4:$H$304,"Apoio a Operação")</f>
        <v>0</v>
      </c>
      <c r="J73" s="69">
        <f>COUNTIFS(Serviços!$B$4:$B$304,A73,Serviços!$H$4:$H$304,"Recolha de Imagens")</f>
        <v>0</v>
      </c>
    </row>
    <row r="74" spans="1:10" x14ac:dyDescent="0.25">
      <c r="A74" s="69">
        <f>'Capacidade UAS-CUAS'!E75</f>
        <v>2190314</v>
      </c>
      <c r="B74" s="70" t="str">
        <f>'Capacidade UAS-CUAS'!F75</f>
        <v>Carlos Manuel Ribeiro da Silva</v>
      </c>
      <c r="C74" s="70" t="str">
        <f>'Capacidade UAS-CUAS'!B75</f>
        <v>3.ª Companhia</v>
      </c>
      <c r="D74" s="69">
        <f>COUNTIF(Serviços!$B$4:$B$304,A74)</f>
        <v>0</v>
      </c>
      <c r="E74" s="69">
        <f>COUNTIFS(Serviços!$B$4:$B$304,A74,Serviços!$F$4:$F$304,"UAS")</f>
        <v>0</v>
      </c>
      <c r="F74" s="69">
        <f>COUNTIFS(Serviços!$B$4:$B$304,A74,Serviços!$F$4:$F$304,"C-UAS")</f>
        <v>0</v>
      </c>
      <c r="G74" s="69">
        <f>COUNTIFS(Serviços!$B$4:$B$304,A74,Serviços!$H$4:$H$304,"Reconhecimento")</f>
        <v>0</v>
      </c>
      <c r="H74" s="69">
        <f>COUNTIFS(Serviços!$B$4:$B$304,A74,Serviços!$H$4:$H$304,"Exercício")</f>
        <v>0</v>
      </c>
      <c r="I74" s="69">
        <f>COUNTIFS(Serviços!$B$4:$B$304,A74,Serviços!$H$4:$H$304,"Apoio a Operação")</f>
        <v>0</v>
      </c>
      <c r="J74" s="69">
        <f>COUNTIFS(Serviços!$B$4:$B$304,A74,Serviços!$H$4:$H$304,"Recolha de Imagens")</f>
        <v>0</v>
      </c>
    </row>
    <row r="75" spans="1:10" x14ac:dyDescent="0.25">
      <c r="A75" s="68">
        <f>'Capacidade UAS-CUAS'!E76</f>
        <v>2160072</v>
      </c>
      <c r="B75" s="67" t="str">
        <f>'Capacidade UAS-CUAS'!F76</f>
        <v>Eduardo Luis Nogueira Barbosa</v>
      </c>
      <c r="C75" s="67" t="str">
        <f>'Capacidade UAS-CUAS'!B76</f>
        <v>4.ª Companhia</v>
      </c>
      <c r="D75" s="69">
        <f>COUNTIF(Serviços!$B$4:$B$304,A75)</f>
        <v>0</v>
      </c>
      <c r="E75" s="69">
        <f>COUNTIFS(Serviços!$B$4:$B$304,A75,Serviços!$F$4:$F$304,"UAS")</f>
        <v>0</v>
      </c>
      <c r="F75" s="69">
        <f>COUNTIFS(Serviços!$B$4:$B$304,A75,Serviços!$F$4:$F$304,"C-UAS")</f>
        <v>0</v>
      </c>
      <c r="G75" s="69">
        <f>COUNTIFS(Serviços!$B$4:$B$304,A75,Serviços!$H$4:$H$304,"Reconhecimento")</f>
        <v>0</v>
      </c>
      <c r="H75" s="69">
        <f>COUNTIFS(Serviços!$B$4:$B$304,A75,Serviços!$H$4:$H$304,"Exercício")</f>
        <v>0</v>
      </c>
      <c r="I75" s="69">
        <f>COUNTIFS(Serviços!$B$4:$B$304,A75,Serviços!$H$4:$H$304,"Apoio a Operação")</f>
        <v>0</v>
      </c>
      <c r="J75" s="69">
        <f>COUNTIFS(Serviços!$B$4:$B$304,A75,Serviços!$H$4:$H$304,"Recolha de Imagens")</f>
        <v>0</v>
      </c>
    </row>
    <row r="76" spans="1:10" x14ac:dyDescent="0.25">
      <c r="A76" s="69" t="str">
        <f>'Capacidade UAS-CUAS'!E77</f>
        <v>2090745</v>
      </c>
      <c r="B76" s="70" t="str">
        <f>'Capacidade UAS-CUAS'!F77</f>
        <v>Berto Jorge Mota Miranda</v>
      </c>
      <c r="C76" s="70" t="str">
        <f>'Capacidade UAS-CUAS'!B77</f>
        <v>4.ª Companhia</v>
      </c>
      <c r="D76" s="69">
        <f>COUNTIF(Serviços!$B$4:$B$304,A76)</f>
        <v>0</v>
      </c>
      <c r="E76" s="69">
        <f>COUNTIFS(Serviços!$B$4:$B$304,A76,Serviços!$F$4:$F$304,"UAS")</f>
        <v>0</v>
      </c>
      <c r="F76" s="69">
        <f>COUNTIFS(Serviços!$B$4:$B$304,A76,Serviços!$F$4:$F$304,"C-UAS")</f>
        <v>0</v>
      </c>
      <c r="G76" s="69">
        <f>COUNTIFS(Serviços!$B$4:$B$304,A76,Serviços!$H$4:$H$304,"Reconhecimento")</f>
        <v>0</v>
      </c>
      <c r="H76" s="69">
        <f>COUNTIFS(Serviços!$B$4:$B$304,A76,Serviços!$H$4:$H$304,"Exercício")</f>
        <v>0</v>
      </c>
      <c r="I76" s="69">
        <f>COUNTIFS(Serviços!$B$4:$B$304,A76,Serviços!$H$4:$H$304,"Apoio a Operação")</f>
        <v>0</v>
      </c>
      <c r="J76" s="69">
        <f>COUNTIFS(Serviços!$B$4:$B$304,A76,Serviços!$H$4:$H$304,"Recolha de Imagens")</f>
        <v>0</v>
      </c>
    </row>
    <row r="77" spans="1:10" x14ac:dyDescent="0.25">
      <c r="A77" s="68" t="str">
        <f>'Capacidade UAS-CUAS'!E78</f>
        <v>2120740</v>
      </c>
      <c r="B77" s="67" t="str">
        <f>'Capacidade UAS-CUAS'!F78</f>
        <v>Bernardo Samuel Fernandes Lameira</v>
      </c>
      <c r="C77" s="67" t="str">
        <f>'Capacidade UAS-CUAS'!B78</f>
        <v>4.ª Companhia</v>
      </c>
      <c r="D77" s="69">
        <f>COUNTIF(Serviços!$B$4:$B$304,A77)</f>
        <v>0</v>
      </c>
      <c r="E77" s="69">
        <f>COUNTIFS(Serviços!$B$4:$B$304,A77,Serviços!$F$4:$F$304,"UAS")</f>
        <v>0</v>
      </c>
      <c r="F77" s="69">
        <f>COUNTIFS(Serviços!$B$4:$B$304,A77,Serviços!$F$4:$F$304,"C-UAS")</f>
        <v>0</v>
      </c>
      <c r="G77" s="69">
        <f>COUNTIFS(Serviços!$B$4:$B$304,A77,Serviços!$H$4:$H$304,"Reconhecimento")</f>
        <v>0</v>
      </c>
      <c r="H77" s="69">
        <f>COUNTIFS(Serviços!$B$4:$B$304,A77,Serviços!$H$4:$H$304,"Exercício")</f>
        <v>0</v>
      </c>
      <c r="I77" s="69">
        <f>COUNTIFS(Serviços!$B$4:$B$304,A77,Serviços!$H$4:$H$304,"Apoio a Operação")</f>
        <v>0</v>
      </c>
      <c r="J77" s="69">
        <f>COUNTIFS(Serviços!$B$4:$B$304,A77,Serviços!$H$4:$H$304,"Recolha de Imagens")</f>
        <v>0</v>
      </c>
    </row>
    <row r="78" spans="1:10" x14ac:dyDescent="0.25">
      <c r="A78" s="69" t="str">
        <f>'Capacidade UAS-CUAS'!E79</f>
        <v>2060410</v>
      </c>
      <c r="B78" s="70" t="str">
        <f>'Capacidade UAS-CUAS'!F79</f>
        <v>Hélder Fernando Assis Cruz</v>
      </c>
      <c r="C78" s="70" t="str">
        <f>'Capacidade UAS-CUAS'!B79</f>
        <v>4.ª Companhia</v>
      </c>
      <c r="D78" s="69">
        <f>COUNTIF(Serviços!$B$4:$B$304,A78)</f>
        <v>0</v>
      </c>
      <c r="E78" s="69">
        <f>COUNTIFS(Serviços!$B$4:$B$304,A78,Serviços!$F$4:$F$304,"UAS")</f>
        <v>0</v>
      </c>
      <c r="F78" s="69">
        <f>COUNTIFS(Serviços!$B$4:$B$304,A78,Serviços!$F$4:$F$304,"C-UAS")</f>
        <v>0</v>
      </c>
      <c r="G78" s="69">
        <f>COUNTIFS(Serviços!$B$4:$B$304,A78,Serviços!$H$4:$H$304,"Reconhecimento")</f>
        <v>0</v>
      </c>
      <c r="H78" s="69">
        <f>COUNTIFS(Serviços!$B$4:$B$304,A78,Serviços!$H$4:$H$304,"Exercício")</f>
        <v>0</v>
      </c>
      <c r="I78" s="69">
        <f>COUNTIFS(Serviços!$B$4:$B$304,A78,Serviços!$H$4:$H$304,"Apoio a Operação")</f>
        <v>0</v>
      </c>
      <c r="J78" s="69">
        <f>COUNTIFS(Serviços!$B$4:$B$304,A78,Serviços!$H$4:$H$304,"Recolha de Imagens")</f>
        <v>0</v>
      </c>
    </row>
    <row r="79" spans="1:10" x14ac:dyDescent="0.25">
      <c r="A79" s="68" t="str">
        <f>'Capacidade UAS-CUAS'!E80</f>
        <v>2090645</v>
      </c>
      <c r="B79" s="67" t="str">
        <f>'Capacidade UAS-CUAS'!F80</f>
        <v>Pedro Jorge Teles Ribeiro</v>
      </c>
      <c r="C79" s="67" t="str">
        <f>'Capacidade UAS-CUAS'!B80</f>
        <v>4.ª Companhia</v>
      </c>
      <c r="D79" s="69">
        <f>COUNTIF(Serviços!$B$4:$B$304,A79)</f>
        <v>0</v>
      </c>
      <c r="E79" s="69">
        <f>COUNTIFS(Serviços!$B$4:$B$304,A79,Serviços!$F$4:$F$304,"UAS")</f>
        <v>0</v>
      </c>
      <c r="F79" s="69">
        <f>COUNTIFS(Serviços!$B$4:$B$304,A79,Serviços!$F$4:$F$304,"C-UAS")</f>
        <v>0</v>
      </c>
      <c r="G79" s="69">
        <f>COUNTIFS(Serviços!$B$4:$B$304,A79,Serviços!$H$4:$H$304,"Reconhecimento")</f>
        <v>0</v>
      </c>
      <c r="H79" s="69">
        <f>COUNTIFS(Serviços!$B$4:$B$304,A79,Serviços!$H$4:$H$304,"Exercício")</f>
        <v>0</v>
      </c>
      <c r="I79" s="69">
        <f>COUNTIFS(Serviços!$B$4:$B$304,A79,Serviços!$H$4:$H$304,"Apoio a Operação")</f>
        <v>0</v>
      </c>
      <c r="J79" s="69">
        <f>COUNTIFS(Serviços!$B$4:$B$304,A79,Serviços!$H$4:$H$304,"Recolha de Imagens")</f>
        <v>0</v>
      </c>
    </row>
    <row r="80" spans="1:10" x14ac:dyDescent="0.25">
      <c r="A80" s="69" t="str">
        <f>'Capacidade UAS-CUAS'!E81</f>
        <v>2010480</v>
      </c>
      <c r="B80" s="70" t="str">
        <f>'Capacidade UAS-CUAS'!F81</f>
        <v>Pedro Miguel Sousa Lopes</v>
      </c>
      <c r="C80" s="70" t="str">
        <f>'Capacidade UAS-CUAS'!B81</f>
        <v>4.ª Companhia</v>
      </c>
      <c r="D80" s="69">
        <f>COUNTIF(Serviços!$B$4:$B$304,A80)</f>
        <v>0</v>
      </c>
      <c r="E80" s="69">
        <f>COUNTIFS(Serviços!$B$4:$B$304,A80,Serviços!$F$4:$F$304,"UAS")</f>
        <v>0</v>
      </c>
      <c r="F80" s="69">
        <f>COUNTIFS(Serviços!$B$4:$B$304,A80,Serviços!$F$4:$F$304,"C-UAS")</f>
        <v>0</v>
      </c>
      <c r="G80" s="69">
        <f>COUNTIFS(Serviços!$B$4:$B$304,A80,Serviços!$H$4:$H$304,"Reconhecimento")</f>
        <v>0</v>
      </c>
      <c r="H80" s="69">
        <f>COUNTIFS(Serviços!$B$4:$B$304,A80,Serviços!$H$4:$H$304,"Exercício")</f>
        <v>0</v>
      </c>
      <c r="I80" s="69">
        <f>COUNTIFS(Serviços!$B$4:$B$304,A80,Serviços!$H$4:$H$304,"Apoio a Operação")</f>
        <v>0</v>
      </c>
      <c r="J80" s="69">
        <f>COUNTIFS(Serviços!$B$4:$B$304,A80,Serviços!$H$4:$H$304,"Recolha de Imagens")</f>
        <v>0</v>
      </c>
    </row>
    <row r="83" spans="1:2" x14ac:dyDescent="0.25">
      <c r="A83" s="99" t="s">
        <v>383</v>
      </c>
      <c r="B83" s="100"/>
    </row>
    <row r="84" spans="1:2" x14ac:dyDescent="0.25">
      <c r="A84" s="75" t="s">
        <v>384</v>
      </c>
      <c r="B84" s="76">
        <f>COUNTA(Serviços!$B$8:$B$304)</f>
        <v>22</v>
      </c>
    </row>
    <row r="85" spans="1:2" x14ac:dyDescent="0.25">
      <c r="A85" s="75" t="s">
        <v>385</v>
      </c>
      <c r="B85" s="76">
        <f>COUNTIF(Serviços!$F$8:$F$304,"UAS")</f>
        <v>15</v>
      </c>
    </row>
    <row r="86" spans="1:2" x14ac:dyDescent="0.25">
      <c r="A86" s="75" t="s">
        <v>386</v>
      </c>
      <c r="B86" s="76">
        <f>COUNTIF(Serviços!$F$8:$F$304,"C-UAS")</f>
        <v>7</v>
      </c>
    </row>
    <row r="87" spans="1:2" x14ac:dyDescent="0.25">
      <c r="A87" s="75" t="s">
        <v>364</v>
      </c>
      <c r="B87" s="76">
        <f>COUNTIF(Serviços!$H$8:$H$304,"Reconhecimento")</f>
        <v>6</v>
      </c>
    </row>
    <row r="88" spans="1:2" x14ac:dyDescent="0.25">
      <c r="A88" s="75" t="s">
        <v>353</v>
      </c>
      <c r="B88" s="76">
        <f>COUNTIF(Serviços!$H$8:$H$304,"Exercício")</f>
        <v>6</v>
      </c>
    </row>
    <row r="89" spans="1:2" x14ac:dyDescent="0.25">
      <c r="A89" s="75" t="s">
        <v>369</v>
      </c>
      <c r="B89" s="76">
        <f>COUNTIF(Serviços!$H$8:$H$304,"Apoio a Operação")</f>
        <v>4</v>
      </c>
    </row>
    <row r="90" spans="1:2" x14ac:dyDescent="0.25">
      <c r="A90" s="77" t="s">
        <v>358</v>
      </c>
      <c r="B90" s="78">
        <f>COUNTIF(Serviços!$H$8:$H$304,"Recolha de Imagens")</f>
        <v>6</v>
      </c>
    </row>
  </sheetData>
  <mergeCells count="3">
    <mergeCell ref="A1:J1"/>
    <mergeCell ref="A2:J2"/>
    <mergeCell ref="A83:B8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3"/>
  <sheetViews>
    <sheetView showGridLines="0" zoomScaleNormal="100" workbookViewId="0">
      <pane ySplit="7" topLeftCell="A8" activePane="bottomLeft" state="frozen"/>
      <selection activeCell="H22" sqref="H22"/>
      <selection pane="bottomLeft" activeCell="B3" sqref="B3:B4"/>
    </sheetView>
  </sheetViews>
  <sheetFormatPr defaultColWidth="8.7109375" defaultRowHeight="15" x14ac:dyDescent="0.25"/>
  <cols>
    <col min="1" max="1" width="10" customWidth="1"/>
    <col min="2" max="2" width="49.28515625" bestFit="1" customWidth="1"/>
    <col min="3" max="3" width="11" customWidth="1"/>
    <col min="4" max="4" width="16" customWidth="1"/>
    <col min="5" max="5" width="13" customWidth="1"/>
    <col min="6" max="6" width="16" customWidth="1"/>
    <col min="7" max="7" width="12" customWidth="1"/>
    <col min="8" max="8" width="52.7109375" bestFit="1" customWidth="1"/>
    <col min="11" max="25" width="13" hidden="1" customWidth="1"/>
  </cols>
  <sheetData>
    <row r="1" spans="1:25" ht="21.75" customHeight="1" x14ac:dyDescent="0.25">
      <c r="A1" s="101" t="s">
        <v>387</v>
      </c>
      <c r="B1" s="101"/>
      <c r="C1" s="101"/>
      <c r="D1" s="101"/>
      <c r="E1" s="101"/>
      <c r="F1" s="101"/>
      <c r="G1" s="101"/>
      <c r="H1" s="101"/>
    </row>
    <row r="2" spans="1:25" ht="25.5" customHeight="1" x14ac:dyDescent="0.25">
      <c r="A2" s="102" t="s">
        <v>388</v>
      </c>
      <c r="B2" s="102"/>
      <c r="C2" s="102"/>
      <c r="D2" s="102"/>
      <c r="E2" s="102"/>
      <c r="F2" s="102"/>
      <c r="G2" s="102"/>
      <c r="H2" s="102"/>
    </row>
    <row r="3" spans="1:25" ht="15" customHeight="1" x14ac:dyDescent="0.25">
      <c r="A3" s="103" t="s">
        <v>389</v>
      </c>
      <c r="B3" s="104">
        <v>46262</v>
      </c>
      <c r="C3" s="108" t="s">
        <v>390</v>
      </c>
      <c r="D3" s="108"/>
      <c r="E3" s="103" t="s">
        <v>391</v>
      </c>
      <c r="F3" s="106">
        <f>COUNTIF($T$8:$T$83,TRUE())</f>
        <v>19</v>
      </c>
      <c r="G3" s="103" t="s">
        <v>392</v>
      </c>
      <c r="H3" s="107">
        <f>COUNTIF($T$8:$T$83,FALSE())</f>
        <v>57</v>
      </c>
    </row>
    <row r="4" spans="1:25" ht="15" customHeight="1" x14ac:dyDescent="0.25">
      <c r="A4" s="103"/>
      <c r="B4" s="105"/>
      <c r="C4" s="108"/>
      <c r="D4" s="108"/>
      <c r="E4" s="103"/>
      <c r="F4" s="106"/>
      <c r="G4" s="103"/>
      <c r="H4" s="107"/>
    </row>
    <row r="5" spans="1:25" x14ac:dyDescent="0.25">
      <c r="C5" s="108"/>
      <c r="D5" s="108"/>
    </row>
    <row r="6" spans="1:25" ht="15" customHeight="1" x14ac:dyDescent="0.25">
      <c r="A6" s="83" t="s">
        <v>393</v>
      </c>
      <c r="B6" s="84" t="s">
        <v>394</v>
      </c>
    </row>
    <row r="7" spans="1:25" ht="24" customHeight="1" x14ac:dyDescent="0.25">
      <c r="A7" s="79" t="s">
        <v>6</v>
      </c>
      <c r="B7" s="79" t="s">
        <v>7</v>
      </c>
      <c r="C7" s="79" t="s">
        <v>5</v>
      </c>
      <c r="D7" s="79" t="s">
        <v>3</v>
      </c>
      <c r="E7" s="79" t="s">
        <v>4</v>
      </c>
      <c r="F7" s="79" t="s">
        <v>395</v>
      </c>
      <c r="G7" s="79" t="s">
        <v>393</v>
      </c>
      <c r="H7" s="79" t="s">
        <v>396</v>
      </c>
      <c r="K7" s="85" t="s">
        <v>6</v>
      </c>
      <c r="L7" s="85" t="s">
        <v>7</v>
      </c>
      <c r="M7" s="85" t="s">
        <v>5</v>
      </c>
      <c r="N7" s="85" t="s">
        <v>3</v>
      </c>
      <c r="O7" s="85" t="s">
        <v>4</v>
      </c>
      <c r="P7" s="85" t="s">
        <v>397</v>
      </c>
      <c r="Q7" s="85" t="s">
        <v>398</v>
      </c>
      <c r="R7" s="85" t="s">
        <v>399</v>
      </c>
      <c r="S7" s="85" t="s">
        <v>400</v>
      </c>
      <c r="T7" s="85" t="s">
        <v>401</v>
      </c>
      <c r="U7" s="85" t="s">
        <v>402</v>
      </c>
      <c r="V7" s="85" t="s">
        <v>403</v>
      </c>
      <c r="W7" s="85" t="s">
        <v>404</v>
      </c>
      <c r="X7" s="85" t="s">
        <v>396</v>
      </c>
      <c r="Y7" s="85" t="s">
        <v>405</v>
      </c>
    </row>
    <row r="8" spans="1:25" ht="15" customHeight="1" x14ac:dyDescent="0.25">
      <c r="A8" s="86" t="str">
        <f>INDEX($K$8:$K$4133,MATCH(ROW()-7,$W$8:$W$4133,0))</f>
        <v>2020825</v>
      </c>
      <c r="B8" s="87" t="str">
        <f>INDEX($L$8:$L$4133,MATCH(ROW()-7,$W$8:$W$4133,0))</f>
        <v>António João Carlos e Granja</v>
      </c>
      <c r="C8" s="87" t="str">
        <f>INDEX($M$8:$M$4133,MATCH(ROW()-7,$W$8:$W$4133,0))</f>
        <v>Cabo</v>
      </c>
      <c r="D8" s="87" t="str">
        <f>INDEX($N$8:$N$4133,MATCH(ROW()-7,$W$8:$W$4133,0))</f>
        <v>Secretaria GIOP</v>
      </c>
      <c r="E8" s="87" t="str">
        <f>INDEX($O$8:$O$4133,MATCH(ROW()-7,$W$8:$W$4133,0))</f>
        <v>—</v>
      </c>
      <c r="F8" s="87" t="str">
        <f>INDEX($Q$8:$Q$4133,MATCH(ROW()-7,$W$8:$W$4133,0))</f>
        <v/>
      </c>
      <c r="G8" s="86" t="str">
        <f>IF(INDEX($T$8:$T$4133,MATCH(ROW()-7,$W$8:$W$4133,0)),"SIM","NÃO")</f>
        <v>SIM</v>
      </c>
      <c r="H8" s="87" t="str">
        <f>INDEX($X$8:$X$4133,MATCH(ROW()-7,$W$8:$W$4133,0))</f>
        <v>Não pertence a companhia operacional — disponível por defeito</v>
      </c>
      <c r="K8" s="88" t="str">
        <f>'[1]Capacidade UAS-CUAS'!E4</f>
        <v>2140038</v>
      </c>
      <c r="L8" s="88" t="str">
        <f>'[1]Capacidade UAS-CUAS'!F4</f>
        <v>Luis Manuel Maceiro Cantante</v>
      </c>
      <c r="M8" s="88" t="str">
        <f>'[1]Capacidade UAS-CUAS'!D4</f>
        <v>Tenente</v>
      </c>
      <c r="N8" s="88" t="str">
        <f>'[1]Capacidade UAS-CUAS'!B4</f>
        <v>Comando / SOI</v>
      </c>
      <c r="O8" s="88" t="str">
        <f>'[1]Capacidade UAS-CUAS'!C4</f>
        <v>—</v>
      </c>
      <c r="P8" s="88" t="str">
        <f t="shared" ref="P8:P71" si="0">IF(O8="—","",LEFT(O8,FIND(".",O8)-1)&amp;"º")</f>
        <v/>
      </c>
      <c r="Q8" s="88" t="str">
        <f>IF(P8="","",IFERROR(INDEX(EscalaPelotoes!$B$3:$N$4481,MATCH($B$3,EscalaPelotoes!$A$3:$A$4481,0),MATCH(P8,EscalaPelotoes!$B$2:$N$2,0)),""))</f>
        <v/>
      </c>
      <c r="R8" s="88" t="b">
        <f t="shared" ref="R8:R71" si="1">IF(O8="—",TRUE(),IF(Q8="",FALSE(),AND(LEFT(Q8,1)="P",ISNUMBER(VALUE(MID(Q8,2,LEN(Q8)-1))))))</f>
        <v>1</v>
      </c>
      <c r="S8" s="88" t="b">
        <f>IF(O8="—",FALSE(),SUMPRODUCT(--(TEXT([1]Serviços!$B$4:$B$400,"0")=TEXT(K8,"0")),--([1]Serviços!$A$4:$A$400=$B$3))&gt;0)</f>
        <v>0</v>
      </c>
      <c r="T8" s="88" t="b">
        <f t="shared" ref="T8:T71" si="2">IF(O8="—",TRUE(),AND(R8,NOT(S8)))</f>
        <v>1</v>
      </c>
      <c r="U8" s="88">
        <f t="shared" ref="U8:U71" si="3">IF(O8="—",0,IF(T8,1,2))</f>
        <v>0</v>
      </c>
      <c r="V8" s="88">
        <f>ROW()</f>
        <v>8</v>
      </c>
      <c r="W8" s="88">
        <f t="shared" ref="W8:W71" si="4">COUNTIFS($U$8:$U$83,"&lt;"&amp;U8)+COUNTIFS($U$8:$U$83,U8,$Y$8:$Y$83,"&gt;"&amp;Y8)+COUNTIFS($U$8:$U$83,U8,$Y$8:$Y$83,Y8,$L$8:$L$83,"&lt;"&amp;L8)+COUNTIFS($U$8:$U$83,U8,$Y$8:$Y$83,Y8,$L$8:$L$83,L8,$V$8:$V$83,"&lt;"&amp;V8)+1</f>
        <v>7</v>
      </c>
      <c r="X8" s="88" t="str">
        <f t="shared" ref="X8:X71" si="5">IF(O8="—","Não pertence a companhia operacional — disponível por defeito",IF(Q8="","Sem dados de escala para esta data",IF(S8,"Já tem serviço UAS/C-UAS marcado neste dia",IF(T8,"Escala do pelotão: "&amp;Q8&amp;" (disponível)","Escala do pelotão: "&amp;Q8&amp;" (indisponível)"))))</f>
        <v>Não pertence a companhia operacional — disponível por defeito</v>
      </c>
      <c r="Y8" s="88">
        <f t="shared" ref="Y8:Y71" si="6">IF(O8="—",0,IFERROR(VALUE(MID(Q8,2,1)),0))</f>
        <v>0</v>
      </c>
    </row>
    <row r="9" spans="1:25" ht="15" customHeight="1" x14ac:dyDescent="0.25">
      <c r="A9" s="86" t="str">
        <f t="shared" ref="A9:A72" si="7">INDEX($K$8:$K$4133,MATCH(ROW()-7,$W$8:$W$4133,0))</f>
        <v>2030644</v>
      </c>
      <c r="B9" s="87" t="str">
        <f t="shared" ref="B9:B72" si="8">INDEX($L$8:$L$4133,MATCH(ROW()-7,$W$8:$W$4133,0))</f>
        <v>Bruno Miguel Correia Pimenta</v>
      </c>
      <c r="C9" s="87" t="str">
        <f t="shared" ref="C9:C72" si="9">INDEX($M$8:$M$4133,MATCH(ROW()-7,$W$8:$W$4133,0))</f>
        <v>Cabo</v>
      </c>
      <c r="D9" s="87" t="str">
        <f t="shared" ref="D9:D72" si="10">INDEX($N$8:$N$4133,MATCH(ROW()-7,$W$8:$W$4133,0))</f>
        <v>SOI</v>
      </c>
      <c r="E9" s="87" t="str">
        <f t="shared" ref="E9:E72" si="11">INDEX($O$8:$O$4133,MATCH(ROW()-7,$W$8:$W$4133,0))</f>
        <v>—</v>
      </c>
      <c r="F9" s="87" t="str">
        <f t="shared" ref="F9:F72" si="12">INDEX($Q$8:$Q$4133,MATCH(ROW()-7,$W$8:$W$4133,0))</f>
        <v/>
      </c>
      <c r="G9" s="86" t="str">
        <f t="shared" ref="G9:G72" si="13">IF(INDEX($T$8:$T$4133,MATCH(ROW()-7,$W$8:$W$4133,0)),"SIM","NÃO")</f>
        <v>SIM</v>
      </c>
      <c r="H9" s="87" t="str">
        <f t="shared" ref="H9:H72" si="14">INDEX($X$8:$X$4133,MATCH(ROW()-7,$W$8:$W$4133,0))</f>
        <v>Não pertence a companhia operacional — disponível por defeito</v>
      </c>
      <c r="K9" s="88" t="str">
        <f>'[1]Capacidade UAS-CUAS'!E5</f>
        <v>2020825</v>
      </c>
      <c r="L9" s="88" t="str">
        <f>'[1]Capacidade UAS-CUAS'!F5</f>
        <v>António João Carlos e Granja</v>
      </c>
      <c r="M9" s="88" t="str">
        <f>'[1]Capacidade UAS-CUAS'!D5</f>
        <v>Cabo</v>
      </c>
      <c r="N9" s="88" t="str">
        <f>'[1]Capacidade UAS-CUAS'!B5</f>
        <v>Secretaria GIOP</v>
      </c>
      <c r="O9" s="88" t="str">
        <f>'[1]Capacidade UAS-CUAS'!C5</f>
        <v>—</v>
      </c>
      <c r="P9" s="88" t="str">
        <f t="shared" si="0"/>
        <v/>
      </c>
      <c r="Q9" s="88" t="str">
        <f>IF(P9="","",IFERROR(INDEX(EscalaPelotoes!$B$3:$N$4481,MATCH($B$3,EscalaPelotoes!$A$3:$A$4481,0),MATCH(P9,EscalaPelotoes!$B$2:$N$2,0)),""))</f>
        <v/>
      </c>
      <c r="R9" s="88" t="b">
        <f t="shared" si="1"/>
        <v>1</v>
      </c>
      <c r="S9" s="88" t="b">
        <f>IF(O9="—",FALSE(),SUMPRODUCT(--(TEXT([1]Serviços!$B$4:$B$400,"0")=TEXT(K9,"0")),--([1]Serviços!$A$4:$A$400=$B$3))&gt;0)</f>
        <v>0</v>
      </c>
      <c r="T9" s="88" t="b">
        <f t="shared" si="2"/>
        <v>1</v>
      </c>
      <c r="U9" s="88">
        <f t="shared" si="3"/>
        <v>0</v>
      </c>
      <c r="V9" s="88">
        <f>ROW()</f>
        <v>9</v>
      </c>
      <c r="W9" s="88">
        <f t="shared" si="4"/>
        <v>1</v>
      </c>
      <c r="X9" s="88" t="str">
        <f t="shared" si="5"/>
        <v>Não pertence a companhia operacional — disponível por defeito</v>
      </c>
      <c r="Y9" s="88">
        <f t="shared" si="6"/>
        <v>0</v>
      </c>
    </row>
    <row r="10" spans="1:25" ht="15" customHeight="1" x14ac:dyDescent="0.25">
      <c r="A10" s="86" t="str">
        <f t="shared" si="7"/>
        <v>2040185</v>
      </c>
      <c r="B10" s="87" t="str">
        <f t="shared" si="8"/>
        <v>Carlos Manuel Jorge dos Santos</v>
      </c>
      <c r="C10" s="87" t="str">
        <f t="shared" si="9"/>
        <v>Cabo</v>
      </c>
      <c r="D10" s="87" t="str">
        <f t="shared" si="10"/>
        <v>SOI</v>
      </c>
      <c r="E10" s="87" t="str">
        <f t="shared" si="11"/>
        <v>—</v>
      </c>
      <c r="F10" s="87" t="str">
        <f t="shared" si="12"/>
        <v/>
      </c>
      <c r="G10" s="86" t="str">
        <f t="shared" si="13"/>
        <v>SIM</v>
      </c>
      <c r="H10" s="87" t="str">
        <f t="shared" si="14"/>
        <v>Não pertence a companhia operacional — disponível por defeito</v>
      </c>
      <c r="K10" s="88">
        <f>'[1]Capacidade UAS-CUAS'!E6</f>
        <v>1970024</v>
      </c>
      <c r="L10" s="88" t="str">
        <f>'[1]Capacidade UAS-CUAS'!F6</f>
        <v>Manuel António Gonçalves Cordeiro</v>
      </c>
      <c r="M10" s="88" t="str">
        <f>'[1]Capacidade UAS-CUAS'!D6</f>
        <v>Sarg. Ch</v>
      </c>
      <c r="N10" s="88" t="str">
        <f>'[1]Capacidade UAS-CUAS'!B6</f>
        <v>SOI</v>
      </c>
      <c r="O10" s="88" t="str">
        <f>'[1]Capacidade UAS-CUAS'!C6</f>
        <v>—</v>
      </c>
      <c r="P10" s="88" t="str">
        <f t="shared" si="0"/>
        <v/>
      </c>
      <c r="Q10" s="88" t="str">
        <f>IF(P10="","",IFERROR(INDEX(EscalaPelotoes!$B$3:$N$4481,MATCH($B$3,EscalaPelotoes!$A$3:$A$4481,0),MATCH(P10,EscalaPelotoes!$B$2:$N$2,0)),""))</f>
        <v/>
      </c>
      <c r="R10" s="88" t="b">
        <f t="shared" si="1"/>
        <v>1</v>
      </c>
      <c r="S10" s="88" t="b">
        <f>IF(O10="—",FALSE(),SUMPRODUCT(--(TEXT([1]Serviços!$B$4:$B$400,"0")=TEXT(K10,"0")),--([1]Serviços!$A$4:$A$400=$B$3))&gt;0)</f>
        <v>0</v>
      </c>
      <c r="T10" s="88" t="b">
        <f t="shared" si="2"/>
        <v>1</v>
      </c>
      <c r="U10" s="88">
        <f t="shared" si="3"/>
        <v>0</v>
      </c>
      <c r="V10" s="88">
        <f>ROW()</f>
        <v>10</v>
      </c>
      <c r="W10" s="88">
        <f t="shared" si="4"/>
        <v>8</v>
      </c>
      <c r="X10" s="88" t="str">
        <f t="shared" si="5"/>
        <v>Não pertence a companhia operacional — disponível por defeito</v>
      </c>
      <c r="Y10" s="88">
        <f t="shared" si="6"/>
        <v>0</v>
      </c>
    </row>
    <row r="11" spans="1:25" ht="15" customHeight="1" x14ac:dyDescent="0.25">
      <c r="A11" s="86">
        <f t="shared" si="7"/>
        <v>2030052</v>
      </c>
      <c r="B11" s="87" t="str">
        <f t="shared" si="8"/>
        <v>Filipe Jorge dos Santos Silva</v>
      </c>
      <c r="C11" s="87" t="str">
        <f t="shared" si="9"/>
        <v>Cabo</v>
      </c>
      <c r="D11" s="87" t="str">
        <f t="shared" si="10"/>
        <v>SOI</v>
      </c>
      <c r="E11" s="87" t="str">
        <f t="shared" si="11"/>
        <v>—</v>
      </c>
      <c r="F11" s="87" t="str">
        <f t="shared" si="12"/>
        <v/>
      </c>
      <c r="G11" s="86" t="str">
        <f t="shared" si="13"/>
        <v>SIM</v>
      </c>
      <c r="H11" s="87" t="str">
        <f t="shared" si="14"/>
        <v>Não pertence a companhia operacional — disponível por defeito</v>
      </c>
      <c r="K11" s="88" t="str">
        <f>'[1]Capacidade UAS-CUAS'!E7</f>
        <v>2031108</v>
      </c>
      <c r="L11" s="88" t="str">
        <f>'[1]Capacidade UAS-CUAS'!F7</f>
        <v>Hélder Simão Nunes</v>
      </c>
      <c r="M11" s="88" t="str">
        <f>'[1]Capacidade UAS-CUAS'!D7</f>
        <v>1º Sarg.</v>
      </c>
      <c r="N11" s="88" t="str">
        <f>'[1]Capacidade UAS-CUAS'!B7</f>
        <v>SOI</v>
      </c>
      <c r="O11" s="88" t="str">
        <f>'[1]Capacidade UAS-CUAS'!C7</f>
        <v>—</v>
      </c>
      <c r="P11" s="88" t="str">
        <f t="shared" si="0"/>
        <v/>
      </c>
      <c r="Q11" s="88" t="str">
        <f>IF(P11="","",IFERROR(INDEX(EscalaPelotoes!$B$3:$N$4481,MATCH($B$3,EscalaPelotoes!$A$3:$A$4481,0),MATCH(P11,EscalaPelotoes!$B$2:$N$2,0)),""))</f>
        <v/>
      </c>
      <c r="R11" s="88" t="b">
        <f t="shared" si="1"/>
        <v>1</v>
      </c>
      <c r="S11" s="88" t="b">
        <f>IF(O11="—",FALSE(),SUMPRODUCT(--(TEXT([1]Serviços!$B$4:$B$400,"0")=TEXT(K11,"0")),--([1]Serviços!$A$4:$A$400=$B$3))&gt;0)</f>
        <v>0</v>
      </c>
      <c r="T11" s="88" t="b">
        <f t="shared" si="2"/>
        <v>1</v>
      </c>
      <c r="U11" s="88">
        <f t="shared" si="3"/>
        <v>0</v>
      </c>
      <c r="V11" s="88">
        <f>ROW()</f>
        <v>11</v>
      </c>
      <c r="W11" s="88">
        <f t="shared" si="4"/>
        <v>5</v>
      </c>
      <c r="X11" s="88" t="str">
        <f t="shared" si="5"/>
        <v>Não pertence a companhia operacional — disponível por defeito</v>
      </c>
      <c r="Y11" s="88">
        <f t="shared" si="6"/>
        <v>0</v>
      </c>
    </row>
    <row r="12" spans="1:25" ht="15" customHeight="1" x14ac:dyDescent="0.25">
      <c r="A12" s="86" t="str">
        <f t="shared" si="7"/>
        <v>2031108</v>
      </c>
      <c r="B12" s="87" t="str">
        <f t="shared" si="8"/>
        <v>Hélder Simão Nunes</v>
      </c>
      <c r="C12" s="87" t="str">
        <f t="shared" si="9"/>
        <v>1º Sarg.</v>
      </c>
      <c r="D12" s="87" t="str">
        <f t="shared" si="10"/>
        <v>SOI</v>
      </c>
      <c r="E12" s="87" t="str">
        <f t="shared" si="11"/>
        <v>—</v>
      </c>
      <c r="F12" s="87" t="str">
        <f t="shared" si="12"/>
        <v/>
      </c>
      <c r="G12" s="86" t="str">
        <f t="shared" si="13"/>
        <v>SIM</v>
      </c>
      <c r="H12" s="87" t="str">
        <f t="shared" si="14"/>
        <v>Não pertence a companhia operacional — disponível por defeito</v>
      </c>
      <c r="K12" s="88" t="str">
        <f>'[1]Capacidade UAS-CUAS'!E8</f>
        <v>2030883</v>
      </c>
      <c r="L12" s="88" t="str">
        <f>'[1]Capacidade UAS-CUAS'!F8</f>
        <v>Paulo Sérgio Pessanha Saraiva Loureiro</v>
      </c>
      <c r="M12" s="88" t="str">
        <f>'[1]Capacidade UAS-CUAS'!D8</f>
        <v>Cabo Ch</v>
      </c>
      <c r="N12" s="88" t="str">
        <f>'[1]Capacidade UAS-CUAS'!B8</f>
        <v>SOI</v>
      </c>
      <c r="O12" s="88" t="str">
        <f>'[1]Capacidade UAS-CUAS'!C8</f>
        <v>—</v>
      </c>
      <c r="P12" s="88" t="str">
        <f t="shared" si="0"/>
        <v/>
      </c>
      <c r="Q12" s="88" t="str">
        <f>IF(P12="","",IFERROR(INDEX(EscalaPelotoes!$B$3:$N$4481,MATCH($B$3,EscalaPelotoes!$A$3:$A$4481,0),MATCH(P12,EscalaPelotoes!$B$2:$N$2,0)),""))</f>
        <v/>
      </c>
      <c r="R12" s="88" t="b">
        <f t="shared" si="1"/>
        <v>1</v>
      </c>
      <c r="S12" s="88" t="b">
        <f>IF(O12="—",FALSE(),SUMPRODUCT(--(TEXT([1]Serviços!$B$4:$B$400,"0")=TEXT(K12,"0")),--([1]Serviços!$A$4:$A$400=$B$3))&gt;0)</f>
        <v>0</v>
      </c>
      <c r="T12" s="88" t="b">
        <f t="shared" si="2"/>
        <v>1</v>
      </c>
      <c r="U12" s="88">
        <f t="shared" si="3"/>
        <v>0</v>
      </c>
      <c r="V12" s="88">
        <f>ROW()</f>
        <v>12</v>
      </c>
      <c r="W12" s="88">
        <f t="shared" si="4"/>
        <v>10</v>
      </c>
      <c r="X12" s="88" t="str">
        <f t="shared" si="5"/>
        <v>Não pertence a companhia operacional — disponível por defeito</v>
      </c>
      <c r="Y12" s="88">
        <f t="shared" si="6"/>
        <v>0</v>
      </c>
    </row>
    <row r="13" spans="1:25" ht="15" customHeight="1" x14ac:dyDescent="0.25">
      <c r="A13" s="86">
        <f t="shared" si="7"/>
        <v>2070317</v>
      </c>
      <c r="B13" s="87" t="str">
        <f t="shared" si="8"/>
        <v>José Carlos Soares Gomes</v>
      </c>
      <c r="C13" s="87" t="str">
        <f t="shared" si="9"/>
        <v>Cabo</v>
      </c>
      <c r="D13" s="87" t="str">
        <f t="shared" si="10"/>
        <v>SOI</v>
      </c>
      <c r="E13" s="87" t="str">
        <f t="shared" si="11"/>
        <v>—</v>
      </c>
      <c r="F13" s="87" t="str">
        <f t="shared" si="12"/>
        <v/>
      </c>
      <c r="G13" s="86" t="str">
        <f t="shared" si="13"/>
        <v>SIM</v>
      </c>
      <c r="H13" s="87" t="str">
        <f t="shared" si="14"/>
        <v>Não pertence a companhia operacional — disponível por defeito</v>
      </c>
      <c r="K13" s="88">
        <f>'[1]Capacidade UAS-CUAS'!E9</f>
        <v>2040618</v>
      </c>
      <c r="L13" s="88" t="str">
        <f>'[1]Capacidade UAS-CUAS'!F9</f>
        <v>Paulo Alexandre Nunes Fernandes Estêvão</v>
      </c>
      <c r="M13" s="88" t="str">
        <f>'[1]Capacidade UAS-CUAS'!D9</f>
        <v>Cabo Ch</v>
      </c>
      <c r="N13" s="88" t="str">
        <f>'[1]Capacidade UAS-CUAS'!B9</f>
        <v>SOI</v>
      </c>
      <c r="O13" s="88" t="str">
        <f>'[1]Capacidade UAS-CUAS'!C9</f>
        <v>—</v>
      </c>
      <c r="P13" s="88" t="str">
        <f t="shared" si="0"/>
        <v/>
      </c>
      <c r="Q13" s="88" t="str">
        <f>IF(P13="","",IFERROR(INDEX(EscalaPelotoes!$B$3:$N$4481,MATCH($B$3,EscalaPelotoes!$A$3:$A$4481,0),MATCH(P13,EscalaPelotoes!$B$2:$N$2,0)),""))</f>
        <v/>
      </c>
      <c r="R13" s="88" t="b">
        <f t="shared" si="1"/>
        <v>1</v>
      </c>
      <c r="S13" s="88" t="b">
        <f>IF(O13="—",FALSE(),SUMPRODUCT(--(TEXT([1]Serviços!$B$4:$B$400,"0")=TEXT(K13,"0")),--([1]Serviços!$A$4:$A$400=$B$3))&gt;0)</f>
        <v>0</v>
      </c>
      <c r="T13" s="88" t="b">
        <f t="shared" si="2"/>
        <v>1</v>
      </c>
      <c r="U13" s="88">
        <f t="shared" si="3"/>
        <v>0</v>
      </c>
      <c r="V13" s="88">
        <f>ROW()</f>
        <v>13</v>
      </c>
      <c r="W13" s="88">
        <f t="shared" si="4"/>
        <v>9</v>
      </c>
      <c r="X13" s="88" t="str">
        <f t="shared" si="5"/>
        <v>Não pertence a companhia operacional — disponível por defeito</v>
      </c>
      <c r="Y13" s="88">
        <f t="shared" si="6"/>
        <v>0</v>
      </c>
    </row>
    <row r="14" spans="1:25" ht="15" customHeight="1" x14ac:dyDescent="0.25">
      <c r="A14" s="86" t="str">
        <f t="shared" si="7"/>
        <v>2140038</v>
      </c>
      <c r="B14" s="87" t="str">
        <f t="shared" si="8"/>
        <v>Luis Manuel Maceiro Cantante</v>
      </c>
      <c r="C14" s="87" t="str">
        <f t="shared" si="9"/>
        <v>Tenente</v>
      </c>
      <c r="D14" s="87" t="str">
        <f t="shared" si="10"/>
        <v>Comando / SOI</v>
      </c>
      <c r="E14" s="87" t="str">
        <f t="shared" si="11"/>
        <v>—</v>
      </c>
      <c r="F14" s="87" t="str">
        <f t="shared" si="12"/>
        <v/>
      </c>
      <c r="G14" s="86" t="str">
        <f t="shared" si="13"/>
        <v>SIM</v>
      </c>
      <c r="H14" s="87" t="str">
        <f t="shared" si="14"/>
        <v>Não pertence a companhia operacional — disponível por defeito</v>
      </c>
      <c r="K14" s="88">
        <f>'[1]Capacidade UAS-CUAS'!E10</f>
        <v>2090487</v>
      </c>
      <c r="L14" s="88" t="str">
        <f>'[1]Capacidade UAS-CUAS'!F10</f>
        <v>Wilson da Silva Sousa</v>
      </c>
      <c r="M14" s="88" t="str">
        <f>'[1]Capacidade UAS-CUAS'!D10</f>
        <v>Cabo</v>
      </c>
      <c r="N14" s="88" t="str">
        <f>'[1]Capacidade UAS-CUAS'!B10</f>
        <v>SOI</v>
      </c>
      <c r="O14" s="88" t="str">
        <f>'[1]Capacidade UAS-CUAS'!C10</f>
        <v>—</v>
      </c>
      <c r="P14" s="88" t="str">
        <f t="shared" si="0"/>
        <v/>
      </c>
      <c r="Q14" s="88" t="str">
        <f>IF(P14="","",IFERROR(INDEX(EscalaPelotoes!$B$3:$N$4481,MATCH($B$3,EscalaPelotoes!$A$3:$A$4481,0),MATCH(P14,EscalaPelotoes!$B$2:$N$2,0)),""))</f>
        <v/>
      </c>
      <c r="R14" s="88" t="b">
        <f t="shared" si="1"/>
        <v>1</v>
      </c>
      <c r="S14" s="88" t="b">
        <f>IF(O14="—",FALSE(),SUMPRODUCT(--(TEXT([1]Serviços!$B$4:$B$400,"0")=TEXT(K14,"0")),--([1]Serviços!$A$4:$A$400=$B$3))&gt;0)</f>
        <v>0</v>
      </c>
      <c r="T14" s="88" t="b">
        <f t="shared" si="2"/>
        <v>1</v>
      </c>
      <c r="U14" s="88">
        <f t="shared" si="3"/>
        <v>0</v>
      </c>
      <c r="V14" s="88">
        <f>ROW()</f>
        <v>14</v>
      </c>
      <c r="W14" s="88">
        <f t="shared" si="4"/>
        <v>11</v>
      </c>
      <c r="X14" s="88" t="str">
        <f t="shared" si="5"/>
        <v>Não pertence a companhia operacional — disponível por defeito</v>
      </c>
      <c r="Y14" s="88">
        <f t="shared" si="6"/>
        <v>0</v>
      </c>
    </row>
    <row r="15" spans="1:25" ht="15" customHeight="1" x14ac:dyDescent="0.25">
      <c r="A15" s="86">
        <f t="shared" si="7"/>
        <v>1970024</v>
      </c>
      <c r="B15" s="87" t="str">
        <f t="shared" si="8"/>
        <v>Manuel António Gonçalves Cordeiro</v>
      </c>
      <c r="C15" s="87" t="str">
        <f t="shared" si="9"/>
        <v>Sarg. Ch</v>
      </c>
      <c r="D15" s="87" t="str">
        <f t="shared" si="10"/>
        <v>SOI</v>
      </c>
      <c r="E15" s="87" t="str">
        <f t="shared" si="11"/>
        <v>—</v>
      </c>
      <c r="F15" s="87" t="str">
        <f t="shared" si="12"/>
        <v/>
      </c>
      <c r="G15" s="86" t="str">
        <f t="shared" si="13"/>
        <v>SIM</v>
      </c>
      <c r="H15" s="87" t="str">
        <f t="shared" si="14"/>
        <v>Não pertence a companhia operacional — disponível por defeito</v>
      </c>
      <c r="K15" s="88" t="str">
        <f>'[1]Capacidade UAS-CUAS'!E11</f>
        <v>2030644</v>
      </c>
      <c r="L15" s="88" t="str">
        <f>'[1]Capacidade UAS-CUAS'!F11</f>
        <v>Bruno Miguel Correia Pimenta</v>
      </c>
      <c r="M15" s="88" t="str">
        <f>'[1]Capacidade UAS-CUAS'!D11</f>
        <v>Cabo</v>
      </c>
      <c r="N15" s="88" t="str">
        <f>'[1]Capacidade UAS-CUAS'!B11</f>
        <v>SOI</v>
      </c>
      <c r="O15" s="88" t="str">
        <f>'[1]Capacidade UAS-CUAS'!C11</f>
        <v>—</v>
      </c>
      <c r="P15" s="88" t="str">
        <f t="shared" si="0"/>
        <v/>
      </c>
      <c r="Q15" s="88" t="str">
        <f>IF(P15="","",IFERROR(INDEX(EscalaPelotoes!$B$3:$N$4481,MATCH($B$3,EscalaPelotoes!$A$3:$A$4481,0),MATCH(P15,EscalaPelotoes!$B$2:$N$2,0)),""))</f>
        <v/>
      </c>
      <c r="R15" s="88" t="b">
        <f t="shared" si="1"/>
        <v>1</v>
      </c>
      <c r="S15" s="88" t="b">
        <f>IF(O15="—",FALSE(),SUMPRODUCT(--(TEXT([1]Serviços!$B$4:$B$400,"0")=TEXT(K15,"0")),--([1]Serviços!$A$4:$A$400=$B$3))&gt;0)</f>
        <v>0</v>
      </c>
      <c r="T15" s="88" t="b">
        <f t="shared" si="2"/>
        <v>1</v>
      </c>
      <c r="U15" s="88">
        <f t="shared" si="3"/>
        <v>0</v>
      </c>
      <c r="V15" s="88">
        <f>ROW()</f>
        <v>15</v>
      </c>
      <c r="W15" s="88">
        <f t="shared" si="4"/>
        <v>2</v>
      </c>
      <c r="X15" s="88" t="str">
        <f t="shared" si="5"/>
        <v>Não pertence a companhia operacional — disponível por defeito</v>
      </c>
      <c r="Y15" s="88">
        <f t="shared" si="6"/>
        <v>0</v>
      </c>
    </row>
    <row r="16" spans="1:25" ht="15" customHeight="1" x14ac:dyDescent="0.25">
      <c r="A16" s="86">
        <f t="shared" si="7"/>
        <v>2040618</v>
      </c>
      <c r="B16" s="87" t="str">
        <f t="shared" si="8"/>
        <v>Paulo Alexandre Nunes Fernandes Estêvão</v>
      </c>
      <c r="C16" s="87" t="str">
        <f t="shared" si="9"/>
        <v>Cabo Ch</v>
      </c>
      <c r="D16" s="87" t="str">
        <f t="shared" si="10"/>
        <v>SOI</v>
      </c>
      <c r="E16" s="87" t="str">
        <f t="shared" si="11"/>
        <v>—</v>
      </c>
      <c r="F16" s="87" t="str">
        <f t="shared" si="12"/>
        <v/>
      </c>
      <c r="G16" s="86" t="str">
        <f t="shared" si="13"/>
        <v>SIM</v>
      </c>
      <c r="H16" s="87" t="str">
        <f t="shared" si="14"/>
        <v>Não pertence a companhia operacional — disponível por defeito</v>
      </c>
      <c r="K16" s="88">
        <f>'[1]Capacidade UAS-CUAS'!E12</f>
        <v>2030052</v>
      </c>
      <c r="L16" s="88" t="str">
        <f>'[1]Capacidade UAS-CUAS'!F12</f>
        <v>Filipe Jorge dos Santos Silva</v>
      </c>
      <c r="M16" s="88" t="str">
        <f>'[1]Capacidade UAS-CUAS'!D12</f>
        <v>Cabo</v>
      </c>
      <c r="N16" s="88" t="str">
        <f>'[1]Capacidade UAS-CUAS'!B12</f>
        <v>SOI</v>
      </c>
      <c r="O16" s="88" t="str">
        <f>'[1]Capacidade UAS-CUAS'!C12</f>
        <v>—</v>
      </c>
      <c r="P16" s="88" t="str">
        <f t="shared" si="0"/>
        <v/>
      </c>
      <c r="Q16" s="88" t="str">
        <f>IF(P16="","",IFERROR(INDEX(EscalaPelotoes!$B$3:$N$4481,MATCH($B$3,EscalaPelotoes!$A$3:$A$4481,0),MATCH(P16,EscalaPelotoes!$B$2:$N$2,0)),""))</f>
        <v/>
      </c>
      <c r="R16" s="88" t="b">
        <f t="shared" si="1"/>
        <v>1</v>
      </c>
      <c r="S16" s="88" t="b">
        <f>IF(O16="—",FALSE(),SUMPRODUCT(--(TEXT([1]Serviços!$B$4:$B$400,"0")=TEXT(K16,"0")),--([1]Serviços!$A$4:$A$400=$B$3))&gt;0)</f>
        <v>0</v>
      </c>
      <c r="T16" s="88" t="b">
        <f t="shared" si="2"/>
        <v>1</v>
      </c>
      <c r="U16" s="88">
        <f t="shared" si="3"/>
        <v>0</v>
      </c>
      <c r="V16" s="88">
        <f>ROW()</f>
        <v>16</v>
      </c>
      <c r="W16" s="88">
        <f t="shared" si="4"/>
        <v>4</v>
      </c>
      <c r="X16" s="88" t="str">
        <f t="shared" si="5"/>
        <v>Não pertence a companhia operacional — disponível por defeito</v>
      </c>
      <c r="Y16" s="88">
        <f t="shared" si="6"/>
        <v>0</v>
      </c>
    </row>
    <row r="17" spans="1:25" ht="15" customHeight="1" x14ac:dyDescent="0.25">
      <c r="A17" s="86" t="str">
        <f t="shared" si="7"/>
        <v>2030883</v>
      </c>
      <c r="B17" s="87" t="str">
        <f t="shared" si="8"/>
        <v>Paulo Sérgio Pessanha Saraiva Loureiro</v>
      </c>
      <c r="C17" s="87" t="str">
        <f t="shared" si="9"/>
        <v>Cabo Ch</v>
      </c>
      <c r="D17" s="87" t="str">
        <f t="shared" si="10"/>
        <v>SOI</v>
      </c>
      <c r="E17" s="87" t="str">
        <f t="shared" si="11"/>
        <v>—</v>
      </c>
      <c r="F17" s="87" t="str">
        <f t="shared" si="12"/>
        <v/>
      </c>
      <c r="G17" s="86" t="str">
        <f t="shared" si="13"/>
        <v>SIM</v>
      </c>
      <c r="H17" s="87" t="str">
        <f t="shared" si="14"/>
        <v>Não pertence a companhia operacional — disponível por defeito</v>
      </c>
      <c r="K17" s="88" t="str">
        <f>'[1]Capacidade UAS-CUAS'!E13</f>
        <v>2040185</v>
      </c>
      <c r="L17" s="88" t="str">
        <f>'[1]Capacidade UAS-CUAS'!F13</f>
        <v>Carlos Manuel Jorge dos Santos</v>
      </c>
      <c r="M17" s="88" t="str">
        <f>'[1]Capacidade UAS-CUAS'!D13</f>
        <v>Cabo</v>
      </c>
      <c r="N17" s="88" t="str">
        <f>'[1]Capacidade UAS-CUAS'!B13</f>
        <v>SOI</v>
      </c>
      <c r="O17" s="88" t="str">
        <f>'[1]Capacidade UAS-CUAS'!C13</f>
        <v>—</v>
      </c>
      <c r="P17" s="88" t="str">
        <f t="shared" si="0"/>
        <v/>
      </c>
      <c r="Q17" s="88" t="str">
        <f>IF(P17="","",IFERROR(INDEX(EscalaPelotoes!$B$3:$N$4481,MATCH($B$3,EscalaPelotoes!$A$3:$A$4481,0),MATCH(P17,EscalaPelotoes!$B$2:$N$2,0)),""))</f>
        <v/>
      </c>
      <c r="R17" s="88" t="b">
        <f t="shared" si="1"/>
        <v>1</v>
      </c>
      <c r="S17" s="88" t="b">
        <f>IF(O17="—",FALSE(),SUMPRODUCT(--(TEXT([1]Serviços!$B$4:$B$400,"0")=TEXT(K17,"0")),--([1]Serviços!$A$4:$A$400=$B$3))&gt;0)</f>
        <v>0</v>
      </c>
      <c r="T17" s="88" t="b">
        <f t="shared" si="2"/>
        <v>1</v>
      </c>
      <c r="U17" s="88">
        <f t="shared" si="3"/>
        <v>0</v>
      </c>
      <c r="V17" s="88">
        <f>ROW()</f>
        <v>17</v>
      </c>
      <c r="W17" s="88">
        <f t="shared" si="4"/>
        <v>3</v>
      </c>
      <c r="X17" s="88" t="str">
        <f t="shared" si="5"/>
        <v>Não pertence a companhia operacional — disponível por defeito</v>
      </c>
      <c r="Y17" s="88">
        <f t="shared" si="6"/>
        <v>0</v>
      </c>
    </row>
    <row r="18" spans="1:25" ht="15" customHeight="1" x14ac:dyDescent="0.25">
      <c r="A18" s="86">
        <f t="shared" si="7"/>
        <v>2090487</v>
      </c>
      <c r="B18" s="87" t="str">
        <f t="shared" si="8"/>
        <v>Wilson da Silva Sousa</v>
      </c>
      <c r="C18" s="87" t="str">
        <f t="shared" si="9"/>
        <v>Cabo</v>
      </c>
      <c r="D18" s="87" t="str">
        <f t="shared" si="10"/>
        <v>SOI</v>
      </c>
      <c r="E18" s="87" t="str">
        <f t="shared" si="11"/>
        <v>—</v>
      </c>
      <c r="F18" s="87" t="str">
        <f t="shared" si="12"/>
        <v/>
      </c>
      <c r="G18" s="86" t="str">
        <f t="shared" si="13"/>
        <v>SIM</v>
      </c>
      <c r="H18" s="87" t="str">
        <f t="shared" si="14"/>
        <v>Não pertence a companhia operacional — disponível por defeito</v>
      </c>
      <c r="K18" s="88">
        <f>'[1]Capacidade UAS-CUAS'!E14</f>
        <v>2070317</v>
      </c>
      <c r="L18" s="88" t="str">
        <f>'[1]Capacidade UAS-CUAS'!F14</f>
        <v>José Carlos Soares Gomes</v>
      </c>
      <c r="M18" s="88" t="str">
        <f>'[1]Capacidade UAS-CUAS'!D14</f>
        <v>Cabo</v>
      </c>
      <c r="N18" s="88" t="str">
        <f>'[1]Capacidade UAS-CUAS'!B14</f>
        <v>SOI</v>
      </c>
      <c r="O18" s="88" t="str">
        <f>'[1]Capacidade UAS-CUAS'!C14</f>
        <v>—</v>
      </c>
      <c r="P18" s="88" t="str">
        <f t="shared" si="0"/>
        <v/>
      </c>
      <c r="Q18" s="88" t="str">
        <f>IF(P18="","",IFERROR(INDEX(EscalaPelotoes!$B$3:$N$4481,MATCH($B$3,EscalaPelotoes!$A$3:$A$4481,0),MATCH(P18,EscalaPelotoes!$B$2:$N$2,0)),""))</f>
        <v/>
      </c>
      <c r="R18" s="88" t="b">
        <f t="shared" si="1"/>
        <v>1</v>
      </c>
      <c r="S18" s="88" t="b">
        <f>IF(O18="—",FALSE(),SUMPRODUCT(--(TEXT([1]Serviços!$B$4:$B$400,"0")=TEXT(K18,"0")),--([1]Serviços!$A$4:$A$400=$B$3))&gt;0)</f>
        <v>0</v>
      </c>
      <c r="T18" s="88" t="b">
        <f t="shared" si="2"/>
        <v>1</v>
      </c>
      <c r="U18" s="88">
        <f t="shared" si="3"/>
        <v>0</v>
      </c>
      <c r="V18" s="88">
        <f>ROW()</f>
        <v>18</v>
      </c>
      <c r="W18" s="88">
        <f t="shared" si="4"/>
        <v>6</v>
      </c>
      <c r="X18" s="88" t="str">
        <f t="shared" si="5"/>
        <v>Não pertence a companhia operacional — disponível por defeito</v>
      </c>
      <c r="Y18" s="88">
        <f t="shared" si="6"/>
        <v>0</v>
      </c>
    </row>
    <row r="19" spans="1:25" ht="15" customHeight="1" x14ac:dyDescent="0.25">
      <c r="A19" s="86" t="str">
        <f t="shared" si="7"/>
        <v>2120740</v>
      </c>
      <c r="B19" s="87" t="str">
        <f t="shared" si="8"/>
        <v>Bernardo Samuel Fernandes Lameira</v>
      </c>
      <c r="C19" s="87" t="str">
        <f t="shared" si="9"/>
        <v>Grd Pr</v>
      </c>
      <c r="D19" s="87" t="str">
        <f t="shared" si="10"/>
        <v>4.ª Companhia</v>
      </c>
      <c r="E19" s="87" t="str">
        <f t="shared" si="11"/>
        <v>10.º Pelotão</v>
      </c>
      <c r="F19" s="87" t="str">
        <f t="shared" si="12"/>
        <v>P3</v>
      </c>
      <c r="G19" s="86" t="str">
        <f t="shared" si="13"/>
        <v>SIM</v>
      </c>
      <c r="H19" s="87" t="str">
        <f t="shared" si="14"/>
        <v>Escala do pelotão: P3 (disponível)</v>
      </c>
      <c r="K19" s="88" t="str">
        <f>'[1]Capacidade UAS-CUAS'!E15</f>
        <v>2000474</v>
      </c>
      <c r="L19" s="88" t="str">
        <f>'[1]Capacidade UAS-CUAS'!F15</f>
        <v>Jorge Manuel Graça Rodrigues</v>
      </c>
      <c r="M19" s="88" t="str">
        <f>'[1]Capacidade UAS-CUAS'!D15</f>
        <v>Sarg. Aj</v>
      </c>
      <c r="N19" s="88" t="str">
        <f>'[1]Capacidade UAS-CUAS'!B15</f>
        <v>1.ª Companhia</v>
      </c>
      <c r="O19" s="88" t="str">
        <f>'[1]Capacidade UAS-CUAS'!C15</f>
        <v>1.º Pelotão</v>
      </c>
      <c r="P19" s="88" t="str">
        <f t="shared" si="0"/>
        <v>1º</v>
      </c>
      <c r="Q19" s="88" t="str">
        <f>IF(P19="","",IFERROR(INDEX(EscalaPelotoes!$B$3:$N$4481,MATCH($B$3,EscalaPelotoes!$A$3:$A$4481,0),MATCH(P19,EscalaPelotoes!$B$2:$N$2,0)),""))</f>
        <v>P6 - DCOMP</v>
      </c>
      <c r="R19" s="88" t="b">
        <f t="shared" si="1"/>
        <v>0</v>
      </c>
      <c r="S19" s="88" t="b">
        <f>IF(O19="—",FALSE(),SUMPRODUCT(--(TEXT([1]Serviços!$B$4:$B$400,"0")=TEXT(K19,"0")),--([1]Serviços!$A$4:$A$400=$B$3))&gt;0)</f>
        <v>0</v>
      </c>
      <c r="T19" s="88" t="b">
        <f t="shared" si="2"/>
        <v>0</v>
      </c>
      <c r="U19" s="88">
        <f t="shared" si="3"/>
        <v>2</v>
      </c>
      <c r="V19" s="88">
        <f>ROW()</f>
        <v>19</v>
      </c>
      <c r="W19" s="88">
        <f t="shared" si="4"/>
        <v>21</v>
      </c>
      <c r="X19" s="88" t="str">
        <f t="shared" si="5"/>
        <v>Escala do pelotão: P6 - DCOMP (indisponível)</v>
      </c>
      <c r="Y19" s="88">
        <f t="shared" si="6"/>
        <v>6</v>
      </c>
    </row>
    <row r="20" spans="1:25" ht="15" customHeight="1" x14ac:dyDescent="0.25">
      <c r="A20" s="86" t="str">
        <f t="shared" si="7"/>
        <v>2090745</v>
      </c>
      <c r="B20" s="87" t="str">
        <f t="shared" si="8"/>
        <v>Berto Jorge Mota Miranda</v>
      </c>
      <c r="C20" s="87" t="str">
        <f t="shared" si="9"/>
        <v>Grd Pr</v>
      </c>
      <c r="D20" s="87" t="str">
        <f t="shared" si="10"/>
        <v>4.ª Companhia</v>
      </c>
      <c r="E20" s="87" t="str">
        <f t="shared" si="11"/>
        <v>10.º Pelotão</v>
      </c>
      <c r="F20" s="87" t="str">
        <f t="shared" si="12"/>
        <v>P3</v>
      </c>
      <c r="G20" s="86" t="str">
        <f t="shared" si="13"/>
        <v>SIM</v>
      </c>
      <c r="H20" s="87" t="str">
        <f t="shared" si="14"/>
        <v>Escala do pelotão: P3 (disponível)</v>
      </c>
      <c r="K20" s="88">
        <f>'[1]Capacidade UAS-CUAS'!E16</f>
        <v>1970349</v>
      </c>
      <c r="L20" s="88" t="str">
        <f>'[1]Capacidade UAS-CUAS'!F16</f>
        <v>Paulo Aurélio Fernandes Alves</v>
      </c>
      <c r="M20" s="88" t="str">
        <f>'[1]Capacidade UAS-CUAS'!D16</f>
        <v>Cabo</v>
      </c>
      <c r="N20" s="88" t="str">
        <f>'[1]Capacidade UAS-CUAS'!B16</f>
        <v>1.ª Companhia</v>
      </c>
      <c r="O20" s="88" t="str">
        <f>'[1]Capacidade UAS-CUAS'!C16</f>
        <v>1.º Pelotão</v>
      </c>
      <c r="P20" s="88" t="str">
        <f t="shared" si="0"/>
        <v>1º</v>
      </c>
      <c r="Q20" s="88" t="str">
        <f>IF(P20="","",IFERROR(INDEX(EscalaPelotoes!$B$3:$N$4481,MATCH($B$3,EscalaPelotoes!$A$3:$A$4481,0),MATCH(P20,EscalaPelotoes!$B$2:$N$2,0)),""))</f>
        <v>P6 - DCOMP</v>
      </c>
      <c r="R20" s="88" t="b">
        <f t="shared" si="1"/>
        <v>0</v>
      </c>
      <c r="S20" s="88" t="b">
        <f>IF(O20="—",FALSE(),SUMPRODUCT(--(TEXT([1]Serviços!$B$4:$B$400,"0")=TEXT(K20,"0")),--([1]Serviços!$A$4:$A$400=$B$3))&gt;0)</f>
        <v>0</v>
      </c>
      <c r="T20" s="88" t="b">
        <f t="shared" si="2"/>
        <v>0</v>
      </c>
      <c r="U20" s="88">
        <f t="shared" si="3"/>
        <v>2</v>
      </c>
      <c r="V20" s="88">
        <f>ROW()</f>
        <v>20</v>
      </c>
      <c r="W20" s="88">
        <f t="shared" si="4"/>
        <v>23</v>
      </c>
      <c r="X20" s="88" t="str">
        <f t="shared" si="5"/>
        <v>Escala do pelotão: P6 - DCOMP (indisponível)</v>
      </c>
      <c r="Y20" s="88">
        <f t="shared" si="6"/>
        <v>6</v>
      </c>
    </row>
    <row r="21" spans="1:25" ht="15" customHeight="1" x14ac:dyDescent="0.25">
      <c r="A21" s="86">
        <f t="shared" si="7"/>
        <v>2160072</v>
      </c>
      <c r="B21" s="87" t="str">
        <f t="shared" si="8"/>
        <v>Eduardo Luis Nogueira Barbosa</v>
      </c>
      <c r="C21" s="87" t="str">
        <f t="shared" si="9"/>
        <v>2º Sarg.</v>
      </c>
      <c r="D21" s="87" t="str">
        <f t="shared" si="10"/>
        <v>4.ª Companhia</v>
      </c>
      <c r="E21" s="87" t="str">
        <f t="shared" si="11"/>
        <v>10.º Pelotão</v>
      </c>
      <c r="F21" s="87" t="str">
        <f t="shared" si="12"/>
        <v>P3</v>
      </c>
      <c r="G21" s="86" t="str">
        <f t="shared" si="13"/>
        <v>SIM</v>
      </c>
      <c r="H21" s="87" t="str">
        <f t="shared" si="14"/>
        <v>Escala do pelotão: P3 (disponível)</v>
      </c>
      <c r="K21" s="88">
        <f>'[1]Capacidade UAS-CUAS'!E17</f>
        <v>2000796</v>
      </c>
      <c r="L21" s="88" t="str">
        <f>'[1]Capacidade UAS-CUAS'!F17</f>
        <v>Jorge António Monteiro Silvano</v>
      </c>
      <c r="M21" s="88" t="str">
        <f>'[1]Capacidade UAS-CUAS'!D17</f>
        <v>Cabo</v>
      </c>
      <c r="N21" s="88" t="str">
        <f>'[1]Capacidade UAS-CUAS'!B17</f>
        <v>1.ª Companhia</v>
      </c>
      <c r="O21" s="88" t="str">
        <f>'[1]Capacidade UAS-CUAS'!C17</f>
        <v>1.º Pelotão</v>
      </c>
      <c r="P21" s="88" t="str">
        <f t="shared" si="0"/>
        <v>1º</v>
      </c>
      <c r="Q21" s="88" t="str">
        <f>IF(P21="","",IFERROR(INDEX(EscalaPelotoes!$B$3:$N$4481,MATCH($B$3,EscalaPelotoes!$A$3:$A$4481,0),MATCH(P21,EscalaPelotoes!$B$2:$N$2,0)),""))</f>
        <v>P6 - DCOMP</v>
      </c>
      <c r="R21" s="88" t="b">
        <f t="shared" si="1"/>
        <v>0</v>
      </c>
      <c r="S21" s="88" t="b">
        <f>IF(O21="—",FALSE(),SUMPRODUCT(--(TEXT([1]Serviços!$B$4:$B$400,"0")=TEXT(K21,"0")),--([1]Serviços!$A$4:$A$400=$B$3))&gt;0)</f>
        <v>0</v>
      </c>
      <c r="T21" s="88" t="b">
        <f t="shared" si="2"/>
        <v>0</v>
      </c>
      <c r="U21" s="88">
        <f t="shared" si="3"/>
        <v>2</v>
      </c>
      <c r="V21" s="88">
        <f>ROW()</f>
        <v>21</v>
      </c>
      <c r="W21" s="88">
        <f t="shared" si="4"/>
        <v>20</v>
      </c>
      <c r="X21" s="88" t="str">
        <f t="shared" si="5"/>
        <v>Escala do pelotão: P6 - DCOMP (indisponível)</v>
      </c>
      <c r="Y21" s="88">
        <f t="shared" si="6"/>
        <v>6</v>
      </c>
    </row>
    <row r="22" spans="1:25" ht="15" customHeight="1" x14ac:dyDescent="0.25">
      <c r="A22" s="86" t="str">
        <f t="shared" si="7"/>
        <v>2060410</v>
      </c>
      <c r="B22" s="87" t="str">
        <f t="shared" si="8"/>
        <v>Hélder Fernando Assis Cruz</v>
      </c>
      <c r="C22" s="87" t="str">
        <f t="shared" si="9"/>
        <v>Cabo</v>
      </c>
      <c r="D22" s="87" t="str">
        <f t="shared" si="10"/>
        <v>4.ª Companhia</v>
      </c>
      <c r="E22" s="87" t="str">
        <f t="shared" si="11"/>
        <v>11.º Pelotão</v>
      </c>
      <c r="F22" s="87" t="str">
        <f t="shared" si="12"/>
        <v>P2</v>
      </c>
      <c r="G22" s="86" t="str">
        <f t="shared" si="13"/>
        <v>SIM</v>
      </c>
      <c r="H22" s="87" t="str">
        <f t="shared" si="14"/>
        <v>Escala do pelotão: P2 (disponível)</v>
      </c>
      <c r="K22" s="88" t="str">
        <f>'[1]Capacidade UAS-CUAS'!E18</f>
        <v>2070254</v>
      </c>
      <c r="L22" s="88" t="str">
        <f>'[1]Capacidade UAS-CUAS'!F18</f>
        <v>Sílvio Manuel Supico Serra</v>
      </c>
      <c r="M22" s="88" t="str">
        <f>'[1]Capacidade UAS-CUAS'!D18</f>
        <v>Cabo</v>
      </c>
      <c r="N22" s="88" t="str">
        <f>'[1]Capacidade UAS-CUAS'!B18</f>
        <v>1.ª Companhia</v>
      </c>
      <c r="O22" s="88" t="str">
        <f>'[1]Capacidade UAS-CUAS'!C18</f>
        <v>1.º Pelotão</v>
      </c>
      <c r="P22" s="88" t="str">
        <f t="shared" si="0"/>
        <v>1º</v>
      </c>
      <c r="Q22" s="88" t="str">
        <f>IF(P22="","",IFERROR(INDEX(EscalaPelotoes!$B$3:$N$4481,MATCH($B$3,EscalaPelotoes!$A$3:$A$4481,0),MATCH(P22,EscalaPelotoes!$B$2:$N$2,0)),""))</f>
        <v>P6 - DCOMP</v>
      </c>
      <c r="R22" s="88" t="b">
        <f t="shared" si="1"/>
        <v>0</v>
      </c>
      <c r="S22" s="88" t="b">
        <f>IF(O22="—",FALSE(),SUMPRODUCT(--(TEXT([1]Serviços!$B$4:$B$400,"0")=TEXT(K22,"0")),--([1]Serviços!$A$4:$A$400=$B$3))&gt;0)</f>
        <v>0</v>
      </c>
      <c r="T22" s="88" t="b">
        <f t="shared" si="2"/>
        <v>0</v>
      </c>
      <c r="U22" s="88">
        <f t="shared" si="3"/>
        <v>2</v>
      </c>
      <c r="V22" s="88">
        <f>ROW()</f>
        <v>22</v>
      </c>
      <c r="W22" s="88">
        <f t="shared" si="4"/>
        <v>25</v>
      </c>
      <c r="X22" s="88" t="str">
        <f t="shared" si="5"/>
        <v>Escala do pelotão: P6 - DCOMP (indisponível)</v>
      </c>
      <c r="Y22" s="88">
        <f t="shared" si="6"/>
        <v>6</v>
      </c>
    </row>
    <row r="23" spans="1:25" ht="15" customHeight="1" x14ac:dyDescent="0.25">
      <c r="A23" s="86" t="str">
        <f t="shared" si="7"/>
        <v>2090645</v>
      </c>
      <c r="B23" s="87" t="str">
        <f t="shared" si="8"/>
        <v>Pedro Jorge Teles Ribeiro</v>
      </c>
      <c r="C23" s="87" t="str">
        <f t="shared" si="9"/>
        <v>Grd Pr</v>
      </c>
      <c r="D23" s="87" t="str">
        <f t="shared" si="10"/>
        <v>4.ª Companhia</v>
      </c>
      <c r="E23" s="87" t="str">
        <f t="shared" si="11"/>
        <v>11.º Pelotão</v>
      </c>
      <c r="F23" s="87" t="str">
        <f t="shared" si="12"/>
        <v>P2</v>
      </c>
      <c r="G23" s="86" t="str">
        <f t="shared" si="13"/>
        <v>SIM</v>
      </c>
      <c r="H23" s="87" t="str">
        <f t="shared" si="14"/>
        <v>Escala do pelotão: P2 (disponível)</v>
      </c>
      <c r="K23" s="88">
        <f>'[1]Capacidade UAS-CUAS'!E19</f>
        <v>2150382</v>
      </c>
      <c r="L23" s="88" t="str">
        <f>'[1]Capacidade UAS-CUAS'!F19</f>
        <v>Pedro Miguel Rodrigues Carrapatoso</v>
      </c>
      <c r="M23" s="88" t="str">
        <f>'[1]Capacidade UAS-CUAS'!D19</f>
        <v>Grd Pr</v>
      </c>
      <c r="N23" s="88" t="str">
        <f>'[1]Capacidade UAS-CUAS'!B19</f>
        <v>1.ª Companhia</v>
      </c>
      <c r="O23" s="88" t="str">
        <f>'[1]Capacidade UAS-CUAS'!C19</f>
        <v>1.º Pelotão</v>
      </c>
      <c r="P23" s="88" t="str">
        <f t="shared" si="0"/>
        <v>1º</v>
      </c>
      <c r="Q23" s="88" t="str">
        <f>IF(P23="","",IFERROR(INDEX(EscalaPelotoes!$B$3:$N$4481,MATCH($B$3,EscalaPelotoes!$A$3:$A$4481,0),MATCH(P23,EscalaPelotoes!$B$2:$N$2,0)),""))</f>
        <v>P6 - DCOMP</v>
      </c>
      <c r="R23" s="88" t="b">
        <f t="shared" si="1"/>
        <v>0</v>
      </c>
      <c r="S23" s="88" t="b">
        <f>IF(O23="—",FALSE(),SUMPRODUCT(--(TEXT([1]Serviços!$B$4:$B$400,"0")=TEXT(K23,"0")),--([1]Serviços!$A$4:$A$400=$B$3))&gt;0)</f>
        <v>0</v>
      </c>
      <c r="T23" s="88" t="b">
        <f t="shared" si="2"/>
        <v>0</v>
      </c>
      <c r="U23" s="88">
        <f t="shared" si="3"/>
        <v>2</v>
      </c>
      <c r="V23" s="88">
        <f>ROW()</f>
        <v>23</v>
      </c>
      <c r="W23" s="88">
        <f t="shared" si="4"/>
        <v>24</v>
      </c>
      <c r="X23" s="88" t="str">
        <f t="shared" si="5"/>
        <v>Escala do pelotão: P6 - DCOMP (indisponível)</v>
      </c>
      <c r="Y23" s="88">
        <f t="shared" si="6"/>
        <v>6</v>
      </c>
    </row>
    <row r="24" spans="1:25" ht="15" customHeight="1" x14ac:dyDescent="0.25">
      <c r="A24" s="86" t="str">
        <f t="shared" si="7"/>
        <v>2150076</v>
      </c>
      <c r="B24" s="87" t="str">
        <f t="shared" si="8"/>
        <v>Dany David Ferreira Domingues</v>
      </c>
      <c r="C24" s="87" t="str">
        <f t="shared" si="9"/>
        <v>Grd Pr</v>
      </c>
      <c r="D24" s="87" t="str">
        <f t="shared" si="10"/>
        <v>2.ª Companhia</v>
      </c>
      <c r="E24" s="87" t="str">
        <f t="shared" si="11"/>
        <v>4.º Pelotão</v>
      </c>
      <c r="F24" s="87" t="str">
        <f t="shared" si="12"/>
        <v>P1</v>
      </c>
      <c r="G24" s="86" t="str">
        <f t="shared" si="13"/>
        <v>SIM</v>
      </c>
      <c r="H24" s="87" t="str">
        <f t="shared" si="14"/>
        <v>Escala do pelotão: P1 (disponível)</v>
      </c>
      <c r="K24" s="88" t="str">
        <f>'[1]Capacidade UAS-CUAS'!E20</f>
        <v>2210742</v>
      </c>
      <c r="L24" s="88" t="str">
        <f>'[1]Capacidade UAS-CUAS'!F20</f>
        <v>Leandro Filipe da Cruz Silva</v>
      </c>
      <c r="M24" s="88" t="str">
        <f>'[1]Capacidade UAS-CUAS'!D20</f>
        <v>Grd</v>
      </c>
      <c r="N24" s="88" t="str">
        <f>'[1]Capacidade UAS-CUAS'!B20</f>
        <v>1.ª Companhia</v>
      </c>
      <c r="O24" s="88" t="str">
        <f>'[1]Capacidade UAS-CUAS'!C20</f>
        <v>1.º Pelotão</v>
      </c>
      <c r="P24" s="88" t="str">
        <f t="shared" si="0"/>
        <v>1º</v>
      </c>
      <c r="Q24" s="88" t="str">
        <f>IF(P24="","",IFERROR(INDEX(EscalaPelotoes!$B$3:$N$4481,MATCH($B$3,EscalaPelotoes!$A$3:$A$4481,0),MATCH(P24,EscalaPelotoes!$B$2:$N$2,0)),""))</f>
        <v>P6 - DCOMP</v>
      </c>
      <c r="R24" s="88" t="b">
        <f t="shared" si="1"/>
        <v>0</v>
      </c>
      <c r="S24" s="88" t="b">
        <f>IF(O24="—",FALSE(),SUMPRODUCT(--(TEXT([1]Serviços!$B$4:$B$400,"0")=TEXT(K24,"0")),--([1]Serviços!$A$4:$A$400=$B$3))&gt;0)</f>
        <v>0</v>
      </c>
      <c r="T24" s="88" t="b">
        <f t="shared" si="2"/>
        <v>0</v>
      </c>
      <c r="U24" s="88">
        <f t="shared" si="3"/>
        <v>2</v>
      </c>
      <c r="V24" s="88">
        <f>ROW()</f>
        <v>24</v>
      </c>
      <c r="W24" s="88">
        <f t="shared" si="4"/>
        <v>22</v>
      </c>
      <c r="X24" s="88" t="str">
        <f t="shared" si="5"/>
        <v>Escala do pelotão: P6 - DCOMP (indisponível)</v>
      </c>
      <c r="Y24" s="88">
        <f t="shared" si="6"/>
        <v>6</v>
      </c>
    </row>
    <row r="25" spans="1:25" ht="15" customHeight="1" x14ac:dyDescent="0.25">
      <c r="A25" s="86" t="str">
        <f t="shared" si="7"/>
        <v>1990953</v>
      </c>
      <c r="B25" s="87" t="str">
        <f t="shared" si="8"/>
        <v>Orlando Augusto Gil Cosme</v>
      </c>
      <c r="C25" s="87" t="str">
        <f t="shared" si="9"/>
        <v>Cabo Ch</v>
      </c>
      <c r="D25" s="87" t="str">
        <f t="shared" si="10"/>
        <v>2.ª Companhia</v>
      </c>
      <c r="E25" s="87" t="str">
        <f t="shared" si="11"/>
        <v>4.º Pelotão</v>
      </c>
      <c r="F25" s="87" t="str">
        <f t="shared" si="12"/>
        <v>P1</v>
      </c>
      <c r="G25" s="86" t="str">
        <f t="shared" si="13"/>
        <v>SIM</v>
      </c>
      <c r="H25" s="87" t="str">
        <f t="shared" si="14"/>
        <v>Escala do pelotão: P1 (disponível)</v>
      </c>
      <c r="K25" s="88" t="str">
        <f>'[1]Capacidade UAS-CUAS'!E21</f>
        <v>2071127</v>
      </c>
      <c r="L25" s="88" t="str">
        <f>'[1]Capacidade UAS-CUAS'!F21</f>
        <v>Alexandre Dias Ramalheiro</v>
      </c>
      <c r="M25" s="88" t="str">
        <f>'[1]Capacidade UAS-CUAS'!D21</f>
        <v>Sarg. Aj</v>
      </c>
      <c r="N25" s="88" t="str">
        <f>'[1]Capacidade UAS-CUAS'!B21</f>
        <v>1.ª Companhia</v>
      </c>
      <c r="O25" s="88" t="str">
        <f>'[1]Capacidade UAS-CUAS'!C21</f>
        <v>2.º Pelotão</v>
      </c>
      <c r="P25" s="88" t="str">
        <f t="shared" si="0"/>
        <v>2º</v>
      </c>
      <c r="Q25" s="88" t="str">
        <f>IF(P25="","",IFERROR(INDEX(EscalaPelotoes!$B$3:$N$4481,MATCH($B$3,EscalaPelotoes!$A$3:$A$4481,0),MATCH(P25,EscalaPelotoes!$B$2:$N$2,0)),""))</f>
        <v>CAR</v>
      </c>
      <c r="R25" s="88" t="b">
        <f t="shared" si="1"/>
        <v>0</v>
      </c>
      <c r="S25" s="88" t="b">
        <f>IF(O25="—",FALSE(),SUMPRODUCT(--(TEXT([1]Serviços!$B$4:$B$400,"0")=TEXT(K25,"0")),--([1]Serviços!$A$4:$A$400=$B$3))&gt;0)</f>
        <v>0</v>
      </c>
      <c r="T25" s="88" t="b">
        <f t="shared" si="2"/>
        <v>0</v>
      </c>
      <c r="U25" s="88">
        <f t="shared" si="3"/>
        <v>2</v>
      </c>
      <c r="V25" s="88">
        <f>ROW()</f>
        <v>25</v>
      </c>
      <c r="W25" s="88">
        <f t="shared" si="4"/>
        <v>55</v>
      </c>
      <c r="X25" s="88" t="str">
        <f t="shared" si="5"/>
        <v>Escala do pelotão: CAR (indisponível)</v>
      </c>
      <c r="Y25" s="88">
        <f t="shared" si="6"/>
        <v>0</v>
      </c>
    </row>
    <row r="26" spans="1:25" ht="15" customHeight="1" x14ac:dyDescent="0.25">
      <c r="A26" s="86" t="str">
        <f t="shared" si="7"/>
        <v>2010480</v>
      </c>
      <c r="B26" s="87" t="str">
        <f t="shared" si="8"/>
        <v>Pedro Miguel Sousa Lopes</v>
      </c>
      <c r="C26" s="87" t="str">
        <f t="shared" si="9"/>
        <v>Cabo</v>
      </c>
      <c r="D26" s="87" t="str">
        <f t="shared" si="10"/>
        <v>4.ª Companhia</v>
      </c>
      <c r="E26" s="87" t="str">
        <f t="shared" si="11"/>
        <v>12.º Pelotão</v>
      </c>
      <c r="F26" s="87" t="str">
        <f t="shared" si="12"/>
        <v>P1</v>
      </c>
      <c r="G26" s="86" t="str">
        <f t="shared" si="13"/>
        <v>SIM</v>
      </c>
      <c r="H26" s="87" t="str">
        <f t="shared" si="14"/>
        <v>Escala do pelotão: P1 (disponível)</v>
      </c>
      <c r="K26" s="88">
        <f>'[1]Capacidade UAS-CUAS'!E22</f>
        <v>2000318</v>
      </c>
      <c r="L26" s="88" t="str">
        <f>'[1]Capacidade UAS-CUAS'!F22</f>
        <v>Rui Fernando Oliveira Custódio</v>
      </c>
      <c r="M26" s="88" t="str">
        <f>'[1]Capacidade UAS-CUAS'!D22</f>
        <v>Cabo Ch</v>
      </c>
      <c r="N26" s="88" t="str">
        <f>'[1]Capacidade UAS-CUAS'!B22</f>
        <v>1.ª Companhia</v>
      </c>
      <c r="O26" s="88" t="str">
        <f>'[1]Capacidade UAS-CUAS'!C22</f>
        <v>2.º Pelotão</v>
      </c>
      <c r="P26" s="88" t="str">
        <f t="shared" si="0"/>
        <v>2º</v>
      </c>
      <c r="Q26" s="88" t="str">
        <f>IF(P26="","",IFERROR(INDEX(EscalaPelotoes!$B$3:$N$4481,MATCH($B$3,EscalaPelotoes!$A$3:$A$4481,0),MATCH(P26,EscalaPelotoes!$B$2:$N$2,0)),""))</f>
        <v>CAR</v>
      </c>
      <c r="R26" s="88" t="b">
        <f t="shared" si="1"/>
        <v>0</v>
      </c>
      <c r="S26" s="88" t="b">
        <f>IF(O26="—",FALSE(),SUMPRODUCT(--(TEXT([1]Serviços!$B$4:$B$400,"0")=TEXT(K26,"0")),--([1]Serviços!$A$4:$A$400=$B$3))&gt;0)</f>
        <v>0</v>
      </c>
      <c r="T26" s="88" t="b">
        <f t="shared" si="2"/>
        <v>0</v>
      </c>
      <c r="U26" s="88">
        <f t="shared" si="3"/>
        <v>2</v>
      </c>
      <c r="V26" s="88">
        <f>ROW()</f>
        <v>26</v>
      </c>
      <c r="W26" s="88">
        <f t="shared" si="4"/>
        <v>75</v>
      </c>
      <c r="X26" s="88" t="str">
        <f t="shared" si="5"/>
        <v>Escala do pelotão: CAR (indisponível)</v>
      </c>
      <c r="Y26" s="88">
        <f t="shared" si="6"/>
        <v>0</v>
      </c>
    </row>
    <row r="27" spans="1:25" ht="15" customHeight="1" x14ac:dyDescent="0.25">
      <c r="A27" s="86">
        <f t="shared" si="7"/>
        <v>2000796</v>
      </c>
      <c r="B27" s="87" t="str">
        <f t="shared" si="8"/>
        <v>Jorge António Monteiro Silvano</v>
      </c>
      <c r="C27" s="87" t="str">
        <f t="shared" si="9"/>
        <v>Cabo</v>
      </c>
      <c r="D27" s="87" t="str">
        <f t="shared" si="10"/>
        <v>1.ª Companhia</v>
      </c>
      <c r="E27" s="87" t="str">
        <f t="shared" si="11"/>
        <v>1.º Pelotão</v>
      </c>
      <c r="F27" s="87" t="str">
        <f t="shared" si="12"/>
        <v>P6 - DCOMP</v>
      </c>
      <c r="G27" s="86" t="str">
        <f t="shared" si="13"/>
        <v>NÃO</v>
      </c>
      <c r="H27" s="87" t="str">
        <f t="shared" si="14"/>
        <v>Escala do pelotão: P6 - DCOMP (indisponível)</v>
      </c>
      <c r="K27" s="88" t="str">
        <f>'[1]Capacidade UAS-CUAS'!E23</f>
        <v>2030636</v>
      </c>
      <c r="L27" s="88" t="str">
        <f>'[1]Capacidade UAS-CUAS'!F23</f>
        <v>Francisco João Alves Silvestre</v>
      </c>
      <c r="M27" s="88" t="str">
        <f>'[1]Capacidade UAS-CUAS'!D23</f>
        <v>Cabo</v>
      </c>
      <c r="N27" s="88" t="str">
        <f>'[1]Capacidade UAS-CUAS'!B23</f>
        <v>1.ª Companhia</v>
      </c>
      <c r="O27" s="88" t="str">
        <f>'[1]Capacidade UAS-CUAS'!C23</f>
        <v>2.º Pelotão</v>
      </c>
      <c r="P27" s="88" t="str">
        <f t="shared" si="0"/>
        <v>2º</v>
      </c>
      <c r="Q27" s="88" t="str">
        <f>IF(P27="","",IFERROR(INDEX(EscalaPelotoes!$B$3:$N$4481,MATCH($B$3,EscalaPelotoes!$A$3:$A$4481,0),MATCH(P27,EscalaPelotoes!$B$2:$N$2,0)),""))</f>
        <v>CAR</v>
      </c>
      <c r="R27" s="88" t="b">
        <f t="shared" si="1"/>
        <v>0</v>
      </c>
      <c r="S27" s="88" t="b">
        <f>IF(O27="—",FALSE(),SUMPRODUCT(--(TEXT([1]Serviços!$B$4:$B$400,"0")=TEXT(K27,"0")),--([1]Serviços!$A$4:$A$400=$B$3))&gt;0)</f>
        <v>0</v>
      </c>
      <c r="T27" s="88" t="b">
        <f t="shared" si="2"/>
        <v>0</v>
      </c>
      <c r="U27" s="88">
        <f t="shared" si="3"/>
        <v>2</v>
      </c>
      <c r="V27" s="88">
        <f>ROW()</f>
        <v>27</v>
      </c>
      <c r="W27" s="88">
        <f t="shared" si="4"/>
        <v>64</v>
      </c>
      <c r="X27" s="88" t="str">
        <f t="shared" si="5"/>
        <v>Escala do pelotão: CAR (indisponível)</v>
      </c>
      <c r="Y27" s="88">
        <f t="shared" si="6"/>
        <v>0</v>
      </c>
    </row>
    <row r="28" spans="1:25" ht="15" customHeight="1" x14ac:dyDescent="0.25">
      <c r="A28" s="86" t="str">
        <f t="shared" si="7"/>
        <v>2000474</v>
      </c>
      <c r="B28" s="87" t="str">
        <f t="shared" si="8"/>
        <v>Jorge Manuel Graça Rodrigues</v>
      </c>
      <c r="C28" s="87" t="str">
        <f t="shared" si="9"/>
        <v>Sarg. Aj</v>
      </c>
      <c r="D28" s="87" t="str">
        <f t="shared" si="10"/>
        <v>1.ª Companhia</v>
      </c>
      <c r="E28" s="87" t="str">
        <f t="shared" si="11"/>
        <v>1.º Pelotão</v>
      </c>
      <c r="F28" s="87" t="str">
        <f t="shared" si="12"/>
        <v>P6 - DCOMP</v>
      </c>
      <c r="G28" s="86" t="str">
        <f t="shared" si="13"/>
        <v>NÃO</v>
      </c>
      <c r="H28" s="87" t="str">
        <f t="shared" si="14"/>
        <v>Escala do pelotão: P6 - DCOMP (indisponível)</v>
      </c>
      <c r="K28" s="88">
        <f>'[1]Capacidade UAS-CUAS'!E24</f>
        <v>2040499</v>
      </c>
      <c r="L28" s="88" t="str">
        <f>'[1]Capacidade UAS-CUAS'!F24</f>
        <v>Daniel de Almeida Campos Dias</v>
      </c>
      <c r="M28" s="88" t="str">
        <f>'[1]Capacidade UAS-CUAS'!D24</f>
        <v>Cabo</v>
      </c>
      <c r="N28" s="88" t="str">
        <f>'[1]Capacidade UAS-CUAS'!B24</f>
        <v>1.ª Companhia</v>
      </c>
      <c r="O28" s="88" t="str">
        <f>'[1]Capacidade UAS-CUAS'!C24</f>
        <v>2.º Pelotão</v>
      </c>
      <c r="P28" s="88" t="str">
        <f t="shared" si="0"/>
        <v>2º</v>
      </c>
      <c r="Q28" s="88" t="str">
        <f>IF(P28="","",IFERROR(INDEX(EscalaPelotoes!$B$3:$N$4481,MATCH($B$3,EscalaPelotoes!$A$3:$A$4481,0),MATCH(P28,EscalaPelotoes!$B$2:$N$2,0)),""))</f>
        <v>CAR</v>
      </c>
      <c r="R28" s="88" t="b">
        <f t="shared" si="1"/>
        <v>0</v>
      </c>
      <c r="S28" s="88" t="b">
        <f>IF(O28="—",FALSE(),SUMPRODUCT(--(TEXT([1]Serviços!$B$4:$B$400,"0")=TEXT(K28,"0")),--([1]Serviços!$A$4:$A$400=$B$3))&gt;0)</f>
        <v>0</v>
      </c>
      <c r="T28" s="88" t="b">
        <f t="shared" si="2"/>
        <v>0</v>
      </c>
      <c r="U28" s="88">
        <f t="shared" si="3"/>
        <v>2</v>
      </c>
      <c r="V28" s="88">
        <f>ROW()</f>
        <v>28</v>
      </c>
      <c r="W28" s="88">
        <f t="shared" si="4"/>
        <v>59</v>
      </c>
      <c r="X28" s="88" t="str">
        <f t="shared" si="5"/>
        <v>Escala do pelotão: CAR (indisponível)</v>
      </c>
      <c r="Y28" s="88">
        <f t="shared" si="6"/>
        <v>0</v>
      </c>
    </row>
    <row r="29" spans="1:25" ht="15" customHeight="1" x14ac:dyDescent="0.25">
      <c r="A29" s="86" t="str">
        <f t="shared" si="7"/>
        <v>2210742</v>
      </c>
      <c r="B29" s="87" t="str">
        <f t="shared" si="8"/>
        <v>Leandro Filipe da Cruz Silva</v>
      </c>
      <c r="C29" s="87" t="str">
        <f t="shared" si="9"/>
        <v>Grd</v>
      </c>
      <c r="D29" s="87" t="str">
        <f t="shared" si="10"/>
        <v>1.ª Companhia</v>
      </c>
      <c r="E29" s="87" t="str">
        <f t="shared" si="11"/>
        <v>1.º Pelotão</v>
      </c>
      <c r="F29" s="87" t="str">
        <f t="shared" si="12"/>
        <v>P6 - DCOMP</v>
      </c>
      <c r="G29" s="86" t="str">
        <f t="shared" si="13"/>
        <v>NÃO</v>
      </c>
      <c r="H29" s="87" t="str">
        <f t="shared" si="14"/>
        <v>Escala do pelotão: P6 - DCOMP (indisponível)</v>
      </c>
      <c r="K29" s="88" t="str">
        <f>'[1]Capacidade UAS-CUAS'!E25</f>
        <v>2060731</v>
      </c>
      <c r="L29" s="88" t="str">
        <f>'[1]Capacidade UAS-CUAS'!F25</f>
        <v>André Simões Sabino</v>
      </c>
      <c r="M29" s="88" t="str">
        <f>'[1]Capacidade UAS-CUAS'!D25</f>
        <v>Cabo</v>
      </c>
      <c r="N29" s="88" t="str">
        <f>'[1]Capacidade UAS-CUAS'!B25</f>
        <v>1.ª Companhia</v>
      </c>
      <c r="O29" s="88" t="str">
        <f>'[1]Capacidade UAS-CUAS'!C25</f>
        <v>2.º Pelotão</v>
      </c>
      <c r="P29" s="88" t="str">
        <f t="shared" si="0"/>
        <v>2º</v>
      </c>
      <c r="Q29" s="88" t="str">
        <f>IF(P29="","",IFERROR(INDEX(EscalaPelotoes!$B$3:$N$4481,MATCH($B$3,EscalaPelotoes!$A$3:$A$4481,0),MATCH(P29,EscalaPelotoes!$B$2:$N$2,0)),""))</f>
        <v>CAR</v>
      </c>
      <c r="R29" s="88" t="b">
        <f t="shared" si="1"/>
        <v>0</v>
      </c>
      <c r="S29" s="88" t="b">
        <f>IF(O29="—",FALSE(),SUMPRODUCT(--(TEXT([1]Serviços!$B$4:$B$400,"0")=TEXT(K29,"0")),--([1]Serviços!$A$4:$A$400=$B$3))&gt;0)</f>
        <v>0</v>
      </c>
      <c r="T29" s="88" t="b">
        <f t="shared" si="2"/>
        <v>0</v>
      </c>
      <c r="U29" s="88">
        <f t="shared" si="3"/>
        <v>2</v>
      </c>
      <c r="V29" s="88">
        <f>ROW()</f>
        <v>29</v>
      </c>
      <c r="W29" s="88">
        <f t="shared" si="4"/>
        <v>56</v>
      </c>
      <c r="X29" s="88" t="str">
        <f t="shared" si="5"/>
        <v>Escala do pelotão: CAR (indisponível)</v>
      </c>
      <c r="Y29" s="88">
        <f t="shared" si="6"/>
        <v>0</v>
      </c>
    </row>
    <row r="30" spans="1:25" ht="15" customHeight="1" x14ac:dyDescent="0.25">
      <c r="A30" s="86">
        <f>INDEX($K$8:$K$4133,MATCH(ROW()-7,$W$8:$W$4133,0))</f>
        <v>1970349</v>
      </c>
      <c r="B30" s="87" t="str">
        <f>INDEX($L$8:$L$4133,MATCH(ROW()-7,$W$8:$W$4133,0))</f>
        <v>Paulo Aurélio Fernandes Alves</v>
      </c>
      <c r="C30" s="87" t="str">
        <f>INDEX($M$8:$M$4133,MATCH(ROW()-7,$W$8:$W$4133,0))</f>
        <v>Cabo</v>
      </c>
      <c r="D30" s="87" t="str">
        <f>INDEX($N$8:$N$4133,MATCH(ROW()-7,$W$8:$W$4133,0))</f>
        <v>1.ª Companhia</v>
      </c>
      <c r="E30" s="87" t="str">
        <f>INDEX($O$8:$O$4133,MATCH(ROW()-7,$W$8:$W$4133,0))</f>
        <v>1.º Pelotão</v>
      </c>
      <c r="F30" s="87" t="str">
        <f>INDEX($Q$8:$Q$4133,MATCH(ROW()-7,$W$8:$W$4133,0))</f>
        <v>P6 - DCOMP</v>
      </c>
      <c r="G30" s="86" t="str">
        <f>IF(INDEX($T$8:$T$4133,MATCH(ROW()-7,$W$8:$W$4133,0)),"SIM","NÃO")</f>
        <v>NÃO</v>
      </c>
      <c r="H30" s="87" t="str">
        <f>INDEX($X$8:$X$4133,MATCH(ROW()-7,$W$8:$W$4133,0))</f>
        <v>Escala do pelotão: P6 - DCOMP (indisponível)</v>
      </c>
      <c r="K30" s="88" t="str">
        <f>'[1]Capacidade UAS-CUAS'!E26</f>
        <v>2071255</v>
      </c>
      <c r="L30" s="88" t="str">
        <f>'[1]Capacidade UAS-CUAS'!F26</f>
        <v>Marco Paulo Pedro Santos</v>
      </c>
      <c r="M30" s="88" t="str">
        <f>'[1]Capacidade UAS-CUAS'!D26</f>
        <v>Cabo</v>
      </c>
      <c r="N30" s="88" t="str">
        <f>'[1]Capacidade UAS-CUAS'!B26</f>
        <v>1.ª Companhia</v>
      </c>
      <c r="O30" s="88" t="str">
        <f>'[1]Capacidade UAS-CUAS'!C26</f>
        <v>2.º Pelotão</v>
      </c>
      <c r="P30" s="88" t="str">
        <f t="shared" si="0"/>
        <v>2º</v>
      </c>
      <c r="Q30" s="88" t="str">
        <f>IF(P30="","",IFERROR(INDEX(EscalaPelotoes!$B$3:$N$4481,MATCH($B$3,EscalaPelotoes!$A$3:$A$4481,0),MATCH(P30,EscalaPelotoes!$B$2:$N$2,0)),""))</f>
        <v>CAR</v>
      </c>
      <c r="R30" s="88" t="b">
        <f t="shared" si="1"/>
        <v>0</v>
      </c>
      <c r="S30" s="88" t="b">
        <f>IF(O30="—",FALSE(),SUMPRODUCT(--(TEXT([1]Serviços!$B$4:$B$400,"0")=TEXT(K30,"0")),--([1]Serviços!$A$4:$A$400=$B$3))&gt;0)</f>
        <v>0</v>
      </c>
      <c r="T30" s="88" t="b">
        <f t="shared" si="2"/>
        <v>0</v>
      </c>
      <c r="U30" s="88">
        <f t="shared" si="3"/>
        <v>2</v>
      </c>
      <c r="V30" s="88">
        <f>ROW()</f>
        <v>30</v>
      </c>
      <c r="W30" s="88">
        <f t="shared" si="4"/>
        <v>71</v>
      </c>
      <c r="X30" s="88" t="str">
        <f t="shared" si="5"/>
        <v>Escala do pelotão: CAR (indisponível)</v>
      </c>
      <c r="Y30" s="88">
        <f t="shared" si="6"/>
        <v>0</v>
      </c>
    </row>
    <row r="31" spans="1:25" ht="15" customHeight="1" x14ac:dyDescent="0.25">
      <c r="A31" s="86">
        <f t="shared" si="7"/>
        <v>2150382</v>
      </c>
      <c r="B31" s="87" t="str">
        <f t="shared" si="8"/>
        <v>Pedro Miguel Rodrigues Carrapatoso</v>
      </c>
      <c r="C31" s="87" t="str">
        <f t="shared" si="9"/>
        <v>Grd Pr</v>
      </c>
      <c r="D31" s="87" t="str">
        <f t="shared" si="10"/>
        <v>1.ª Companhia</v>
      </c>
      <c r="E31" s="87" t="str">
        <f t="shared" si="11"/>
        <v>1.º Pelotão</v>
      </c>
      <c r="F31" s="87" t="str">
        <f t="shared" si="12"/>
        <v>P6 - DCOMP</v>
      </c>
      <c r="G31" s="86" t="str">
        <f t="shared" si="13"/>
        <v>NÃO</v>
      </c>
      <c r="H31" s="87" t="str">
        <f t="shared" si="14"/>
        <v>Escala do pelotão: P6 - DCOMP (indisponível)</v>
      </c>
      <c r="K31" s="88">
        <f>'[1]Capacidade UAS-CUAS'!E27</f>
        <v>2100421</v>
      </c>
      <c r="L31" s="88" t="str">
        <f>'[1]Capacidade UAS-CUAS'!F27</f>
        <v>Jacinto Manuel Farinho Neves</v>
      </c>
      <c r="M31" s="88" t="str">
        <f>'[1]Capacidade UAS-CUAS'!D27</f>
        <v>Grd Pr</v>
      </c>
      <c r="N31" s="88" t="str">
        <f>'[1]Capacidade UAS-CUAS'!B27</f>
        <v>1.ª Companhia</v>
      </c>
      <c r="O31" s="88" t="str">
        <f>'[1]Capacidade UAS-CUAS'!C27</f>
        <v>2.º Pelotão</v>
      </c>
      <c r="P31" s="88" t="str">
        <f t="shared" si="0"/>
        <v>2º</v>
      </c>
      <c r="Q31" s="88" t="str">
        <f>IF(P31="","",IFERROR(INDEX(EscalaPelotoes!$B$3:$N$4481,MATCH($B$3,EscalaPelotoes!$A$3:$A$4481,0),MATCH(P31,EscalaPelotoes!$B$2:$N$2,0)),""))</f>
        <v>CAR</v>
      </c>
      <c r="R31" s="88" t="b">
        <f t="shared" si="1"/>
        <v>0</v>
      </c>
      <c r="S31" s="88" t="b">
        <f>IF(O31="—",FALSE(),SUMPRODUCT(--(TEXT([1]Serviços!$B$4:$B$400,"0")=TEXT(K31,"0")),--([1]Serviços!$A$4:$A$400=$B$3))&gt;0)</f>
        <v>0</v>
      </c>
      <c r="T31" s="88" t="b">
        <f t="shared" si="2"/>
        <v>0</v>
      </c>
      <c r="U31" s="88">
        <f t="shared" si="3"/>
        <v>2</v>
      </c>
      <c r="V31" s="88">
        <f>ROW()</f>
        <v>31</v>
      </c>
      <c r="W31" s="88">
        <f t="shared" si="4"/>
        <v>66</v>
      </c>
      <c r="X31" s="88" t="str">
        <f t="shared" si="5"/>
        <v>Escala do pelotão: CAR (indisponível)</v>
      </c>
      <c r="Y31" s="88">
        <f t="shared" si="6"/>
        <v>0</v>
      </c>
    </row>
    <row r="32" spans="1:25" ht="15" customHeight="1" x14ac:dyDescent="0.25">
      <c r="A32" s="86" t="str">
        <f t="shared" si="7"/>
        <v>2070254</v>
      </c>
      <c r="B32" s="87" t="str">
        <f t="shared" si="8"/>
        <v>Sílvio Manuel Supico Serra</v>
      </c>
      <c r="C32" s="87" t="str">
        <f t="shared" si="9"/>
        <v>Cabo</v>
      </c>
      <c r="D32" s="87" t="str">
        <f t="shared" si="10"/>
        <v>1.ª Companhia</v>
      </c>
      <c r="E32" s="87" t="str">
        <f t="shared" si="11"/>
        <v>1.º Pelotão</v>
      </c>
      <c r="F32" s="87" t="str">
        <f t="shared" si="12"/>
        <v>P6 - DCOMP</v>
      </c>
      <c r="G32" s="86" t="str">
        <f t="shared" si="13"/>
        <v>NÃO</v>
      </c>
      <c r="H32" s="87" t="str">
        <f t="shared" si="14"/>
        <v>Escala do pelotão: P6 - DCOMP (indisponível)</v>
      </c>
      <c r="K32" s="88" t="str">
        <f>'[1]Capacidade UAS-CUAS'!E28</f>
        <v>2140080</v>
      </c>
      <c r="L32" s="88" t="str">
        <f>'[1]Capacidade UAS-CUAS'!F28</f>
        <v>Filipe Pimenta da Silva Rodrigues Vaquinhas Pereira de Melo</v>
      </c>
      <c r="M32" s="88" t="str">
        <f>'[1]Capacidade UAS-CUAS'!D28</f>
        <v>Grd Pr</v>
      </c>
      <c r="N32" s="88" t="str">
        <f>'[1]Capacidade UAS-CUAS'!B28</f>
        <v>1.ª Companhia</v>
      </c>
      <c r="O32" s="88" t="str">
        <f>'[1]Capacidade UAS-CUAS'!C28</f>
        <v>2.º Pelotão</v>
      </c>
      <c r="P32" s="88" t="str">
        <f t="shared" si="0"/>
        <v>2º</v>
      </c>
      <c r="Q32" s="88" t="str">
        <f>IF(P32="","",IFERROR(INDEX(EscalaPelotoes!$B$3:$N$4481,MATCH($B$3,EscalaPelotoes!$A$3:$A$4481,0),MATCH(P32,EscalaPelotoes!$B$2:$N$2,0)),""))</f>
        <v>CAR</v>
      </c>
      <c r="R32" s="88" t="b">
        <f t="shared" si="1"/>
        <v>0</v>
      </c>
      <c r="S32" s="88" t="b">
        <f>IF(O32="—",FALSE(),SUMPRODUCT(--(TEXT([1]Serviços!$B$4:$B$400,"0")=TEXT(K32,"0")),--([1]Serviços!$A$4:$A$400=$B$3))&gt;0)</f>
        <v>0</v>
      </c>
      <c r="T32" s="88" t="b">
        <f t="shared" si="2"/>
        <v>0</v>
      </c>
      <c r="U32" s="88">
        <f t="shared" si="3"/>
        <v>2</v>
      </c>
      <c r="V32" s="88">
        <f>ROW()</f>
        <v>32</v>
      </c>
      <c r="W32" s="88">
        <f t="shared" si="4"/>
        <v>63</v>
      </c>
      <c r="X32" s="88" t="str">
        <f t="shared" si="5"/>
        <v>Escala do pelotão: CAR (indisponível)</v>
      </c>
      <c r="Y32" s="88">
        <f t="shared" si="6"/>
        <v>0</v>
      </c>
    </row>
    <row r="33" spans="1:25" ht="15" customHeight="1" x14ac:dyDescent="0.25">
      <c r="A33" s="86">
        <f t="shared" si="7"/>
        <v>2060327</v>
      </c>
      <c r="B33" s="87" t="str">
        <f t="shared" si="8"/>
        <v>Alfredo Rodrigues Moreira da Cunha</v>
      </c>
      <c r="C33" s="87" t="str">
        <f t="shared" si="9"/>
        <v>1º Sarg.</v>
      </c>
      <c r="D33" s="87" t="str">
        <f t="shared" si="10"/>
        <v>1.ª Companhia</v>
      </c>
      <c r="E33" s="87" t="str">
        <f t="shared" si="11"/>
        <v>3.º Pelotão</v>
      </c>
      <c r="F33" s="87" t="str">
        <f t="shared" si="12"/>
        <v>P5/Vlm</v>
      </c>
      <c r="G33" s="86" t="str">
        <f t="shared" si="13"/>
        <v>NÃO</v>
      </c>
      <c r="H33" s="87" t="str">
        <f t="shared" si="14"/>
        <v>Escala do pelotão: P5/Vlm (indisponível)</v>
      </c>
      <c r="K33" s="88">
        <f>'[1]Capacidade UAS-CUAS'!E29</f>
        <v>2060327</v>
      </c>
      <c r="L33" s="88" t="str">
        <f>'[1]Capacidade UAS-CUAS'!F29</f>
        <v>Alfredo Rodrigues Moreira da Cunha</v>
      </c>
      <c r="M33" s="88" t="str">
        <f>'[1]Capacidade UAS-CUAS'!D29</f>
        <v>1º Sarg.</v>
      </c>
      <c r="N33" s="88" t="str">
        <f>'[1]Capacidade UAS-CUAS'!B29</f>
        <v>1.ª Companhia</v>
      </c>
      <c r="O33" s="88" t="str">
        <f>'[1]Capacidade UAS-CUAS'!C29</f>
        <v>3.º Pelotão</v>
      </c>
      <c r="P33" s="88" t="str">
        <f t="shared" si="0"/>
        <v>3º</v>
      </c>
      <c r="Q33" s="88" t="str">
        <f>IF(P33="","",IFERROR(INDEX(EscalaPelotoes!$B$3:$N$4481,MATCH($B$3,EscalaPelotoes!$A$3:$A$4481,0),MATCH(P33,EscalaPelotoes!$B$2:$N$2,0)),""))</f>
        <v>P5/Vlm</v>
      </c>
      <c r="R33" s="88" t="b">
        <f t="shared" si="1"/>
        <v>0</v>
      </c>
      <c r="S33" s="88" t="b">
        <f>IF(O33="—",FALSE(),SUMPRODUCT(--(TEXT([1]Serviços!$B$4:$B$400,"0")=TEXT(K33,"0")),--([1]Serviços!$A$4:$A$400=$B$3))&gt;0)</f>
        <v>0</v>
      </c>
      <c r="T33" s="88" t="b">
        <f t="shared" si="2"/>
        <v>0</v>
      </c>
      <c r="U33" s="88">
        <f t="shared" si="3"/>
        <v>2</v>
      </c>
      <c r="V33" s="88">
        <f>ROW()</f>
        <v>33</v>
      </c>
      <c r="W33" s="88">
        <f t="shared" si="4"/>
        <v>26</v>
      </c>
      <c r="X33" s="88" t="str">
        <f t="shared" si="5"/>
        <v>Escala do pelotão: P5/Vlm (indisponível)</v>
      </c>
      <c r="Y33" s="88">
        <f t="shared" si="6"/>
        <v>5</v>
      </c>
    </row>
    <row r="34" spans="1:25" ht="15" customHeight="1" x14ac:dyDescent="0.25">
      <c r="A34" s="86" t="str">
        <f t="shared" si="7"/>
        <v>2040169</v>
      </c>
      <c r="B34" s="87" t="str">
        <f t="shared" si="8"/>
        <v>Carlos André Simão Vieira</v>
      </c>
      <c r="C34" s="87" t="str">
        <f t="shared" si="9"/>
        <v>Cabo</v>
      </c>
      <c r="D34" s="87" t="str">
        <f t="shared" si="10"/>
        <v>1.ª Companhia</v>
      </c>
      <c r="E34" s="87" t="str">
        <f t="shared" si="11"/>
        <v>3.º Pelotão</v>
      </c>
      <c r="F34" s="87" t="str">
        <f t="shared" si="12"/>
        <v>P5/Vlm</v>
      </c>
      <c r="G34" s="86" t="str">
        <f t="shared" si="13"/>
        <v>NÃO</v>
      </c>
      <c r="H34" s="87" t="str">
        <f t="shared" si="14"/>
        <v>Escala do pelotão: P5/Vlm (indisponível)</v>
      </c>
      <c r="K34" s="88" t="str">
        <f>'[1]Capacidade UAS-CUAS'!E30</f>
        <v>2040169</v>
      </c>
      <c r="L34" s="88" t="str">
        <f>'[1]Capacidade UAS-CUAS'!F30</f>
        <v>Carlos André Simão Vieira</v>
      </c>
      <c r="M34" s="88" t="str">
        <f>'[1]Capacidade UAS-CUAS'!D30</f>
        <v>Cabo</v>
      </c>
      <c r="N34" s="88" t="str">
        <f>'[1]Capacidade UAS-CUAS'!B30</f>
        <v>1.ª Companhia</v>
      </c>
      <c r="O34" s="88" t="str">
        <f>'[1]Capacidade UAS-CUAS'!C30</f>
        <v>3.º Pelotão</v>
      </c>
      <c r="P34" s="88" t="str">
        <f t="shared" si="0"/>
        <v>3º</v>
      </c>
      <c r="Q34" s="88" t="str">
        <f>IF(P34="","",IFERROR(INDEX(EscalaPelotoes!$B$3:$N$4481,MATCH($B$3,EscalaPelotoes!$A$3:$A$4481,0),MATCH(P34,EscalaPelotoes!$B$2:$N$2,0)),""))</f>
        <v>P5/Vlm</v>
      </c>
      <c r="R34" s="88" t="b">
        <f t="shared" si="1"/>
        <v>0</v>
      </c>
      <c r="S34" s="88" t="b">
        <f>IF(O34="—",FALSE(),SUMPRODUCT(--(TEXT([1]Serviços!$B$4:$B$400,"0")=TEXT(K34,"0")),--([1]Serviços!$A$4:$A$400=$B$3))&gt;0)</f>
        <v>0</v>
      </c>
      <c r="T34" s="88" t="b">
        <f t="shared" si="2"/>
        <v>0</v>
      </c>
      <c r="U34" s="88">
        <f t="shared" si="3"/>
        <v>2</v>
      </c>
      <c r="V34" s="88">
        <f>ROW()</f>
        <v>34</v>
      </c>
      <c r="W34" s="88">
        <f t="shared" si="4"/>
        <v>27</v>
      </c>
      <c r="X34" s="88" t="str">
        <f t="shared" si="5"/>
        <v>Escala do pelotão: P5/Vlm (indisponível)</v>
      </c>
      <c r="Y34" s="88">
        <f t="shared" si="6"/>
        <v>5</v>
      </c>
    </row>
    <row r="35" spans="1:25" ht="15" customHeight="1" x14ac:dyDescent="0.25">
      <c r="A35" s="86" t="str">
        <f t="shared" si="7"/>
        <v>2211307</v>
      </c>
      <c r="B35" s="87" t="str">
        <f t="shared" si="8"/>
        <v>João Pedro da Silva Soares</v>
      </c>
      <c r="C35" s="87" t="str">
        <f t="shared" si="9"/>
        <v>Grd</v>
      </c>
      <c r="D35" s="87" t="str">
        <f t="shared" si="10"/>
        <v>1.ª Companhia</v>
      </c>
      <c r="E35" s="87" t="str">
        <f t="shared" si="11"/>
        <v>3.º Pelotão</v>
      </c>
      <c r="F35" s="87" t="str">
        <f t="shared" si="12"/>
        <v>P5/Vlm</v>
      </c>
      <c r="G35" s="86" t="str">
        <f t="shared" si="13"/>
        <v>NÃO</v>
      </c>
      <c r="H35" s="87" t="str">
        <f t="shared" si="14"/>
        <v>Escala do pelotão: P5/Vlm (indisponível)</v>
      </c>
      <c r="K35" s="88">
        <f>'[1]Capacidade UAS-CUAS'!E31</f>
        <v>2040351</v>
      </c>
      <c r="L35" s="88" t="str">
        <f>'[1]Capacidade UAS-CUAS'!F31</f>
        <v>Nuno Gonçalo Moreira Rodrigues</v>
      </c>
      <c r="M35" s="88" t="str">
        <f>'[1]Capacidade UAS-CUAS'!D31</f>
        <v>Cabo</v>
      </c>
      <c r="N35" s="88" t="str">
        <f>'[1]Capacidade UAS-CUAS'!B31</f>
        <v>1.ª Companhia</v>
      </c>
      <c r="O35" s="88" t="str">
        <f>'[1]Capacidade UAS-CUAS'!C31</f>
        <v>3.º Pelotão</v>
      </c>
      <c r="P35" s="88" t="str">
        <f t="shared" si="0"/>
        <v>3º</v>
      </c>
      <c r="Q35" s="88" t="str">
        <f>IF(P35="","",IFERROR(INDEX(EscalaPelotoes!$B$3:$N$4481,MATCH($B$3,EscalaPelotoes!$A$3:$A$4481,0),MATCH(P35,EscalaPelotoes!$B$2:$N$2,0)),""))</f>
        <v>P5/Vlm</v>
      </c>
      <c r="R35" s="88" t="b">
        <f t="shared" si="1"/>
        <v>0</v>
      </c>
      <c r="S35" s="88" t="b">
        <f>IF(O35="—",FALSE(),SUMPRODUCT(--(TEXT([1]Serviços!$B$4:$B$400,"0")=TEXT(K35,"0")),--([1]Serviços!$A$4:$A$400=$B$3))&gt;0)</f>
        <v>0</v>
      </c>
      <c r="T35" s="88" t="b">
        <f t="shared" si="2"/>
        <v>0</v>
      </c>
      <c r="U35" s="88">
        <f t="shared" si="3"/>
        <v>2</v>
      </c>
      <c r="V35" s="88">
        <f>ROW()</f>
        <v>35</v>
      </c>
      <c r="W35" s="88">
        <f t="shared" si="4"/>
        <v>30</v>
      </c>
      <c r="X35" s="88" t="str">
        <f t="shared" si="5"/>
        <v>Escala do pelotão: P5/Vlm (indisponível)</v>
      </c>
      <c r="Y35" s="88">
        <f t="shared" si="6"/>
        <v>5</v>
      </c>
    </row>
    <row r="36" spans="1:25" ht="15" customHeight="1" x14ac:dyDescent="0.25">
      <c r="A36" s="86">
        <f t="shared" si="7"/>
        <v>2090816</v>
      </c>
      <c r="B36" s="87" t="str">
        <f t="shared" si="8"/>
        <v>Nelson Ricardo Amorim da Costa</v>
      </c>
      <c r="C36" s="87" t="str">
        <f t="shared" si="9"/>
        <v>Cabo</v>
      </c>
      <c r="D36" s="87" t="str">
        <f t="shared" si="10"/>
        <v>1.ª Companhia</v>
      </c>
      <c r="E36" s="87" t="str">
        <f t="shared" si="11"/>
        <v>3.º Pelotão</v>
      </c>
      <c r="F36" s="87" t="str">
        <f t="shared" si="12"/>
        <v>P5/Vlm</v>
      </c>
      <c r="G36" s="86" t="str">
        <f t="shared" si="13"/>
        <v>NÃO</v>
      </c>
      <c r="H36" s="87" t="str">
        <f t="shared" si="14"/>
        <v>Escala do pelotão: P5/Vlm (indisponível)</v>
      </c>
      <c r="K36" s="88">
        <f>'[1]Capacidade UAS-CUAS'!E32</f>
        <v>2090816</v>
      </c>
      <c r="L36" s="88" t="str">
        <f>'[1]Capacidade UAS-CUAS'!F32</f>
        <v>Nelson Ricardo Amorim da Costa</v>
      </c>
      <c r="M36" s="88" t="str">
        <f>'[1]Capacidade UAS-CUAS'!D32</f>
        <v>Cabo</v>
      </c>
      <c r="N36" s="88" t="str">
        <f>'[1]Capacidade UAS-CUAS'!B32</f>
        <v>1.ª Companhia</v>
      </c>
      <c r="O36" s="88" t="str">
        <f>'[1]Capacidade UAS-CUAS'!C32</f>
        <v>3.º Pelotão</v>
      </c>
      <c r="P36" s="88" t="str">
        <f t="shared" si="0"/>
        <v>3º</v>
      </c>
      <c r="Q36" s="88" t="str">
        <f>IF(P36="","",IFERROR(INDEX(EscalaPelotoes!$B$3:$N$4481,MATCH($B$3,EscalaPelotoes!$A$3:$A$4481,0),MATCH(P36,EscalaPelotoes!$B$2:$N$2,0)),""))</f>
        <v>P5/Vlm</v>
      </c>
      <c r="R36" s="88" t="b">
        <f t="shared" si="1"/>
        <v>0</v>
      </c>
      <c r="S36" s="88" t="b">
        <f>IF(O36="—",FALSE(),SUMPRODUCT(--(TEXT([1]Serviços!$B$4:$B$400,"0")=TEXT(K36,"0")),--([1]Serviços!$A$4:$A$400=$B$3))&gt;0)</f>
        <v>0</v>
      </c>
      <c r="T36" s="88" t="b">
        <f t="shared" si="2"/>
        <v>0</v>
      </c>
      <c r="U36" s="88">
        <f t="shared" si="3"/>
        <v>2</v>
      </c>
      <c r="V36" s="88">
        <f>ROW()</f>
        <v>36</v>
      </c>
      <c r="W36" s="88">
        <f t="shared" si="4"/>
        <v>29</v>
      </c>
      <c r="X36" s="88" t="str">
        <f t="shared" si="5"/>
        <v>Escala do pelotão: P5/Vlm (indisponível)</v>
      </c>
      <c r="Y36" s="88">
        <f t="shared" si="6"/>
        <v>5</v>
      </c>
    </row>
    <row r="37" spans="1:25" ht="15" customHeight="1" x14ac:dyDescent="0.25">
      <c r="A37" s="86">
        <f t="shared" si="7"/>
        <v>2040351</v>
      </c>
      <c r="B37" s="87" t="str">
        <f t="shared" si="8"/>
        <v>Nuno Gonçalo Moreira Rodrigues</v>
      </c>
      <c r="C37" s="87" t="str">
        <f t="shared" si="9"/>
        <v>Cabo</v>
      </c>
      <c r="D37" s="87" t="str">
        <f t="shared" si="10"/>
        <v>1.ª Companhia</v>
      </c>
      <c r="E37" s="87" t="str">
        <f t="shared" si="11"/>
        <v>3.º Pelotão</v>
      </c>
      <c r="F37" s="87" t="str">
        <f t="shared" si="12"/>
        <v>P5/Vlm</v>
      </c>
      <c r="G37" s="86" t="str">
        <f t="shared" si="13"/>
        <v>NÃO</v>
      </c>
      <c r="H37" s="87" t="str">
        <f t="shared" si="14"/>
        <v>Escala do pelotão: P5/Vlm (indisponível)</v>
      </c>
      <c r="K37" s="88">
        <f>'[1]Capacidade UAS-CUAS'!E33</f>
        <v>2020440</v>
      </c>
      <c r="L37" s="88" t="str">
        <f>'[1]Capacidade UAS-CUAS'!F33</f>
        <v>Rodrigo Alexandre Rosa Mateus Calado</v>
      </c>
      <c r="M37" s="88" t="str">
        <f>'[1]Capacidade UAS-CUAS'!D33</f>
        <v>Cabo</v>
      </c>
      <c r="N37" s="88" t="str">
        <f>'[1]Capacidade UAS-CUAS'!B33</f>
        <v>1.ª Companhia</v>
      </c>
      <c r="O37" s="88" t="str">
        <f>'[1]Capacidade UAS-CUAS'!C33</f>
        <v>3.º Pelotão</v>
      </c>
      <c r="P37" s="88" t="str">
        <f t="shared" si="0"/>
        <v>3º</v>
      </c>
      <c r="Q37" s="88" t="str">
        <f>IF(P37="","",IFERROR(INDEX(EscalaPelotoes!$B$3:$N$4481,MATCH($B$3,EscalaPelotoes!$A$3:$A$4481,0),MATCH(P37,EscalaPelotoes!$B$2:$N$2,0)),""))</f>
        <v>P5/Vlm</v>
      </c>
      <c r="R37" s="88" t="b">
        <f t="shared" si="1"/>
        <v>0</v>
      </c>
      <c r="S37" s="88" t="b">
        <f>IF(O37="—",FALSE(),SUMPRODUCT(--(TEXT([1]Serviços!$B$4:$B$400,"0")=TEXT(K37,"0")),--([1]Serviços!$A$4:$A$400=$B$3))&gt;0)</f>
        <v>0</v>
      </c>
      <c r="T37" s="88" t="b">
        <f t="shared" si="2"/>
        <v>0</v>
      </c>
      <c r="U37" s="88">
        <f t="shared" si="3"/>
        <v>2</v>
      </c>
      <c r="V37" s="88">
        <f>ROW()</f>
        <v>37</v>
      </c>
      <c r="W37" s="88">
        <f t="shared" si="4"/>
        <v>32</v>
      </c>
      <c r="X37" s="88" t="str">
        <f t="shared" si="5"/>
        <v>Escala do pelotão: P5/Vlm (indisponível)</v>
      </c>
      <c r="Y37" s="88">
        <f t="shared" si="6"/>
        <v>5</v>
      </c>
    </row>
    <row r="38" spans="1:25" ht="15" customHeight="1" x14ac:dyDescent="0.25">
      <c r="A38" s="86">
        <f t="shared" si="7"/>
        <v>2160312</v>
      </c>
      <c r="B38" s="87" t="str">
        <f t="shared" si="8"/>
        <v>Pedro Miguel Martins Nunes</v>
      </c>
      <c r="C38" s="87" t="str">
        <f t="shared" si="9"/>
        <v>Grd Pr</v>
      </c>
      <c r="D38" s="87" t="str">
        <f t="shared" si="10"/>
        <v>1.ª Companhia</v>
      </c>
      <c r="E38" s="87" t="str">
        <f t="shared" si="11"/>
        <v>3.º Pelotão</v>
      </c>
      <c r="F38" s="87" t="str">
        <f t="shared" si="12"/>
        <v>P5/Vlm</v>
      </c>
      <c r="G38" s="86" t="str">
        <f t="shared" si="13"/>
        <v>NÃO</v>
      </c>
      <c r="H38" s="87" t="str">
        <f t="shared" si="14"/>
        <v>Escala do pelotão: P5/Vlm (indisponível)</v>
      </c>
      <c r="K38" s="88">
        <f>'[1]Capacidade UAS-CUAS'!E34</f>
        <v>2160312</v>
      </c>
      <c r="L38" s="88" t="str">
        <f>'[1]Capacidade UAS-CUAS'!F34</f>
        <v>Pedro Miguel Martins Nunes</v>
      </c>
      <c r="M38" s="88" t="str">
        <f>'[1]Capacidade UAS-CUAS'!D34</f>
        <v>Grd Pr</v>
      </c>
      <c r="N38" s="88" t="str">
        <f>'[1]Capacidade UAS-CUAS'!B34</f>
        <v>1.ª Companhia</v>
      </c>
      <c r="O38" s="88" t="str">
        <f>'[1]Capacidade UAS-CUAS'!C34</f>
        <v>3.º Pelotão</v>
      </c>
      <c r="P38" s="88" t="str">
        <f t="shared" si="0"/>
        <v>3º</v>
      </c>
      <c r="Q38" s="88" t="str">
        <f>IF(P38="","",IFERROR(INDEX(EscalaPelotoes!$B$3:$N$4481,MATCH($B$3,EscalaPelotoes!$A$3:$A$4481,0),MATCH(P38,EscalaPelotoes!$B$2:$N$2,0)),""))</f>
        <v>P5/Vlm</v>
      </c>
      <c r="R38" s="88" t="b">
        <f t="shared" si="1"/>
        <v>0</v>
      </c>
      <c r="S38" s="88" t="b">
        <f>IF(O38="—",FALSE(),SUMPRODUCT(--(TEXT([1]Serviços!$B$4:$B$400,"0")=TEXT(K38,"0")),--([1]Serviços!$A$4:$A$400=$B$3))&gt;0)</f>
        <v>0</v>
      </c>
      <c r="T38" s="88" t="b">
        <f t="shared" si="2"/>
        <v>0</v>
      </c>
      <c r="U38" s="88">
        <f t="shared" si="3"/>
        <v>2</v>
      </c>
      <c r="V38" s="88">
        <f>ROW()</f>
        <v>38</v>
      </c>
      <c r="W38" s="88">
        <f t="shared" si="4"/>
        <v>31</v>
      </c>
      <c r="X38" s="88" t="str">
        <f t="shared" si="5"/>
        <v>Escala do pelotão: P5/Vlm (indisponível)</v>
      </c>
      <c r="Y38" s="88">
        <f t="shared" si="6"/>
        <v>5</v>
      </c>
    </row>
    <row r="39" spans="1:25" ht="15" customHeight="1" x14ac:dyDescent="0.25">
      <c r="A39" s="86">
        <f t="shared" si="7"/>
        <v>2020440</v>
      </c>
      <c r="B39" s="87" t="str">
        <f t="shared" si="8"/>
        <v>Rodrigo Alexandre Rosa Mateus Calado</v>
      </c>
      <c r="C39" s="87" t="str">
        <f t="shared" si="9"/>
        <v>Cabo</v>
      </c>
      <c r="D39" s="87" t="str">
        <f t="shared" si="10"/>
        <v>1.ª Companhia</v>
      </c>
      <c r="E39" s="87" t="str">
        <f t="shared" si="11"/>
        <v>3.º Pelotão</v>
      </c>
      <c r="F39" s="87" t="str">
        <f t="shared" si="12"/>
        <v>P5/Vlm</v>
      </c>
      <c r="G39" s="86" t="str">
        <f t="shared" si="13"/>
        <v>NÃO</v>
      </c>
      <c r="H39" s="87" t="str">
        <f t="shared" si="14"/>
        <v>Escala do pelotão: P5/Vlm (indisponível)</v>
      </c>
      <c r="K39" s="88">
        <f>'[1]Capacidade UAS-CUAS'!E35</f>
        <v>2180148</v>
      </c>
      <c r="L39" s="88" t="str">
        <f>'[1]Capacidade UAS-CUAS'!F35</f>
        <v>Rui Miguel Gonçalves Ribeiro</v>
      </c>
      <c r="M39" s="88" t="str">
        <f>'[1]Capacidade UAS-CUAS'!D35</f>
        <v>Grd</v>
      </c>
      <c r="N39" s="88" t="str">
        <f>'[1]Capacidade UAS-CUAS'!B35</f>
        <v>1.ª Companhia</v>
      </c>
      <c r="O39" s="88" t="str">
        <f>'[1]Capacidade UAS-CUAS'!C35</f>
        <v>3.º Pelotão</v>
      </c>
      <c r="P39" s="88" t="str">
        <f t="shared" si="0"/>
        <v>3º</v>
      </c>
      <c r="Q39" s="88" t="str">
        <f>IF(P39="","",IFERROR(INDEX(EscalaPelotoes!$B$3:$N$4481,MATCH($B$3,EscalaPelotoes!$A$3:$A$4481,0),MATCH(P39,EscalaPelotoes!$B$2:$N$2,0)),""))</f>
        <v>P5/Vlm</v>
      </c>
      <c r="R39" s="88" t="b">
        <f t="shared" si="1"/>
        <v>0</v>
      </c>
      <c r="S39" s="88" t="b">
        <f>IF(O39="—",FALSE(),SUMPRODUCT(--(TEXT([1]Serviços!$B$4:$B$400,"0")=TEXT(K39,"0")),--([1]Serviços!$A$4:$A$400=$B$3))&gt;0)</f>
        <v>0</v>
      </c>
      <c r="T39" s="88" t="b">
        <f t="shared" si="2"/>
        <v>0</v>
      </c>
      <c r="U39" s="88">
        <f t="shared" si="3"/>
        <v>2</v>
      </c>
      <c r="V39" s="88">
        <f>ROW()</f>
        <v>39</v>
      </c>
      <c r="W39" s="88">
        <f t="shared" si="4"/>
        <v>33</v>
      </c>
      <c r="X39" s="88" t="str">
        <f t="shared" si="5"/>
        <v>Escala do pelotão: P5/Vlm (indisponível)</v>
      </c>
      <c r="Y39" s="88">
        <f t="shared" si="6"/>
        <v>5</v>
      </c>
    </row>
    <row r="40" spans="1:25" ht="15" customHeight="1" x14ac:dyDescent="0.25">
      <c r="A40" s="86">
        <f t="shared" si="7"/>
        <v>2180148</v>
      </c>
      <c r="B40" s="87" t="str">
        <f t="shared" si="8"/>
        <v>Rui Miguel Gonçalves Ribeiro</v>
      </c>
      <c r="C40" s="87" t="str">
        <f t="shared" si="9"/>
        <v>Grd</v>
      </c>
      <c r="D40" s="87" t="str">
        <f t="shared" si="10"/>
        <v>1.ª Companhia</v>
      </c>
      <c r="E40" s="87" t="str">
        <f t="shared" si="11"/>
        <v>3.º Pelotão</v>
      </c>
      <c r="F40" s="87" t="str">
        <f t="shared" si="12"/>
        <v>P5/Vlm</v>
      </c>
      <c r="G40" s="86" t="str">
        <f t="shared" si="13"/>
        <v>NÃO</v>
      </c>
      <c r="H40" s="87" t="str">
        <f t="shared" si="14"/>
        <v>Escala do pelotão: P5/Vlm (indisponível)</v>
      </c>
      <c r="K40" s="88" t="str">
        <f>'[1]Capacidade UAS-CUAS'!E36</f>
        <v>2211307</v>
      </c>
      <c r="L40" s="88" t="str">
        <f>'[1]Capacidade UAS-CUAS'!F36</f>
        <v>João Pedro da Silva Soares</v>
      </c>
      <c r="M40" s="88" t="str">
        <f>'[1]Capacidade UAS-CUAS'!D36</f>
        <v>Grd</v>
      </c>
      <c r="N40" s="88" t="str">
        <f>'[1]Capacidade UAS-CUAS'!B36</f>
        <v>1.ª Companhia</v>
      </c>
      <c r="O40" s="88" t="str">
        <f>'[1]Capacidade UAS-CUAS'!C36</f>
        <v>3.º Pelotão</v>
      </c>
      <c r="P40" s="88" t="str">
        <f t="shared" si="0"/>
        <v>3º</v>
      </c>
      <c r="Q40" s="88" t="str">
        <f>IF(P40="","",IFERROR(INDEX(EscalaPelotoes!$B$3:$N$4481,MATCH($B$3,EscalaPelotoes!$A$3:$A$4481,0),MATCH(P40,EscalaPelotoes!$B$2:$N$2,0)),""))</f>
        <v>P5/Vlm</v>
      </c>
      <c r="R40" s="88" t="b">
        <f t="shared" si="1"/>
        <v>0</v>
      </c>
      <c r="S40" s="88" t="b">
        <f>IF(O40="—",FALSE(),SUMPRODUCT(--(TEXT([1]Serviços!$B$4:$B$400,"0")=TEXT(K40,"0")),--([1]Serviços!$A$4:$A$400=$B$3))&gt;0)</f>
        <v>0</v>
      </c>
      <c r="T40" s="88" t="b">
        <f t="shared" si="2"/>
        <v>0</v>
      </c>
      <c r="U40" s="88">
        <f t="shared" si="3"/>
        <v>2</v>
      </c>
      <c r="V40" s="88">
        <f>ROW()</f>
        <v>40</v>
      </c>
      <c r="W40" s="88">
        <f t="shared" si="4"/>
        <v>28</v>
      </c>
      <c r="X40" s="88" t="str">
        <f t="shared" si="5"/>
        <v>Escala do pelotão: P5/Vlm (indisponível)</v>
      </c>
      <c r="Y40" s="88">
        <f t="shared" si="6"/>
        <v>5</v>
      </c>
    </row>
    <row r="41" spans="1:25" ht="15" customHeight="1" x14ac:dyDescent="0.25">
      <c r="A41" s="86">
        <f t="shared" si="7"/>
        <v>2010798</v>
      </c>
      <c r="B41" s="87" t="str">
        <f t="shared" si="8"/>
        <v>Adérito da Silva Castro Guedes Vieira</v>
      </c>
      <c r="C41" s="87" t="str">
        <f t="shared" si="9"/>
        <v>Cabo</v>
      </c>
      <c r="D41" s="87" t="str">
        <f t="shared" si="10"/>
        <v>3.ª Companhia</v>
      </c>
      <c r="E41" s="87" t="str">
        <f t="shared" si="11"/>
        <v>7.º Pelotão</v>
      </c>
      <c r="F41" s="87" t="str">
        <f t="shared" si="12"/>
        <v>P4/Alb</v>
      </c>
      <c r="G41" s="86" t="str">
        <f t="shared" si="13"/>
        <v>NÃO</v>
      </c>
      <c r="H41" s="87" t="str">
        <f t="shared" si="14"/>
        <v>Escala do pelotão: P4/Alb (indisponível)</v>
      </c>
      <c r="K41" s="88" t="str">
        <f>'[1]Capacidade UAS-CUAS'!E37</f>
        <v>1990953</v>
      </c>
      <c r="L41" s="88" t="str">
        <f>'[1]Capacidade UAS-CUAS'!F37</f>
        <v>Orlando Augusto Gil Cosme</v>
      </c>
      <c r="M41" s="88" t="str">
        <f>'[1]Capacidade UAS-CUAS'!D37</f>
        <v>Cabo Ch</v>
      </c>
      <c r="N41" s="88" t="str">
        <f>'[1]Capacidade UAS-CUAS'!B37</f>
        <v>2.ª Companhia</v>
      </c>
      <c r="O41" s="88" t="str">
        <f>'[1]Capacidade UAS-CUAS'!C37</f>
        <v>4.º Pelotão</v>
      </c>
      <c r="P41" s="88" t="str">
        <f t="shared" si="0"/>
        <v>4º</v>
      </c>
      <c r="Q41" s="88" t="str">
        <f>IF(P41="","",IFERROR(INDEX(EscalaPelotoes!$B$3:$N$4481,MATCH($B$3,EscalaPelotoes!$A$3:$A$4481,0),MATCH(P41,EscalaPelotoes!$B$2:$N$2,0)),""))</f>
        <v>P1</v>
      </c>
      <c r="R41" s="88" t="b">
        <f t="shared" si="1"/>
        <v>1</v>
      </c>
      <c r="S41" s="88" t="b">
        <f>IF(O41="—",FALSE(),SUMPRODUCT(--(TEXT([1]Serviços!$B$4:$B$400,"0")=TEXT(K41,"0")),--([1]Serviços!$A$4:$A$400=$B$3))&gt;0)</f>
        <v>0</v>
      </c>
      <c r="T41" s="88" t="b">
        <f t="shared" si="2"/>
        <v>1</v>
      </c>
      <c r="U41" s="88">
        <f t="shared" si="3"/>
        <v>1</v>
      </c>
      <c r="V41" s="88">
        <f>ROW()</f>
        <v>41</v>
      </c>
      <c r="W41" s="88">
        <f t="shared" si="4"/>
        <v>18</v>
      </c>
      <c r="X41" s="88" t="str">
        <f t="shared" si="5"/>
        <v>Escala do pelotão: P1 (disponível)</v>
      </c>
      <c r="Y41" s="88">
        <f t="shared" si="6"/>
        <v>1</v>
      </c>
    </row>
    <row r="42" spans="1:25" ht="15" customHeight="1" x14ac:dyDescent="0.25">
      <c r="A42" s="86">
        <f>INDEX($K$8:$K$4133,MATCH(ROW()-7,$W$8:$W$4133,0))</f>
        <v>2150227</v>
      </c>
      <c r="B42" s="87" t="str">
        <f>INDEX($L$8:$L$4133,MATCH(ROW()-7,$W$8:$W$4133,0))</f>
        <v>Carlos Daniel Matias Eufrásio</v>
      </c>
      <c r="C42" s="87" t="str">
        <f>INDEX($M$8:$M$4133,MATCH(ROW()-7,$W$8:$W$4133,0))</f>
        <v>Grd Pr</v>
      </c>
      <c r="D42" s="87" t="str">
        <f>INDEX($N$8:$N$4133,MATCH(ROW()-7,$W$8:$W$4133,0))</f>
        <v>3.ª Companhia</v>
      </c>
      <c r="E42" s="87" t="str">
        <f>INDEX($O$8:$O$4133,MATCH(ROW()-7,$W$8:$W$4133,0))</f>
        <v>7.º Pelotão</v>
      </c>
      <c r="F42" s="87" t="str">
        <f>INDEX($Q$8:$Q$4133,MATCH(ROW()-7,$W$8:$W$4133,0))</f>
        <v>P4/Alb</v>
      </c>
      <c r="G42" s="86" t="str">
        <f>IF(INDEX($T$8:$T$4133,MATCH(ROW()-7,$W$8:$W$4133,0)),"SIM","NÃO")</f>
        <v>NÃO</v>
      </c>
      <c r="H42" s="87" t="str">
        <f>INDEX($X$8:$X$4133,MATCH(ROW()-7,$W$8:$W$4133,0))</f>
        <v>Escala do pelotão: P4/Alb (indisponível)</v>
      </c>
      <c r="K42" s="88" t="str">
        <f>'[1]Capacidade UAS-CUAS'!E38</f>
        <v>2150076</v>
      </c>
      <c r="L42" s="88" t="str">
        <f>'[1]Capacidade UAS-CUAS'!F38</f>
        <v>Dany David Ferreira Domingues</v>
      </c>
      <c r="M42" s="88" t="str">
        <f>'[1]Capacidade UAS-CUAS'!D38</f>
        <v>Grd Pr</v>
      </c>
      <c r="N42" s="88" t="str">
        <f>'[1]Capacidade UAS-CUAS'!B38</f>
        <v>2.ª Companhia</v>
      </c>
      <c r="O42" s="88" t="str">
        <f>'[1]Capacidade UAS-CUAS'!C38</f>
        <v>4.º Pelotão</v>
      </c>
      <c r="P42" s="88" t="str">
        <f t="shared" si="0"/>
        <v>4º</v>
      </c>
      <c r="Q42" s="88" t="str">
        <f>IF(P42="","",IFERROR(INDEX(EscalaPelotoes!$B$3:$N$4481,MATCH($B$3,EscalaPelotoes!$A$3:$A$4481,0),MATCH(P42,EscalaPelotoes!$B$2:$N$2,0)),""))</f>
        <v>P1</v>
      </c>
      <c r="R42" s="88" t="b">
        <f t="shared" si="1"/>
        <v>1</v>
      </c>
      <c r="S42" s="88" t="b">
        <f>IF(O42="—",FALSE(),SUMPRODUCT(--(TEXT([1]Serviços!$B$4:$B$400,"0")=TEXT(K42,"0")),--([1]Serviços!$A$4:$A$400=$B$3))&gt;0)</f>
        <v>0</v>
      </c>
      <c r="T42" s="88" t="b">
        <f t="shared" si="2"/>
        <v>1</v>
      </c>
      <c r="U42" s="88">
        <f t="shared" si="3"/>
        <v>1</v>
      </c>
      <c r="V42" s="88">
        <f>ROW()</f>
        <v>42</v>
      </c>
      <c r="W42" s="88">
        <f t="shared" si="4"/>
        <v>17</v>
      </c>
      <c r="X42" s="88" t="str">
        <f t="shared" si="5"/>
        <v>Escala do pelotão: P1 (disponível)</v>
      </c>
      <c r="Y42" s="88">
        <f t="shared" si="6"/>
        <v>1</v>
      </c>
    </row>
    <row r="43" spans="1:25" ht="15" customHeight="1" x14ac:dyDescent="0.25">
      <c r="A43" s="86">
        <f t="shared" si="7"/>
        <v>2225091</v>
      </c>
      <c r="B43" s="87" t="str">
        <f t="shared" si="8"/>
        <v>Francisco Ferreira Matias</v>
      </c>
      <c r="C43" s="87" t="str">
        <f t="shared" si="9"/>
        <v>Grd</v>
      </c>
      <c r="D43" s="87" t="str">
        <f t="shared" si="10"/>
        <v>3.ª Companhia</v>
      </c>
      <c r="E43" s="87" t="str">
        <f t="shared" si="11"/>
        <v>7.º Pelotão</v>
      </c>
      <c r="F43" s="87" t="str">
        <f t="shared" si="12"/>
        <v>P4/Alb</v>
      </c>
      <c r="G43" s="86" t="str">
        <f t="shared" si="13"/>
        <v>NÃO</v>
      </c>
      <c r="H43" s="87" t="str">
        <f t="shared" si="14"/>
        <v>Escala do pelotão: P4/Alb (indisponível)</v>
      </c>
      <c r="K43" s="88">
        <f>'[1]Capacidade UAS-CUAS'!E39</f>
        <v>2150448</v>
      </c>
      <c r="L43" s="88" t="str">
        <f>'[1]Capacidade UAS-CUAS'!F39</f>
        <v>João Maria Domingos Henriques</v>
      </c>
      <c r="M43" s="88" t="str">
        <f>'[1]Capacidade UAS-CUAS'!D39</f>
        <v>1º Sarg.</v>
      </c>
      <c r="N43" s="88" t="str">
        <f>'[1]Capacidade UAS-CUAS'!B39</f>
        <v>2.ª Companhia</v>
      </c>
      <c r="O43" s="88" t="str">
        <f>'[1]Capacidade UAS-CUAS'!C39</f>
        <v>5.º Pelotão</v>
      </c>
      <c r="P43" s="88" t="str">
        <f t="shared" si="0"/>
        <v>5º</v>
      </c>
      <c r="Q43" s="88" t="str">
        <f>IF(P43="","",IFERROR(INDEX(EscalaPelotoes!$B$3:$N$4481,MATCH($B$3,EscalaPelotoes!$A$3:$A$4481,0),MATCH(P43,EscalaPelotoes!$B$2:$N$2,0)),""))</f>
        <v>PV</v>
      </c>
      <c r="R43" s="88" t="b">
        <f t="shared" si="1"/>
        <v>0</v>
      </c>
      <c r="S43" s="88" t="b">
        <f>IF(O43="—",FALSE(),SUMPRODUCT(--(TEXT([1]Serviços!$B$4:$B$400,"0")=TEXT(K43,"0")),--([1]Serviços!$A$4:$A$400=$B$3))&gt;0)</f>
        <v>0</v>
      </c>
      <c r="T43" s="88" t="b">
        <f t="shared" si="2"/>
        <v>0</v>
      </c>
      <c r="U43" s="88">
        <f t="shared" si="3"/>
        <v>2</v>
      </c>
      <c r="V43" s="88">
        <f>ROW()</f>
        <v>43</v>
      </c>
      <c r="W43" s="88">
        <f t="shared" si="4"/>
        <v>68</v>
      </c>
      <c r="X43" s="88" t="str">
        <f t="shared" si="5"/>
        <v>Escala do pelotão: PV (indisponível)</v>
      </c>
      <c r="Y43" s="88">
        <f t="shared" si="6"/>
        <v>0</v>
      </c>
    </row>
    <row r="44" spans="1:25" ht="15" customHeight="1" x14ac:dyDescent="0.25">
      <c r="A44" s="86" t="str">
        <f t="shared" si="7"/>
        <v>2070931</v>
      </c>
      <c r="B44" s="87" t="str">
        <f t="shared" si="8"/>
        <v>João Nuno Varino Alves</v>
      </c>
      <c r="C44" s="87" t="str">
        <f t="shared" si="9"/>
        <v>Cabo</v>
      </c>
      <c r="D44" s="87" t="str">
        <f t="shared" si="10"/>
        <v>3.ª Companhia</v>
      </c>
      <c r="E44" s="87" t="str">
        <f t="shared" si="11"/>
        <v>7.º Pelotão</v>
      </c>
      <c r="F44" s="87" t="str">
        <f t="shared" si="12"/>
        <v>P4/Alb</v>
      </c>
      <c r="G44" s="86" t="str">
        <f t="shared" si="13"/>
        <v>NÃO</v>
      </c>
      <c r="H44" s="87" t="str">
        <f t="shared" si="14"/>
        <v>Escala do pelotão: P4/Alb (indisponível)</v>
      </c>
      <c r="K44" s="88">
        <f>'[1]Capacidade UAS-CUAS'!E40</f>
        <v>1991035</v>
      </c>
      <c r="L44" s="88" t="str">
        <f>'[1]Capacidade UAS-CUAS'!F40</f>
        <v>Bruno Miguel Lameiras Patrocínio</v>
      </c>
      <c r="M44" s="88" t="str">
        <f>'[1]Capacidade UAS-CUAS'!D40</f>
        <v>Cabo</v>
      </c>
      <c r="N44" s="88" t="str">
        <f>'[1]Capacidade UAS-CUAS'!B40</f>
        <v>2.ª Companhia</v>
      </c>
      <c r="O44" s="88" t="str">
        <f>'[1]Capacidade UAS-CUAS'!C40</f>
        <v>5.º Pelotão</v>
      </c>
      <c r="P44" s="88" t="str">
        <f t="shared" si="0"/>
        <v>5º</v>
      </c>
      <c r="Q44" s="88" t="str">
        <f>IF(P44="","",IFERROR(INDEX(EscalaPelotoes!$B$3:$N$4481,MATCH($B$3,EscalaPelotoes!$A$3:$A$4481,0),MATCH(P44,EscalaPelotoes!$B$2:$N$2,0)),""))</f>
        <v>PV</v>
      </c>
      <c r="R44" s="88" t="b">
        <f t="shared" si="1"/>
        <v>0</v>
      </c>
      <c r="S44" s="88" t="b">
        <f>IF(O44="—",FALSE(),SUMPRODUCT(--(TEXT([1]Serviços!$B$4:$B$400,"0")=TEXT(K44,"0")),--([1]Serviços!$A$4:$A$400=$B$3))&gt;0)</f>
        <v>0</v>
      </c>
      <c r="T44" s="88" t="b">
        <f t="shared" si="2"/>
        <v>0</v>
      </c>
      <c r="U44" s="88">
        <f t="shared" si="3"/>
        <v>2</v>
      </c>
      <c r="V44" s="88">
        <f>ROW()</f>
        <v>44</v>
      </c>
      <c r="W44" s="88">
        <f t="shared" si="4"/>
        <v>58</v>
      </c>
      <c r="X44" s="88" t="str">
        <f t="shared" si="5"/>
        <v>Escala do pelotão: PV (indisponível)</v>
      </c>
      <c r="Y44" s="88">
        <f t="shared" si="6"/>
        <v>0</v>
      </c>
    </row>
    <row r="45" spans="1:25" ht="15" customHeight="1" x14ac:dyDescent="0.25">
      <c r="A45" s="86" t="str">
        <f t="shared" si="7"/>
        <v>2020899</v>
      </c>
      <c r="B45" s="87" t="str">
        <f t="shared" si="8"/>
        <v>João Paulo Nogueira Fernandes</v>
      </c>
      <c r="C45" s="87" t="str">
        <f t="shared" si="9"/>
        <v>Grd Pr</v>
      </c>
      <c r="D45" s="87" t="str">
        <f t="shared" si="10"/>
        <v>3.ª Companhia</v>
      </c>
      <c r="E45" s="87" t="str">
        <f t="shared" si="11"/>
        <v>7.º Pelotão</v>
      </c>
      <c r="F45" s="87" t="str">
        <f t="shared" si="12"/>
        <v>P4/Alb</v>
      </c>
      <c r="G45" s="86" t="str">
        <f t="shared" si="13"/>
        <v>NÃO</v>
      </c>
      <c r="H45" s="87" t="str">
        <f t="shared" si="14"/>
        <v>Escala do pelotão: P4/Alb (indisponível)</v>
      </c>
      <c r="K45" s="88" t="str">
        <f>'[1]Capacidade UAS-CUAS'!E41</f>
        <v>2070759</v>
      </c>
      <c r="L45" s="88" t="str">
        <f>'[1]Capacidade UAS-CUAS'!F41</f>
        <v>David Filipe Monteiro Pereira</v>
      </c>
      <c r="M45" s="88" t="str">
        <f>'[1]Capacidade UAS-CUAS'!D41</f>
        <v>Cabo</v>
      </c>
      <c r="N45" s="88" t="str">
        <f>'[1]Capacidade UAS-CUAS'!B41</f>
        <v>2.ª Companhia</v>
      </c>
      <c r="O45" s="88" t="str">
        <f>'[1]Capacidade UAS-CUAS'!C41</f>
        <v>5.º Pelotão</v>
      </c>
      <c r="P45" s="88" t="str">
        <f t="shared" si="0"/>
        <v>5º</v>
      </c>
      <c r="Q45" s="88" t="str">
        <f>IF(P45="","",IFERROR(INDEX(EscalaPelotoes!$B$3:$N$4481,MATCH($B$3,EscalaPelotoes!$A$3:$A$4481,0),MATCH(P45,EscalaPelotoes!$B$2:$N$2,0)),""))</f>
        <v>PV</v>
      </c>
      <c r="R45" s="88" t="b">
        <f t="shared" si="1"/>
        <v>0</v>
      </c>
      <c r="S45" s="88" t="b">
        <f>IF(O45="—",FALSE(),SUMPRODUCT(--(TEXT([1]Serviços!$B$4:$B$400,"0")=TEXT(K45,"0")),--([1]Serviços!$A$4:$A$400=$B$3))&gt;0)</f>
        <v>0</v>
      </c>
      <c r="T45" s="88" t="b">
        <f t="shared" si="2"/>
        <v>0</v>
      </c>
      <c r="U45" s="88">
        <f t="shared" si="3"/>
        <v>2</v>
      </c>
      <c r="V45" s="88">
        <f>ROW()</f>
        <v>45</v>
      </c>
      <c r="W45" s="88">
        <f t="shared" si="4"/>
        <v>61</v>
      </c>
      <c r="X45" s="88" t="str">
        <f t="shared" si="5"/>
        <v>Escala do pelotão: PV (indisponível)</v>
      </c>
      <c r="Y45" s="88">
        <f t="shared" si="6"/>
        <v>0</v>
      </c>
    </row>
    <row r="46" spans="1:25" ht="15" customHeight="1" x14ac:dyDescent="0.25">
      <c r="A46" s="86" t="str">
        <f t="shared" si="7"/>
        <v>2000832</v>
      </c>
      <c r="B46" s="87" t="str">
        <f t="shared" si="8"/>
        <v>Manuel Alexandre da Silva Rocha</v>
      </c>
      <c r="C46" s="87" t="str">
        <f t="shared" si="9"/>
        <v>Cabo Ch</v>
      </c>
      <c r="D46" s="87" t="str">
        <f t="shared" si="10"/>
        <v>3.ª Companhia</v>
      </c>
      <c r="E46" s="87" t="str">
        <f t="shared" si="11"/>
        <v>7.º Pelotão</v>
      </c>
      <c r="F46" s="87" t="str">
        <f t="shared" si="12"/>
        <v>P4/Alb</v>
      </c>
      <c r="G46" s="86" t="str">
        <f t="shared" si="13"/>
        <v>NÃO</v>
      </c>
      <c r="H46" s="87" t="str">
        <f t="shared" si="14"/>
        <v>Escala do pelotão: P4/Alb (indisponível)</v>
      </c>
      <c r="K46" s="88">
        <f>'[1]Capacidade UAS-CUAS'!E42</f>
        <v>2070922</v>
      </c>
      <c r="L46" s="88" t="str">
        <f>'[1]Capacidade UAS-CUAS'!F42</f>
        <v>Nuno Pedro Rolo Correia Veloso</v>
      </c>
      <c r="M46" s="88" t="str">
        <f>'[1]Capacidade UAS-CUAS'!D42</f>
        <v>Cabo</v>
      </c>
      <c r="N46" s="88" t="str">
        <f>'[1]Capacidade UAS-CUAS'!B42</f>
        <v>2.ª Companhia</v>
      </c>
      <c r="O46" s="88" t="str">
        <f>'[1]Capacidade UAS-CUAS'!C42</f>
        <v>5.º Pelotão</v>
      </c>
      <c r="P46" s="88" t="str">
        <f t="shared" si="0"/>
        <v>5º</v>
      </c>
      <c r="Q46" s="88" t="str">
        <f>IF(P46="","",IFERROR(INDEX(EscalaPelotoes!$B$3:$N$4481,MATCH($B$3,EscalaPelotoes!$A$3:$A$4481,0),MATCH(P46,EscalaPelotoes!$B$2:$N$2,0)),""))</f>
        <v>PV</v>
      </c>
      <c r="R46" s="88" t="b">
        <f t="shared" si="1"/>
        <v>0</v>
      </c>
      <c r="S46" s="88" t="b">
        <f>IF(O46="—",FALSE(),SUMPRODUCT(--(TEXT([1]Serviços!$B$4:$B$400,"0")=TEXT(K46,"0")),--([1]Serviços!$A$4:$A$400=$B$3))&gt;0)</f>
        <v>0</v>
      </c>
      <c r="T46" s="88" t="b">
        <f t="shared" si="2"/>
        <v>0</v>
      </c>
      <c r="U46" s="88">
        <f t="shared" si="3"/>
        <v>2</v>
      </c>
      <c r="V46" s="88">
        <f>ROW()</f>
        <v>46</v>
      </c>
      <c r="W46" s="88">
        <f t="shared" si="4"/>
        <v>73</v>
      </c>
      <c r="X46" s="88" t="str">
        <f t="shared" si="5"/>
        <v>Escala do pelotão: PV (indisponível)</v>
      </c>
      <c r="Y46" s="88">
        <f t="shared" si="6"/>
        <v>0</v>
      </c>
    </row>
    <row r="47" spans="1:25" ht="15" customHeight="1" x14ac:dyDescent="0.25">
      <c r="A47" s="86" t="str">
        <f t="shared" si="7"/>
        <v>2210115</v>
      </c>
      <c r="B47" s="87" t="str">
        <f t="shared" si="8"/>
        <v>Pedro Miguel Ramalho da Silva</v>
      </c>
      <c r="C47" s="87" t="str">
        <f t="shared" si="9"/>
        <v>Grd</v>
      </c>
      <c r="D47" s="87" t="str">
        <f t="shared" si="10"/>
        <v>3.ª Companhia</v>
      </c>
      <c r="E47" s="87" t="str">
        <f t="shared" si="11"/>
        <v>7.º Pelotão</v>
      </c>
      <c r="F47" s="87" t="str">
        <f t="shared" si="12"/>
        <v>P4/Alb</v>
      </c>
      <c r="G47" s="86" t="str">
        <f t="shared" si="13"/>
        <v>NÃO</v>
      </c>
      <c r="H47" s="87" t="str">
        <f t="shared" si="14"/>
        <v>Escala do pelotão: P4/Alb (indisponível)</v>
      </c>
      <c r="K47" s="88" t="str">
        <f>'[1]Capacidade UAS-CUAS'!E43</f>
        <v>2070960</v>
      </c>
      <c r="L47" s="88" t="str">
        <f>'[1]Capacidade UAS-CUAS'!F43</f>
        <v>Nuno Duarte Beira Pires Pereira</v>
      </c>
      <c r="M47" s="88" t="str">
        <f>'[1]Capacidade UAS-CUAS'!D43</f>
        <v>Cabo</v>
      </c>
      <c r="N47" s="88" t="str">
        <f>'[1]Capacidade UAS-CUAS'!B43</f>
        <v>2.ª Companhia</v>
      </c>
      <c r="O47" s="88" t="str">
        <f>'[1]Capacidade UAS-CUAS'!C43</f>
        <v>5.º Pelotão</v>
      </c>
      <c r="P47" s="88" t="str">
        <f t="shared" si="0"/>
        <v>5º</v>
      </c>
      <c r="Q47" s="88" t="str">
        <f>IF(P47="","",IFERROR(INDEX(EscalaPelotoes!$B$3:$N$4481,MATCH($B$3,EscalaPelotoes!$A$3:$A$4481,0),MATCH(P47,EscalaPelotoes!$B$2:$N$2,0)),""))</f>
        <v>PV</v>
      </c>
      <c r="R47" s="88" t="b">
        <f t="shared" si="1"/>
        <v>0</v>
      </c>
      <c r="S47" s="88" t="b">
        <f>IF(O47="—",FALSE(),SUMPRODUCT(--(TEXT([1]Serviços!$B$4:$B$400,"0")=TEXT(K47,"0")),--([1]Serviços!$A$4:$A$400=$B$3))&gt;0)</f>
        <v>0</v>
      </c>
      <c r="T47" s="88" t="b">
        <f t="shared" si="2"/>
        <v>0</v>
      </c>
      <c r="U47" s="88">
        <f t="shared" si="3"/>
        <v>2</v>
      </c>
      <c r="V47" s="88">
        <f>ROW()</f>
        <v>47</v>
      </c>
      <c r="W47" s="88">
        <f t="shared" si="4"/>
        <v>72</v>
      </c>
      <c r="X47" s="88" t="str">
        <f t="shared" si="5"/>
        <v>Escala do pelotão: PV (indisponível)</v>
      </c>
      <c r="Y47" s="88">
        <f t="shared" si="6"/>
        <v>0</v>
      </c>
    </row>
    <row r="48" spans="1:25" ht="15" customHeight="1" x14ac:dyDescent="0.25">
      <c r="A48" s="86" t="str">
        <f t="shared" si="7"/>
        <v>2071215</v>
      </c>
      <c r="B48" s="87" t="str">
        <f t="shared" si="8"/>
        <v>Roberto Faustino Soares</v>
      </c>
      <c r="C48" s="87" t="str">
        <f t="shared" si="9"/>
        <v>Grd Pr</v>
      </c>
      <c r="D48" s="87" t="str">
        <f t="shared" si="10"/>
        <v>3.ª Companhia</v>
      </c>
      <c r="E48" s="87" t="str">
        <f t="shared" si="11"/>
        <v>7.º Pelotão</v>
      </c>
      <c r="F48" s="87" t="str">
        <f t="shared" si="12"/>
        <v>P4/Alb</v>
      </c>
      <c r="G48" s="86" t="str">
        <f t="shared" si="13"/>
        <v>NÃO</v>
      </c>
      <c r="H48" s="87" t="str">
        <f t="shared" si="14"/>
        <v>Escala do pelotão: P4/Alb (indisponível)</v>
      </c>
      <c r="K48" s="88">
        <f>'[1]Capacidade UAS-CUAS'!E44</f>
        <v>2120476</v>
      </c>
      <c r="L48" s="88" t="str">
        <f>'[1]Capacidade UAS-CUAS'!F44</f>
        <v>Tiago Realinho da Costa</v>
      </c>
      <c r="M48" s="88" t="str">
        <f>'[1]Capacidade UAS-CUAS'!D44</f>
        <v>Grd Pr</v>
      </c>
      <c r="N48" s="88" t="str">
        <f>'[1]Capacidade UAS-CUAS'!B44</f>
        <v>2.ª Companhia</v>
      </c>
      <c r="O48" s="88" t="str">
        <f>'[1]Capacidade UAS-CUAS'!C44</f>
        <v>5.º Pelotão</v>
      </c>
      <c r="P48" s="88" t="str">
        <f t="shared" si="0"/>
        <v>5º</v>
      </c>
      <c r="Q48" s="88" t="str">
        <f>IF(P48="","",IFERROR(INDEX(EscalaPelotoes!$B$3:$N$4481,MATCH($B$3,EscalaPelotoes!$A$3:$A$4481,0),MATCH(P48,EscalaPelotoes!$B$2:$N$2,0)),""))</f>
        <v>PV</v>
      </c>
      <c r="R48" s="88" t="b">
        <f t="shared" si="1"/>
        <v>0</v>
      </c>
      <c r="S48" s="88" t="b">
        <f>IF(O48="—",FALSE(),SUMPRODUCT(--(TEXT([1]Serviços!$B$4:$B$400,"0")=TEXT(K48,"0")),--([1]Serviços!$A$4:$A$400=$B$3))&gt;0)</f>
        <v>0</v>
      </c>
      <c r="T48" s="88" t="b">
        <f t="shared" si="2"/>
        <v>0</v>
      </c>
      <c r="U48" s="88">
        <f t="shared" si="3"/>
        <v>2</v>
      </c>
      <c r="V48" s="88">
        <f>ROW()</f>
        <v>48</v>
      </c>
      <c r="W48" s="88">
        <f t="shared" si="4"/>
        <v>76</v>
      </c>
      <c r="X48" s="88" t="str">
        <f t="shared" si="5"/>
        <v>Escala do pelotão: PV (indisponível)</v>
      </c>
      <c r="Y48" s="88">
        <f t="shared" si="6"/>
        <v>0</v>
      </c>
    </row>
    <row r="49" spans="1:25" ht="15" customHeight="1" x14ac:dyDescent="0.25">
      <c r="A49" s="86">
        <f t="shared" si="7"/>
        <v>2100420</v>
      </c>
      <c r="B49" s="87" t="str">
        <f t="shared" si="8"/>
        <v>Rúben Alexandre Avelino Valente</v>
      </c>
      <c r="C49" s="87" t="str">
        <f t="shared" si="9"/>
        <v>1º Sarg.</v>
      </c>
      <c r="D49" s="87" t="str">
        <f t="shared" si="10"/>
        <v>3.ª Companhia</v>
      </c>
      <c r="E49" s="87" t="str">
        <f t="shared" si="11"/>
        <v>7.º Pelotão</v>
      </c>
      <c r="F49" s="87" t="str">
        <f t="shared" si="12"/>
        <v>P4/Alb</v>
      </c>
      <c r="G49" s="86" t="str">
        <f t="shared" si="13"/>
        <v>NÃO</v>
      </c>
      <c r="H49" s="87" t="str">
        <f t="shared" si="14"/>
        <v>Escala do pelotão: P4/Alb (indisponível)</v>
      </c>
      <c r="K49" s="88">
        <f>'[1]Capacidade UAS-CUAS'!E45</f>
        <v>2220821</v>
      </c>
      <c r="L49" s="88" t="str">
        <f>'[1]Capacidade UAS-CUAS'!F45</f>
        <v>João Carlos Pereira Nunes</v>
      </c>
      <c r="M49" s="88" t="str">
        <f>'[1]Capacidade UAS-CUAS'!D45</f>
        <v>Grd</v>
      </c>
      <c r="N49" s="88" t="str">
        <f>'[1]Capacidade UAS-CUAS'!B45</f>
        <v>2.ª Companhia</v>
      </c>
      <c r="O49" s="88" t="str">
        <f>'[1]Capacidade UAS-CUAS'!C45</f>
        <v>5.º Pelotão</v>
      </c>
      <c r="P49" s="88" t="str">
        <f t="shared" si="0"/>
        <v>5º</v>
      </c>
      <c r="Q49" s="88" t="str">
        <f>IF(P49="","",IFERROR(INDEX(EscalaPelotoes!$B$3:$N$4481,MATCH($B$3,EscalaPelotoes!$A$3:$A$4481,0),MATCH(P49,EscalaPelotoes!$B$2:$N$2,0)),""))</f>
        <v>PV</v>
      </c>
      <c r="R49" s="88" t="b">
        <f t="shared" si="1"/>
        <v>0</v>
      </c>
      <c r="S49" s="88" t="b">
        <f>IF(O49="—",FALSE(),SUMPRODUCT(--(TEXT([1]Serviços!$B$4:$B$400,"0")=TEXT(K49,"0")),--([1]Serviços!$A$4:$A$400=$B$3))&gt;0)</f>
        <v>0</v>
      </c>
      <c r="T49" s="88" t="b">
        <f t="shared" si="2"/>
        <v>0</v>
      </c>
      <c r="U49" s="88">
        <f t="shared" si="3"/>
        <v>2</v>
      </c>
      <c r="V49" s="88">
        <f>ROW()</f>
        <v>49</v>
      </c>
      <c r="W49" s="88">
        <f t="shared" si="4"/>
        <v>67</v>
      </c>
      <c r="X49" s="88" t="str">
        <f t="shared" si="5"/>
        <v>Escala do pelotão: PV (indisponível)</v>
      </c>
      <c r="Y49" s="88">
        <f t="shared" si="6"/>
        <v>0</v>
      </c>
    </row>
    <row r="50" spans="1:25" ht="15" customHeight="1" x14ac:dyDescent="0.25">
      <c r="A50" s="86" t="str">
        <f t="shared" si="7"/>
        <v>2030236</v>
      </c>
      <c r="B50" s="87" t="str">
        <f t="shared" si="8"/>
        <v>André Gouveia da Rocha</v>
      </c>
      <c r="C50" s="87" t="str">
        <f t="shared" si="9"/>
        <v>Cabo</v>
      </c>
      <c r="D50" s="87" t="str">
        <f t="shared" si="10"/>
        <v>3.ª Companhia</v>
      </c>
      <c r="E50" s="87" t="str">
        <f t="shared" si="11"/>
        <v>9.º Pelotão</v>
      </c>
      <c r="F50" s="87" t="str">
        <f t="shared" si="12"/>
        <v>P3/Vlm</v>
      </c>
      <c r="G50" s="86" t="str">
        <f t="shared" si="13"/>
        <v>NÃO</v>
      </c>
      <c r="H50" s="87" t="str">
        <f t="shared" si="14"/>
        <v>Escala do pelotão: P3/Vlm (indisponível)</v>
      </c>
      <c r="K50" s="88">
        <f>'[1]Capacidade UAS-CUAS'!E46</f>
        <v>2090305</v>
      </c>
      <c r="L50" s="88" t="str">
        <f>'[1]Capacidade UAS-CUAS'!F46</f>
        <v>Fabio Emanuel Marques Antunes</v>
      </c>
      <c r="M50" s="88" t="str">
        <f>'[1]Capacidade UAS-CUAS'!D46</f>
        <v>1º Sarg.</v>
      </c>
      <c r="N50" s="88" t="str">
        <f>'[1]Capacidade UAS-CUAS'!B46</f>
        <v>2.ª Companhia</v>
      </c>
      <c r="O50" s="88" t="str">
        <f>'[1]Capacidade UAS-CUAS'!C46</f>
        <v>6.º Pelotão</v>
      </c>
      <c r="P50" s="88" t="str">
        <f t="shared" si="0"/>
        <v>6º</v>
      </c>
      <c r="Q50" s="88" t="str">
        <f>IF(P50="","",IFERROR(INDEX(EscalaPelotoes!$B$3:$N$4481,MATCH($B$3,EscalaPelotoes!$A$3:$A$4481,0),MATCH(P50,EscalaPelotoes!$B$2:$N$2,0)),""))</f>
        <v>CAR</v>
      </c>
      <c r="R50" s="88" t="b">
        <f t="shared" si="1"/>
        <v>0</v>
      </c>
      <c r="S50" s="88" t="b">
        <f>IF(O50="—",FALSE(),SUMPRODUCT(--(TEXT([1]Serviços!$B$4:$B$400,"0")=TEXT(K50,"0")),--([1]Serviços!$A$4:$A$400=$B$3))&gt;0)</f>
        <v>0</v>
      </c>
      <c r="T50" s="88" t="b">
        <f t="shared" si="2"/>
        <v>0</v>
      </c>
      <c r="U50" s="88">
        <f t="shared" si="3"/>
        <v>2</v>
      </c>
      <c r="V50" s="88">
        <f>ROW()</f>
        <v>50</v>
      </c>
      <c r="W50" s="88">
        <f t="shared" si="4"/>
        <v>62</v>
      </c>
      <c r="X50" s="88" t="str">
        <f t="shared" si="5"/>
        <v>Escala do pelotão: CAR (indisponível)</v>
      </c>
      <c r="Y50" s="88">
        <f t="shared" si="6"/>
        <v>0</v>
      </c>
    </row>
    <row r="51" spans="1:25" ht="15" customHeight="1" x14ac:dyDescent="0.25">
      <c r="A51" s="86" t="str">
        <f t="shared" si="7"/>
        <v>2140655</v>
      </c>
      <c r="B51" s="87" t="str">
        <f t="shared" si="8"/>
        <v>Bruno Alexandre Marques Ferreira</v>
      </c>
      <c r="C51" s="87" t="str">
        <f t="shared" si="9"/>
        <v>2º Sarg.</v>
      </c>
      <c r="D51" s="87" t="str">
        <f t="shared" si="10"/>
        <v>3.ª Companhia</v>
      </c>
      <c r="E51" s="87" t="str">
        <f t="shared" si="11"/>
        <v>9.º Pelotão</v>
      </c>
      <c r="F51" s="87" t="str">
        <f t="shared" si="12"/>
        <v>P3/Vlm</v>
      </c>
      <c r="G51" s="86" t="str">
        <f t="shared" si="13"/>
        <v>NÃO</v>
      </c>
      <c r="H51" s="87" t="str">
        <f t="shared" si="14"/>
        <v>Escala do pelotão: P3/Vlm (indisponível)</v>
      </c>
      <c r="K51" s="88">
        <f>'[1]Capacidade UAS-CUAS'!E47</f>
        <v>1970446</v>
      </c>
      <c r="L51" s="88" t="str">
        <f>'[1]Capacidade UAS-CUAS'!F47</f>
        <v>Paulo Jorge dos Santos Coelho</v>
      </c>
      <c r="M51" s="88" t="str">
        <f>'[1]Capacidade UAS-CUAS'!D47</f>
        <v>Cabo Mor</v>
      </c>
      <c r="N51" s="88" t="str">
        <f>'[1]Capacidade UAS-CUAS'!B47</f>
        <v>2.ª Companhia</v>
      </c>
      <c r="O51" s="88" t="str">
        <f>'[1]Capacidade UAS-CUAS'!C47</f>
        <v>6.º Pelotão</v>
      </c>
      <c r="P51" s="88" t="str">
        <f t="shared" si="0"/>
        <v>6º</v>
      </c>
      <c r="Q51" s="88" t="str">
        <f>IF(P51="","",IFERROR(INDEX(EscalaPelotoes!$B$3:$N$4481,MATCH($B$3,EscalaPelotoes!$A$3:$A$4481,0),MATCH(P51,EscalaPelotoes!$B$2:$N$2,0)),""))</f>
        <v>CAR</v>
      </c>
      <c r="R51" s="88" t="b">
        <f t="shared" si="1"/>
        <v>0</v>
      </c>
      <c r="S51" s="88" t="b">
        <f>IF(O51="—",FALSE(),SUMPRODUCT(--(TEXT([1]Serviços!$B$4:$B$400,"0")=TEXT(K51,"0")),--([1]Serviços!$A$4:$A$400=$B$3))&gt;0)</f>
        <v>0</v>
      </c>
      <c r="T51" s="88" t="b">
        <f t="shared" si="2"/>
        <v>0</v>
      </c>
      <c r="U51" s="88">
        <f t="shared" si="3"/>
        <v>2</v>
      </c>
      <c r="V51" s="88">
        <f>ROW()</f>
        <v>51</v>
      </c>
      <c r="W51" s="88">
        <f t="shared" si="4"/>
        <v>74</v>
      </c>
      <c r="X51" s="88" t="str">
        <f t="shared" si="5"/>
        <v>Escala do pelotão: CAR (indisponível)</v>
      </c>
      <c r="Y51" s="88">
        <f t="shared" si="6"/>
        <v>0</v>
      </c>
    </row>
    <row r="52" spans="1:25" ht="15" customHeight="1" x14ac:dyDescent="0.25">
      <c r="A52" s="86">
        <f t="shared" si="7"/>
        <v>2190314</v>
      </c>
      <c r="B52" s="87" t="str">
        <f t="shared" si="8"/>
        <v>Carlos Manuel Ribeiro da Silva</v>
      </c>
      <c r="C52" s="87" t="str">
        <f t="shared" si="9"/>
        <v>Grd</v>
      </c>
      <c r="D52" s="87" t="str">
        <f t="shared" si="10"/>
        <v>3.ª Companhia</v>
      </c>
      <c r="E52" s="87" t="str">
        <f t="shared" si="11"/>
        <v>9.º Pelotão</v>
      </c>
      <c r="F52" s="87" t="str">
        <f t="shared" si="12"/>
        <v>P3/Vlm</v>
      </c>
      <c r="G52" s="86" t="str">
        <f t="shared" si="13"/>
        <v>NÃO</v>
      </c>
      <c r="H52" s="87" t="str">
        <f t="shared" si="14"/>
        <v>Escala do pelotão: P3/Vlm (indisponível)</v>
      </c>
      <c r="K52" s="88" t="str">
        <f>'[1]Capacidade UAS-CUAS'!E48</f>
        <v>1990783</v>
      </c>
      <c r="L52" s="88" t="str">
        <f>'[1]Capacidade UAS-CUAS'!F48</f>
        <v>Luís Filipe Sequeira Batista Pombo</v>
      </c>
      <c r="M52" s="88" t="str">
        <f>'[1]Capacidade UAS-CUAS'!D48</f>
        <v>Cabo</v>
      </c>
      <c r="N52" s="88" t="str">
        <f>'[1]Capacidade UAS-CUAS'!B48</f>
        <v>2.ª Companhia</v>
      </c>
      <c r="O52" s="88" t="str">
        <f>'[1]Capacidade UAS-CUAS'!C48</f>
        <v>6.º Pelotão</v>
      </c>
      <c r="P52" s="88" t="str">
        <f t="shared" si="0"/>
        <v>6º</v>
      </c>
      <c r="Q52" s="88" t="str">
        <f>IF(P52="","",IFERROR(INDEX(EscalaPelotoes!$B$3:$N$4481,MATCH($B$3,EscalaPelotoes!$A$3:$A$4481,0),MATCH(P52,EscalaPelotoes!$B$2:$N$2,0)),""))</f>
        <v>CAR</v>
      </c>
      <c r="R52" s="88" t="b">
        <f t="shared" si="1"/>
        <v>0</v>
      </c>
      <c r="S52" s="88" t="b">
        <f>IF(O52="—",FALSE(),SUMPRODUCT(--(TEXT([1]Serviços!$B$4:$B$400,"0")=TEXT(K52,"0")),--([1]Serviços!$A$4:$A$400=$B$3))&gt;0)</f>
        <v>0</v>
      </c>
      <c r="T52" s="88" t="b">
        <f t="shared" si="2"/>
        <v>0</v>
      </c>
      <c r="U52" s="88">
        <f t="shared" si="3"/>
        <v>2</v>
      </c>
      <c r="V52" s="88">
        <f>ROW()</f>
        <v>52</v>
      </c>
      <c r="W52" s="88">
        <f t="shared" si="4"/>
        <v>70</v>
      </c>
      <c r="X52" s="88" t="str">
        <f t="shared" si="5"/>
        <v>Escala do pelotão: CAR (indisponível)</v>
      </c>
      <c r="Y52" s="88">
        <f t="shared" si="6"/>
        <v>0</v>
      </c>
    </row>
    <row r="53" spans="1:25" ht="15" customHeight="1" x14ac:dyDescent="0.25">
      <c r="A53" s="86">
        <f t="shared" si="7"/>
        <v>2060261</v>
      </c>
      <c r="B53" s="87" t="str">
        <f t="shared" si="8"/>
        <v>João Filipe Germano Mendes</v>
      </c>
      <c r="C53" s="87" t="str">
        <f t="shared" si="9"/>
        <v>Cabo</v>
      </c>
      <c r="D53" s="87" t="str">
        <f t="shared" si="10"/>
        <v>3.ª Companhia</v>
      </c>
      <c r="E53" s="87" t="str">
        <f t="shared" si="11"/>
        <v>9.º Pelotão</v>
      </c>
      <c r="F53" s="87" t="str">
        <f t="shared" si="12"/>
        <v>P3/Vlm</v>
      </c>
      <c r="G53" s="86" t="str">
        <f t="shared" si="13"/>
        <v>NÃO</v>
      </c>
      <c r="H53" s="87" t="str">
        <f t="shared" si="14"/>
        <v>Escala do pelotão: P3/Vlm (indisponível)</v>
      </c>
      <c r="K53" s="88" t="str">
        <f>'[1]Capacidade UAS-CUAS'!E49</f>
        <v>2010584</v>
      </c>
      <c r="L53" s="88" t="str">
        <f>'[1]Capacidade UAS-CUAS'!F49</f>
        <v>Alberto Pinto de Andrade</v>
      </c>
      <c r="M53" s="88" t="str">
        <f>'[1]Capacidade UAS-CUAS'!D49</f>
        <v>Cabo</v>
      </c>
      <c r="N53" s="88" t="str">
        <f>'[1]Capacidade UAS-CUAS'!B49</f>
        <v>2.ª Companhia</v>
      </c>
      <c r="O53" s="88" t="str">
        <f>'[1]Capacidade UAS-CUAS'!C49</f>
        <v>6.º Pelotão</v>
      </c>
      <c r="P53" s="88" t="str">
        <f t="shared" si="0"/>
        <v>6º</v>
      </c>
      <c r="Q53" s="88" t="str">
        <f>IF(P53="","",IFERROR(INDEX(EscalaPelotoes!$B$3:$N$4481,MATCH($B$3,EscalaPelotoes!$A$3:$A$4481,0),MATCH(P53,EscalaPelotoes!$B$2:$N$2,0)),""))</f>
        <v>CAR</v>
      </c>
      <c r="R53" s="88" t="b">
        <f t="shared" si="1"/>
        <v>0</v>
      </c>
      <c r="S53" s="88" t="b">
        <f>IF(O53="—",FALSE(),SUMPRODUCT(--(TEXT([1]Serviços!$B$4:$B$400,"0")=TEXT(K53,"0")),--([1]Serviços!$A$4:$A$400=$B$3))&gt;0)</f>
        <v>0</v>
      </c>
      <c r="T53" s="88" t="b">
        <f t="shared" si="2"/>
        <v>0</v>
      </c>
      <c r="U53" s="88">
        <f t="shared" si="3"/>
        <v>2</v>
      </c>
      <c r="V53" s="88">
        <f>ROW()</f>
        <v>53</v>
      </c>
      <c r="W53" s="88">
        <f t="shared" si="4"/>
        <v>54</v>
      </c>
      <c r="X53" s="88" t="str">
        <f t="shared" si="5"/>
        <v>Escala do pelotão: CAR (indisponível)</v>
      </c>
      <c r="Y53" s="88">
        <f t="shared" si="6"/>
        <v>0</v>
      </c>
    </row>
    <row r="54" spans="1:25" ht="15" customHeight="1" x14ac:dyDescent="0.25">
      <c r="A54" s="86" t="str">
        <f t="shared" si="7"/>
        <v>2140147</v>
      </c>
      <c r="B54" s="87" t="str">
        <f t="shared" si="8"/>
        <v>Fábio Emanuel Morgado Gomes</v>
      </c>
      <c r="C54" s="87" t="str">
        <f t="shared" si="9"/>
        <v>1º Sarg.</v>
      </c>
      <c r="D54" s="87" t="str">
        <f t="shared" si="10"/>
        <v>3.ª Companhia</v>
      </c>
      <c r="E54" s="87" t="str">
        <f t="shared" si="11"/>
        <v>8.º Pelotão</v>
      </c>
      <c r="F54" s="87" t="str">
        <f t="shared" si="12"/>
        <v>P2/Folga</v>
      </c>
      <c r="G54" s="86" t="str">
        <f t="shared" si="13"/>
        <v>NÃO</v>
      </c>
      <c r="H54" s="87" t="str">
        <f t="shared" si="14"/>
        <v>Escala do pelotão: P2/Folga (indisponível)</v>
      </c>
      <c r="K54" s="88">
        <f>'[1]Capacidade UAS-CUAS'!E50</f>
        <v>2040406</v>
      </c>
      <c r="L54" s="88" t="str">
        <f>'[1]Capacidade UAS-CUAS'!F50</f>
        <v>José Alfredo Trigo Lorga</v>
      </c>
      <c r="M54" s="88" t="str">
        <f>'[1]Capacidade UAS-CUAS'!D50</f>
        <v>Cabo</v>
      </c>
      <c r="N54" s="88" t="str">
        <f>'[1]Capacidade UAS-CUAS'!B50</f>
        <v>2.ª Companhia</v>
      </c>
      <c r="O54" s="88" t="str">
        <f>'[1]Capacidade UAS-CUAS'!C50</f>
        <v>6.º Pelotão</v>
      </c>
      <c r="P54" s="88" t="str">
        <f t="shared" si="0"/>
        <v>6º</v>
      </c>
      <c r="Q54" s="88" t="str">
        <f>IF(P54="","",IFERROR(INDEX(EscalaPelotoes!$B$3:$N$4481,MATCH($B$3,EscalaPelotoes!$A$3:$A$4481,0),MATCH(P54,EscalaPelotoes!$B$2:$N$2,0)),""))</f>
        <v>CAR</v>
      </c>
      <c r="R54" s="88" t="b">
        <f t="shared" si="1"/>
        <v>0</v>
      </c>
      <c r="S54" s="88" t="b">
        <f>IF(O54="—",FALSE(),SUMPRODUCT(--(TEXT([1]Serviços!$B$4:$B$400,"0")=TEXT(K54,"0")),--([1]Serviços!$A$4:$A$400=$B$3))&gt;0)</f>
        <v>0</v>
      </c>
      <c r="T54" s="88" t="b">
        <f t="shared" si="2"/>
        <v>0</v>
      </c>
      <c r="U54" s="88">
        <f t="shared" si="3"/>
        <v>2</v>
      </c>
      <c r="V54" s="88">
        <f>ROW()</f>
        <v>54</v>
      </c>
      <c r="W54" s="88">
        <f t="shared" si="4"/>
        <v>69</v>
      </c>
      <c r="X54" s="88" t="str">
        <f t="shared" si="5"/>
        <v>Escala do pelotão: CAR (indisponível)</v>
      </c>
      <c r="Y54" s="88">
        <f t="shared" si="6"/>
        <v>0</v>
      </c>
    </row>
    <row r="55" spans="1:25" ht="15" customHeight="1" x14ac:dyDescent="0.25">
      <c r="A55" s="86">
        <f t="shared" si="7"/>
        <v>2140751</v>
      </c>
      <c r="B55" s="87" t="str">
        <f t="shared" si="8"/>
        <v>Fábio Manuel Monteiro Antunes</v>
      </c>
      <c r="C55" s="87" t="str">
        <f t="shared" si="9"/>
        <v>Grd Pr</v>
      </c>
      <c r="D55" s="87" t="str">
        <f t="shared" si="10"/>
        <v>3.ª Companhia</v>
      </c>
      <c r="E55" s="87" t="str">
        <f t="shared" si="11"/>
        <v>8.º Pelotão</v>
      </c>
      <c r="F55" s="87" t="str">
        <f t="shared" si="12"/>
        <v>P2/Folga</v>
      </c>
      <c r="G55" s="86" t="str">
        <f t="shared" si="13"/>
        <v>NÃO</v>
      </c>
      <c r="H55" s="87" t="str">
        <f t="shared" si="14"/>
        <v>Escala do pelotão: P2/Folga (indisponível)</v>
      </c>
      <c r="K55" s="88" t="str">
        <f>'[1]Capacidade UAS-CUAS'!E51</f>
        <v>2040682</v>
      </c>
      <c r="L55" s="88" t="str">
        <f>'[1]Capacidade UAS-CUAS'!F51</f>
        <v>Dário Gonçalo Farçadas Ruivo</v>
      </c>
      <c r="M55" s="88" t="str">
        <f>'[1]Capacidade UAS-CUAS'!D51</f>
        <v>Cabo</v>
      </c>
      <c r="N55" s="88" t="str">
        <f>'[1]Capacidade UAS-CUAS'!B51</f>
        <v>2.ª Companhia</v>
      </c>
      <c r="O55" s="88" t="str">
        <f>'[1]Capacidade UAS-CUAS'!C51</f>
        <v>6.º Pelotão</v>
      </c>
      <c r="P55" s="88" t="str">
        <f t="shared" si="0"/>
        <v>6º</v>
      </c>
      <c r="Q55" s="88" t="str">
        <f>IF(P55="","",IFERROR(INDEX(EscalaPelotoes!$B$3:$N$4481,MATCH($B$3,EscalaPelotoes!$A$3:$A$4481,0),MATCH(P55,EscalaPelotoes!$B$2:$N$2,0)),""))</f>
        <v>CAR</v>
      </c>
      <c r="R55" s="88" t="b">
        <f t="shared" si="1"/>
        <v>0</v>
      </c>
      <c r="S55" s="88" t="b">
        <f>IF(O55="—",FALSE(),SUMPRODUCT(--(TEXT([1]Serviços!$B$4:$B$400,"0")=TEXT(K55,"0")),--([1]Serviços!$A$4:$A$400=$B$3))&gt;0)</f>
        <v>0</v>
      </c>
      <c r="T55" s="88" t="b">
        <f t="shared" si="2"/>
        <v>0</v>
      </c>
      <c r="U55" s="88">
        <f t="shared" si="3"/>
        <v>2</v>
      </c>
      <c r="V55" s="88">
        <f>ROW()</f>
        <v>55</v>
      </c>
      <c r="W55" s="88">
        <f t="shared" si="4"/>
        <v>60</v>
      </c>
      <c r="X55" s="88" t="str">
        <f t="shared" si="5"/>
        <v>Escala do pelotão: CAR (indisponível)</v>
      </c>
      <c r="Y55" s="88">
        <f t="shared" si="6"/>
        <v>0</v>
      </c>
    </row>
    <row r="56" spans="1:25" ht="15" customHeight="1" x14ac:dyDescent="0.25">
      <c r="A56" s="86">
        <f t="shared" si="7"/>
        <v>2150206</v>
      </c>
      <c r="B56" s="87" t="str">
        <f t="shared" si="8"/>
        <v>Flávio João Mota Jorge</v>
      </c>
      <c r="C56" s="87" t="str">
        <f t="shared" si="9"/>
        <v>Grd Pr</v>
      </c>
      <c r="D56" s="87" t="str">
        <f t="shared" si="10"/>
        <v>3.ª Companhia</v>
      </c>
      <c r="E56" s="87" t="str">
        <f t="shared" si="11"/>
        <v>8.º Pelotão</v>
      </c>
      <c r="F56" s="87" t="str">
        <f t="shared" si="12"/>
        <v>P2/Folga</v>
      </c>
      <c r="G56" s="86" t="str">
        <f t="shared" si="13"/>
        <v>NÃO</v>
      </c>
      <c r="H56" s="87" t="str">
        <f t="shared" si="14"/>
        <v>Escala do pelotão: P2/Folga (indisponível)</v>
      </c>
      <c r="K56" s="88" t="str">
        <f>'[1]Capacidade UAS-CUAS'!E52</f>
        <v>2061022</v>
      </c>
      <c r="L56" s="88" t="str">
        <f>'[1]Capacidade UAS-CUAS'!F52</f>
        <v>Bruno José Lopes Ferreira Furtado</v>
      </c>
      <c r="M56" s="88" t="str">
        <f>'[1]Capacidade UAS-CUAS'!D52</f>
        <v>Cabo</v>
      </c>
      <c r="N56" s="88" t="str">
        <f>'[1]Capacidade UAS-CUAS'!B52</f>
        <v>2.ª Companhia</v>
      </c>
      <c r="O56" s="88" t="str">
        <f>'[1]Capacidade UAS-CUAS'!C52</f>
        <v>6.º Pelotão</v>
      </c>
      <c r="P56" s="88" t="str">
        <f t="shared" si="0"/>
        <v>6º</v>
      </c>
      <c r="Q56" s="88" t="str">
        <f>IF(P56="","",IFERROR(INDEX(EscalaPelotoes!$B$3:$N$4481,MATCH($B$3,EscalaPelotoes!$A$3:$A$4481,0),MATCH(P56,EscalaPelotoes!$B$2:$N$2,0)),""))</f>
        <v>CAR</v>
      </c>
      <c r="R56" s="88" t="b">
        <f t="shared" si="1"/>
        <v>0</v>
      </c>
      <c r="S56" s="88" t="b">
        <f>IF(O56="—",FALSE(),SUMPRODUCT(--(TEXT([1]Serviços!$B$4:$B$400,"0")=TEXT(K56,"0")),--([1]Serviços!$A$4:$A$400=$B$3))&gt;0)</f>
        <v>0</v>
      </c>
      <c r="T56" s="88" t="b">
        <f t="shared" si="2"/>
        <v>0</v>
      </c>
      <c r="U56" s="88">
        <f t="shared" si="3"/>
        <v>2</v>
      </c>
      <c r="V56" s="88">
        <f>ROW()</f>
        <v>56</v>
      </c>
      <c r="W56" s="88">
        <f t="shared" si="4"/>
        <v>57</v>
      </c>
      <c r="X56" s="88" t="str">
        <f t="shared" si="5"/>
        <v>Escala do pelotão: CAR (indisponível)</v>
      </c>
      <c r="Y56" s="88">
        <f t="shared" si="6"/>
        <v>0</v>
      </c>
    </row>
    <row r="57" spans="1:25" ht="15" customHeight="1" x14ac:dyDescent="0.25">
      <c r="A57" s="86">
        <f>INDEX($K$8:$K$4133,MATCH(ROW()-7,$W$8:$W$4133,0))</f>
        <v>2211470</v>
      </c>
      <c r="B57" s="87" t="str">
        <f>INDEX($L$8:$L$4133,MATCH(ROW()-7,$W$8:$W$4133,0))</f>
        <v>João Pedro Tomaz Lourenço</v>
      </c>
      <c r="C57" s="87" t="str">
        <f>INDEX($M$8:$M$4133,MATCH(ROW()-7,$W$8:$W$4133,0))</f>
        <v>Grd</v>
      </c>
      <c r="D57" s="87" t="str">
        <f>INDEX($N$8:$N$4133,MATCH(ROW()-7,$W$8:$W$4133,0))</f>
        <v>3.ª Companhia</v>
      </c>
      <c r="E57" s="87" t="str">
        <f>INDEX($O$8:$O$4133,MATCH(ROW()-7,$W$8:$W$4133,0))</f>
        <v>8.º Pelotão</v>
      </c>
      <c r="F57" s="87" t="str">
        <f>INDEX($Q$8:$Q$4133,MATCH(ROW()-7,$W$8:$W$4133,0))</f>
        <v>P2/Folga</v>
      </c>
      <c r="G57" s="86" t="str">
        <f>IF(INDEX($T$8:$T$4133,MATCH(ROW()-7,$W$8:$W$4133,0)),"SIM","NÃO")</f>
        <v>NÃO</v>
      </c>
      <c r="H57" s="87" t="str">
        <f>INDEX($X$8:$X$4133,MATCH(ROW()-7,$W$8:$W$4133,0))</f>
        <v>Escala do pelotão: P2/Folga (indisponível)</v>
      </c>
      <c r="K57" s="88">
        <f>'[1]Capacidade UAS-CUAS'!E53</f>
        <v>2210169</v>
      </c>
      <c r="L57" s="88" t="str">
        <f>'[1]Capacidade UAS-CUAS'!F53</f>
        <v>Gonçalo Filipe Sousa Ferreira</v>
      </c>
      <c r="M57" s="88" t="str">
        <f>'[1]Capacidade UAS-CUAS'!D53</f>
        <v>Grd</v>
      </c>
      <c r="N57" s="88" t="str">
        <f>'[1]Capacidade UAS-CUAS'!B53</f>
        <v>2.ª Companhia</v>
      </c>
      <c r="O57" s="88" t="str">
        <f>'[1]Capacidade UAS-CUAS'!C53</f>
        <v>6.º Pelotão</v>
      </c>
      <c r="P57" s="88" t="str">
        <f t="shared" si="0"/>
        <v>6º</v>
      </c>
      <c r="Q57" s="88" t="str">
        <f>IF(P57="","",IFERROR(INDEX(EscalaPelotoes!$B$3:$N$4481,MATCH($B$3,EscalaPelotoes!$A$3:$A$4481,0),MATCH(P57,EscalaPelotoes!$B$2:$N$2,0)),""))</f>
        <v>CAR</v>
      </c>
      <c r="R57" s="88" t="b">
        <f t="shared" si="1"/>
        <v>0</v>
      </c>
      <c r="S57" s="88" t="b">
        <f>IF(O57="—",FALSE(),SUMPRODUCT(--(TEXT([1]Serviços!$B$4:$B$400,"0")=TEXT(K57,"0")),--([1]Serviços!$A$4:$A$400=$B$3))&gt;0)</f>
        <v>0</v>
      </c>
      <c r="T57" s="88" t="b">
        <f t="shared" si="2"/>
        <v>0</v>
      </c>
      <c r="U57" s="88">
        <f t="shared" si="3"/>
        <v>2</v>
      </c>
      <c r="V57" s="88">
        <f>ROW()</f>
        <v>57</v>
      </c>
      <c r="W57" s="88">
        <f t="shared" si="4"/>
        <v>65</v>
      </c>
      <c r="X57" s="88" t="str">
        <f t="shared" si="5"/>
        <v>Escala do pelotão: CAR (indisponível)</v>
      </c>
      <c r="Y57" s="88">
        <f t="shared" si="6"/>
        <v>0</v>
      </c>
    </row>
    <row r="58" spans="1:25" ht="15" customHeight="1" x14ac:dyDescent="0.25">
      <c r="A58" s="86">
        <f t="shared" si="7"/>
        <v>2140884</v>
      </c>
      <c r="B58" s="87" t="str">
        <f t="shared" si="8"/>
        <v>Mário Jorge Esteves Aparício</v>
      </c>
      <c r="C58" s="87" t="str">
        <f t="shared" si="9"/>
        <v>Grd Pr</v>
      </c>
      <c r="D58" s="87" t="str">
        <f t="shared" si="10"/>
        <v>3.ª Companhia</v>
      </c>
      <c r="E58" s="87" t="str">
        <f t="shared" si="11"/>
        <v>8.º Pelotão</v>
      </c>
      <c r="F58" s="87" t="str">
        <f t="shared" si="12"/>
        <v>P2/Folga</v>
      </c>
      <c r="G58" s="86" t="str">
        <f t="shared" si="13"/>
        <v>NÃO</v>
      </c>
      <c r="H58" s="87" t="str">
        <f t="shared" si="14"/>
        <v>Escala do pelotão: P2/Folga (indisponível)</v>
      </c>
      <c r="K58" s="88">
        <f>'[1]Capacidade UAS-CUAS'!E54</f>
        <v>2100420</v>
      </c>
      <c r="L58" s="88" t="str">
        <f>'[1]Capacidade UAS-CUAS'!F54</f>
        <v>Rúben Alexandre Avelino Valente</v>
      </c>
      <c r="M58" s="88" t="str">
        <f>'[1]Capacidade UAS-CUAS'!D54</f>
        <v>1º Sarg.</v>
      </c>
      <c r="N58" s="88" t="str">
        <f>'[1]Capacidade UAS-CUAS'!B54</f>
        <v>3.ª Companhia</v>
      </c>
      <c r="O58" s="88" t="str">
        <f>'[1]Capacidade UAS-CUAS'!C54</f>
        <v>7.º Pelotão</v>
      </c>
      <c r="P58" s="88" t="str">
        <f t="shared" si="0"/>
        <v>7º</v>
      </c>
      <c r="Q58" s="88" t="str">
        <f>IF(P58="","",IFERROR(INDEX(EscalaPelotoes!$B$3:$N$4481,MATCH($B$3,EscalaPelotoes!$A$3:$A$4481,0),MATCH(P58,EscalaPelotoes!$B$2:$N$2,0)),""))</f>
        <v>P4/Alb</v>
      </c>
      <c r="R58" s="88" t="b">
        <f t="shared" si="1"/>
        <v>0</v>
      </c>
      <c r="S58" s="88" t="b">
        <f>IF(O58="—",FALSE(),SUMPRODUCT(--(TEXT([1]Serviços!$B$4:$B$400,"0")=TEXT(K58,"0")),--([1]Serviços!$A$4:$A$400=$B$3))&gt;0)</f>
        <v>0</v>
      </c>
      <c r="T58" s="88" t="b">
        <f t="shared" si="2"/>
        <v>0</v>
      </c>
      <c r="U58" s="88">
        <f t="shared" si="3"/>
        <v>2</v>
      </c>
      <c r="V58" s="88">
        <f>ROW()</f>
        <v>58</v>
      </c>
      <c r="W58" s="88">
        <f t="shared" si="4"/>
        <v>42</v>
      </c>
      <c r="X58" s="88" t="str">
        <f t="shared" si="5"/>
        <v>Escala do pelotão: P4/Alb (indisponível)</v>
      </c>
      <c r="Y58" s="88">
        <f t="shared" si="6"/>
        <v>4</v>
      </c>
    </row>
    <row r="59" spans="1:25" ht="15" customHeight="1" x14ac:dyDescent="0.25">
      <c r="A59" s="86" t="str">
        <f t="shared" si="7"/>
        <v>2060268</v>
      </c>
      <c r="B59" s="87" t="str">
        <f t="shared" si="8"/>
        <v>Paulo Miguel Pereira dos Santos</v>
      </c>
      <c r="C59" s="87" t="str">
        <f t="shared" si="9"/>
        <v>Cabo</v>
      </c>
      <c r="D59" s="87" t="str">
        <f t="shared" si="10"/>
        <v>3.ª Companhia</v>
      </c>
      <c r="E59" s="87" t="str">
        <f t="shared" si="11"/>
        <v>8.º Pelotão</v>
      </c>
      <c r="F59" s="87" t="str">
        <f t="shared" si="12"/>
        <v>P2/Folga</v>
      </c>
      <c r="G59" s="86" t="str">
        <f t="shared" si="13"/>
        <v>NÃO</v>
      </c>
      <c r="H59" s="87" t="str">
        <f t="shared" si="14"/>
        <v>Escala do pelotão: P2/Folga (indisponível)</v>
      </c>
      <c r="K59" s="88" t="str">
        <f>'[1]Capacidade UAS-CUAS'!E55</f>
        <v>2000832</v>
      </c>
      <c r="L59" s="88" t="str">
        <f>'[1]Capacidade UAS-CUAS'!F55</f>
        <v>Manuel Alexandre da Silva Rocha</v>
      </c>
      <c r="M59" s="88" t="str">
        <f>'[1]Capacidade UAS-CUAS'!D55</f>
        <v>Cabo Ch</v>
      </c>
      <c r="N59" s="88" t="str">
        <f>'[1]Capacidade UAS-CUAS'!B55</f>
        <v>3.ª Companhia</v>
      </c>
      <c r="O59" s="88" t="str">
        <f>'[1]Capacidade UAS-CUAS'!C55</f>
        <v>7.º Pelotão</v>
      </c>
      <c r="P59" s="88" t="str">
        <f t="shared" si="0"/>
        <v>7º</v>
      </c>
      <c r="Q59" s="88" t="str">
        <f>IF(P59="","",IFERROR(INDEX(EscalaPelotoes!$B$3:$N$4481,MATCH($B$3,EscalaPelotoes!$A$3:$A$4481,0),MATCH(P59,EscalaPelotoes!$B$2:$N$2,0)),""))</f>
        <v>P4/Alb</v>
      </c>
      <c r="R59" s="88" t="b">
        <f t="shared" si="1"/>
        <v>0</v>
      </c>
      <c r="S59" s="88" t="b">
        <f>IF(O59="—",FALSE(),SUMPRODUCT(--(TEXT([1]Serviços!$B$4:$B$400,"0")=TEXT(K59,"0")),--([1]Serviços!$A$4:$A$400=$B$3))&gt;0)</f>
        <v>0</v>
      </c>
      <c r="T59" s="88" t="b">
        <f t="shared" si="2"/>
        <v>0</v>
      </c>
      <c r="U59" s="88">
        <f t="shared" si="3"/>
        <v>2</v>
      </c>
      <c r="V59" s="88">
        <f>ROW()</f>
        <v>59</v>
      </c>
      <c r="W59" s="88">
        <f t="shared" si="4"/>
        <v>39</v>
      </c>
      <c r="X59" s="88" t="str">
        <f t="shared" si="5"/>
        <v>Escala do pelotão: P4/Alb (indisponível)</v>
      </c>
      <c r="Y59" s="88">
        <f t="shared" si="6"/>
        <v>4</v>
      </c>
    </row>
    <row r="60" spans="1:25" ht="15" customHeight="1" x14ac:dyDescent="0.25">
      <c r="A60" s="86">
        <f t="shared" si="7"/>
        <v>2030055</v>
      </c>
      <c r="B60" s="87" t="str">
        <f t="shared" si="8"/>
        <v>Victor Emanuel Cortinhas de Sousa Rosa</v>
      </c>
      <c r="C60" s="87" t="str">
        <f t="shared" si="9"/>
        <v>Cabo</v>
      </c>
      <c r="D60" s="87" t="str">
        <f t="shared" si="10"/>
        <v>3.ª Companhia</v>
      </c>
      <c r="E60" s="87" t="str">
        <f t="shared" si="11"/>
        <v>8.º Pelotão</v>
      </c>
      <c r="F60" s="87" t="str">
        <f t="shared" si="12"/>
        <v>P2/Folga</v>
      </c>
      <c r="G60" s="86" t="str">
        <f t="shared" si="13"/>
        <v>NÃO</v>
      </c>
      <c r="H60" s="87" t="str">
        <f t="shared" si="14"/>
        <v>Escala do pelotão: P2/Folga (indisponível)</v>
      </c>
      <c r="K60" s="88">
        <f>'[1]Capacidade UAS-CUAS'!E56</f>
        <v>2010798</v>
      </c>
      <c r="L60" s="88" t="str">
        <f>'[1]Capacidade UAS-CUAS'!F56</f>
        <v>Adérito da Silva Castro Guedes Vieira</v>
      </c>
      <c r="M60" s="88" t="str">
        <f>'[1]Capacidade UAS-CUAS'!D56</f>
        <v>Cabo</v>
      </c>
      <c r="N60" s="88" t="str">
        <f>'[1]Capacidade UAS-CUAS'!B56</f>
        <v>3.ª Companhia</v>
      </c>
      <c r="O60" s="88" t="str">
        <f>'[1]Capacidade UAS-CUAS'!C56</f>
        <v>7.º Pelotão</v>
      </c>
      <c r="P60" s="88" t="str">
        <f t="shared" si="0"/>
        <v>7º</v>
      </c>
      <c r="Q60" s="88" t="str">
        <f>IF(P60="","",IFERROR(INDEX(EscalaPelotoes!$B$3:$N$4481,MATCH($B$3,EscalaPelotoes!$A$3:$A$4481,0),MATCH(P60,EscalaPelotoes!$B$2:$N$2,0)),""))</f>
        <v>P4/Alb</v>
      </c>
      <c r="R60" s="88" t="b">
        <f t="shared" si="1"/>
        <v>0</v>
      </c>
      <c r="S60" s="88" t="b">
        <f>IF(O60="—",FALSE(),SUMPRODUCT(--(TEXT([1]Serviços!$B$4:$B$400,"0")=TEXT(K60,"0")),--([1]Serviços!$A$4:$A$400=$B$3))&gt;0)</f>
        <v>0</v>
      </c>
      <c r="T60" s="88" t="b">
        <f t="shared" si="2"/>
        <v>0</v>
      </c>
      <c r="U60" s="88">
        <f t="shared" si="3"/>
        <v>2</v>
      </c>
      <c r="V60" s="88">
        <f>ROW()</f>
        <v>60</v>
      </c>
      <c r="W60" s="88">
        <f t="shared" si="4"/>
        <v>34</v>
      </c>
      <c r="X60" s="88" t="str">
        <f t="shared" si="5"/>
        <v>Escala do pelotão: P4/Alb (indisponível)</v>
      </c>
      <c r="Y60" s="88">
        <f t="shared" si="6"/>
        <v>4</v>
      </c>
    </row>
    <row r="61" spans="1:25" ht="15" customHeight="1" x14ac:dyDescent="0.25">
      <c r="A61" s="86" t="str">
        <f t="shared" si="7"/>
        <v>2010584</v>
      </c>
      <c r="B61" s="87" t="str">
        <f t="shared" si="8"/>
        <v>Alberto Pinto de Andrade</v>
      </c>
      <c r="C61" s="87" t="str">
        <f t="shared" si="9"/>
        <v>Cabo</v>
      </c>
      <c r="D61" s="87" t="str">
        <f t="shared" si="10"/>
        <v>2.ª Companhia</v>
      </c>
      <c r="E61" s="87" t="str">
        <f t="shared" si="11"/>
        <v>6.º Pelotão</v>
      </c>
      <c r="F61" s="87" t="str">
        <f t="shared" si="12"/>
        <v>CAR</v>
      </c>
      <c r="G61" s="86" t="str">
        <f t="shared" si="13"/>
        <v>NÃO</v>
      </c>
      <c r="H61" s="87" t="str">
        <f t="shared" si="14"/>
        <v>Escala do pelotão: CAR (indisponível)</v>
      </c>
      <c r="K61" s="88" t="str">
        <f>'[1]Capacidade UAS-CUAS'!E57</f>
        <v>2020899</v>
      </c>
      <c r="L61" s="88" t="str">
        <f>'[1]Capacidade UAS-CUAS'!F57</f>
        <v>João Paulo Nogueira Fernandes</v>
      </c>
      <c r="M61" s="88" t="str">
        <f>'[1]Capacidade UAS-CUAS'!D57</f>
        <v>Grd Pr</v>
      </c>
      <c r="N61" s="88" t="str">
        <f>'[1]Capacidade UAS-CUAS'!B57</f>
        <v>3.ª Companhia</v>
      </c>
      <c r="O61" s="88" t="str">
        <f>'[1]Capacidade UAS-CUAS'!C57</f>
        <v>7.º Pelotão</v>
      </c>
      <c r="P61" s="88" t="str">
        <f t="shared" si="0"/>
        <v>7º</v>
      </c>
      <c r="Q61" s="88" t="str">
        <f>IF(P61="","",IFERROR(INDEX(EscalaPelotoes!$B$3:$N$4481,MATCH($B$3,EscalaPelotoes!$A$3:$A$4481,0),MATCH(P61,EscalaPelotoes!$B$2:$N$2,0)),""))</f>
        <v>P4/Alb</v>
      </c>
      <c r="R61" s="88" t="b">
        <f t="shared" si="1"/>
        <v>0</v>
      </c>
      <c r="S61" s="88" t="b">
        <f>IF(O61="—",FALSE(),SUMPRODUCT(--(TEXT([1]Serviços!$B$4:$B$400,"0")=TEXT(K61,"0")),--([1]Serviços!$A$4:$A$400=$B$3))&gt;0)</f>
        <v>0</v>
      </c>
      <c r="T61" s="88" t="b">
        <f t="shared" si="2"/>
        <v>0</v>
      </c>
      <c r="U61" s="88">
        <f t="shared" si="3"/>
        <v>2</v>
      </c>
      <c r="V61" s="88">
        <f>ROW()</f>
        <v>61</v>
      </c>
      <c r="W61" s="88">
        <f t="shared" si="4"/>
        <v>38</v>
      </c>
      <c r="X61" s="88" t="str">
        <f t="shared" si="5"/>
        <v>Escala do pelotão: P4/Alb (indisponível)</v>
      </c>
      <c r="Y61" s="88">
        <f t="shared" si="6"/>
        <v>4</v>
      </c>
    </row>
    <row r="62" spans="1:25" ht="15" customHeight="1" x14ac:dyDescent="0.25">
      <c r="A62" s="86" t="str">
        <f t="shared" si="7"/>
        <v>2071127</v>
      </c>
      <c r="B62" s="87" t="str">
        <f t="shared" si="8"/>
        <v>Alexandre Dias Ramalheiro</v>
      </c>
      <c r="C62" s="87" t="str">
        <f t="shared" si="9"/>
        <v>Sarg. Aj</v>
      </c>
      <c r="D62" s="87" t="str">
        <f t="shared" si="10"/>
        <v>1.ª Companhia</v>
      </c>
      <c r="E62" s="87" t="str">
        <f t="shared" si="11"/>
        <v>2.º Pelotão</v>
      </c>
      <c r="F62" s="87" t="str">
        <f t="shared" si="12"/>
        <v>CAR</v>
      </c>
      <c r="G62" s="86" t="str">
        <f t="shared" si="13"/>
        <v>NÃO</v>
      </c>
      <c r="H62" s="87" t="str">
        <f t="shared" si="14"/>
        <v>Escala do pelotão: CAR (indisponível)</v>
      </c>
      <c r="K62" s="88" t="str">
        <f>'[1]Capacidade UAS-CUAS'!E58</f>
        <v>2070931</v>
      </c>
      <c r="L62" s="88" t="str">
        <f>'[1]Capacidade UAS-CUAS'!F58</f>
        <v>João Nuno Varino Alves</v>
      </c>
      <c r="M62" s="88" t="str">
        <f>'[1]Capacidade UAS-CUAS'!D58</f>
        <v>Cabo</v>
      </c>
      <c r="N62" s="88" t="str">
        <f>'[1]Capacidade UAS-CUAS'!B58</f>
        <v>3.ª Companhia</v>
      </c>
      <c r="O62" s="88" t="str">
        <f>'[1]Capacidade UAS-CUAS'!C58</f>
        <v>7.º Pelotão</v>
      </c>
      <c r="P62" s="88" t="str">
        <f t="shared" si="0"/>
        <v>7º</v>
      </c>
      <c r="Q62" s="88" t="str">
        <f>IF(P62="","",IFERROR(INDEX(EscalaPelotoes!$B$3:$N$4481,MATCH($B$3,EscalaPelotoes!$A$3:$A$4481,0),MATCH(P62,EscalaPelotoes!$B$2:$N$2,0)),""))</f>
        <v>P4/Alb</v>
      </c>
      <c r="R62" s="88" t="b">
        <f t="shared" si="1"/>
        <v>0</v>
      </c>
      <c r="S62" s="88" t="b">
        <f>IF(O62="—",FALSE(),SUMPRODUCT(--(TEXT([1]Serviços!$B$4:$B$400,"0")=TEXT(K62,"0")),--([1]Serviços!$A$4:$A$400=$B$3))&gt;0)</f>
        <v>0</v>
      </c>
      <c r="T62" s="88" t="b">
        <f t="shared" si="2"/>
        <v>0</v>
      </c>
      <c r="U62" s="88">
        <f t="shared" si="3"/>
        <v>2</v>
      </c>
      <c r="V62" s="88">
        <f>ROW()</f>
        <v>62</v>
      </c>
      <c r="W62" s="88">
        <f t="shared" si="4"/>
        <v>37</v>
      </c>
      <c r="X62" s="88" t="str">
        <f t="shared" si="5"/>
        <v>Escala do pelotão: P4/Alb (indisponível)</v>
      </c>
      <c r="Y62" s="88">
        <f t="shared" si="6"/>
        <v>4</v>
      </c>
    </row>
    <row r="63" spans="1:25" ht="15" customHeight="1" x14ac:dyDescent="0.25">
      <c r="A63" s="86" t="str">
        <f t="shared" si="7"/>
        <v>2060731</v>
      </c>
      <c r="B63" s="87" t="str">
        <f t="shared" si="8"/>
        <v>André Simões Sabino</v>
      </c>
      <c r="C63" s="87" t="str">
        <f t="shared" si="9"/>
        <v>Cabo</v>
      </c>
      <c r="D63" s="87" t="str">
        <f t="shared" si="10"/>
        <v>1.ª Companhia</v>
      </c>
      <c r="E63" s="87" t="str">
        <f t="shared" si="11"/>
        <v>2.º Pelotão</v>
      </c>
      <c r="F63" s="87" t="str">
        <f t="shared" si="12"/>
        <v>CAR</v>
      </c>
      <c r="G63" s="86" t="str">
        <f t="shared" si="13"/>
        <v>NÃO</v>
      </c>
      <c r="H63" s="87" t="str">
        <f t="shared" si="14"/>
        <v>Escala do pelotão: CAR (indisponível)</v>
      </c>
      <c r="K63" s="88" t="str">
        <f>'[1]Capacidade UAS-CUAS'!E59</f>
        <v>2071215</v>
      </c>
      <c r="L63" s="88" t="str">
        <f>'[1]Capacidade UAS-CUAS'!F59</f>
        <v>Roberto Faustino Soares</v>
      </c>
      <c r="M63" s="88" t="str">
        <f>'[1]Capacidade UAS-CUAS'!D59</f>
        <v>Grd Pr</v>
      </c>
      <c r="N63" s="88" t="str">
        <f>'[1]Capacidade UAS-CUAS'!B59</f>
        <v>3.ª Companhia</v>
      </c>
      <c r="O63" s="88" t="str">
        <f>'[1]Capacidade UAS-CUAS'!C59</f>
        <v>7.º Pelotão</v>
      </c>
      <c r="P63" s="88" t="str">
        <f t="shared" si="0"/>
        <v>7º</v>
      </c>
      <c r="Q63" s="88" t="str">
        <f>IF(P63="","",IFERROR(INDEX(EscalaPelotoes!$B$3:$N$4481,MATCH($B$3,EscalaPelotoes!$A$3:$A$4481,0),MATCH(P63,EscalaPelotoes!$B$2:$N$2,0)),""))</f>
        <v>P4/Alb</v>
      </c>
      <c r="R63" s="88" t="b">
        <f t="shared" si="1"/>
        <v>0</v>
      </c>
      <c r="S63" s="88" t="b">
        <f>IF(O63="—",FALSE(),SUMPRODUCT(--(TEXT([1]Serviços!$B$4:$B$400,"0")=TEXT(K63,"0")),--([1]Serviços!$A$4:$A$400=$B$3))&gt;0)</f>
        <v>0</v>
      </c>
      <c r="T63" s="88" t="b">
        <f t="shared" si="2"/>
        <v>0</v>
      </c>
      <c r="U63" s="88">
        <f t="shared" si="3"/>
        <v>2</v>
      </c>
      <c r="V63" s="88">
        <f>ROW()</f>
        <v>63</v>
      </c>
      <c r="W63" s="88">
        <f t="shared" si="4"/>
        <v>41</v>
      </c>
      <c r="X63" s="88" t="str">
        <f t="shared" si="5"/>
        <v>Escala do pelotão: P4/Alb (indisponível)</v>
      </c>
      <c r="Y63" s="88">
        <f t="shared" si="6"/>
        <v>4</v>
      </c>
    </row>
    <row r="64" spans="1:25" ht="15" customHeight="1" x14ac:dyDescent="0.25">
      <c r="A64" s="86" t="str">
        <f t="shared" si="7"/>
        <v>2061022</v>
      </c>
      <c r="B64" s="87" t="str">
        <f t="shared" si="8"/>
        <v>Bruno José Lopes Ferreira Furtado</v>
      </c>
      <c r="C64" s="87" t="str">
        <f t="shared" si="9"/>
        <v>Cabo</v>
      </c>
      <c r="D64" s="87" t="str">
        <f t="shared" si="10"/>
        <v>2.ª Companhia</v>
      </c>
      <c r="E64" s="87" t="str">
        <f t="shared" si="11"/>
        <v>6.º Pelotão</v>
      </c>
      <c r="F64" s="87" t="str">
        <f t="shared" si="12"/>
        <v>CAR</v>
      </c>
      <c r="G64" s="86" t="str">
        <f t="shared" si="13"/>
        <v>NÃO</v>
      </c>
      <c r="H64" s="87" t="str">
        <f t="shared" si="14"/>
        <v>Escala do pelotão: CAR (indisponível)</v>
      </c>
      <c r="K64" s="88">
        <f>'[1]Capacidade UAS-CUAS'!E60</f>
        <v>2150227</v>
      </c>
      <c r="L64" s="88" t="str">
        <f>'[1]Capacidade UAS-CUAS'!F60</f>
        <v>Carlos Daniel Matias Eufrásio</v>
      </c>
      <c r="M64" s="88" t="str">
        <f>'[1]Capacidade UAS-CUAS'!D60</f>
        <v>Grd Pr</v>
      </c>
      <c r="N64" s="88" t="str">
        <f>'[1]Capacidade UAS-CUAS'!B60</f>
        <v>3.ª Companhia</v>
      </c>
      <c r="O64" s="88" t="str">
        <f>'[1]Capacidade UAS-CUAS'!C60</f>
        <v>7.º Pelotão</v>
      </c>
      <c r="P64" s="88" t="str">
        <f t="shared" si="0"/>
        <v>7º</v>
      </c>
      <c r="Q64" s="88" t="str">
        <f>IF(P64="","",IFERROR(INDEX(EscalaPelotoes!$B$3:$N$4481,MATCH($B$3,EscalaPelotoes!$A$3:$A$4481,0),MATCH(P64,EscalaPelotoes!$B$2:$N$2,0)),""))</f>
        <v>P4/Alb</v>
      </c>
      <c r="R64" s="88" t="b">
        <f t="shared" si="1"/>
        <v>0</v>
      </c>
      <c r="S64" s="88" t="b">
        <f>IF(O64="—",FALSE(),SUMPRODUCT(--(TEXT([1]Serviços!$B$4:$B$400,"0")=TEXT(K64,"0")),--([1]Serviços!$A$4:$A$400=$B$3))&gt;0)</f>
        <v>0</v>
      </c>
      <c r="T64" s="88" t="b">
        <f t="shared" si="2"/>
        <v>0</v>
      </c>
      <c r="U64" s="88">
        <f t="shared" si="3"/>
        <v>2</v>
      </c>
      <c r="V64" s="88">
        <f>ROW()</f>
        <v>64</v>
      </c>
      <c r="W64" s="88">
        <f t="shared" si="4"/>
        <v>35</v>
      </c>
      <c r="X64" s="88" t="str">
        <f t="shared" si="5"/>
        <v>Escala do pelotão: P4/Alb (indisponível)</v>
      </c>
      <c r="Y64" s="88">
        <f t="shared" si="6"/>
        <v>4</v>
      </c>
    </row>
    <row r="65" spans="1:25" ht="15" customHeight="1" x14ac:dyDescent="0.25">
      <c r="A65" s="86">
        <f t="shared" si="7"/>
        <v>1991035</v>
      </c>
      <c r="B65" s="87" t="str">
        <f t="shared" si="8"/>
        <v>Bruno Miguel Lameiras Patrocínio</v>
      </c>
      <c r="C65" s="87" t="str">
        <f t="shared" si="9"/>
        <v>Cabo</v>
      </c>
      <c r="D65" s="87" t="str">
        <f t="shared" si="10"/>
        <v>2.ª Companhia</v>
      </c>
      <c r="E65" s="87" t="str">
        <f t="shared" si="11"/>
        <v>5.º Pelotão</v>
      </c>
      <c r="F65" s="87" t="str">
        <f t="shared" si="12"/>
        <v>PV</v>
      </c>
      <c r="G65" s="86" t="str">
        <f t="shared" si="13"/>
        <v>NÃO</v>
      </c>
      <c r="H65" s="87" t="str">
        <f t="shared" si="14"/>
        <v>Escala do pelotão: PV (indisponível)</v>
      </c>
      <c r="K65" s="88" t="str">
        <f>'[1]Capacidade UAS-CUAS'!E61</f>
        <v>2210115</v>
      </c>
      <c r="L65" s="88" t="str">
        <f>'[1]Capacidade UAS-CUAS'!F61</f>
        <v>Pedro Miguel Ramalho da Silva</v>
      </c>
      <c r="M65" s="88" t="str">
        <f>'[1]Capacidade UAS-CUAS'!D61</f>
        <v>Grd</v>
      </c>
      <c r="N65" s="88" t="str">
        <f>'[1]Capacidade UAS-CUAS'!B61</f>
        <v>3.ª Companhia</v>
      </c>
      <c r="O65" s="88" t="str">
        <f>'[1]Capacidade UAS-CUAS'!C61</f>
        <v>7.º Pelotão</v>
      </c>
      <c r="P65" s="88" t="str">
        <f t="shared" si="0"/>
        <v>7º</v>
      </c>
      <c r="Q65" s="88" t="str">
        <f>IF(P65="","",IFERROR(INDEX(EscalaPelotoes!$B$3:$N$4481,MATCH($B$3,EscalaPelotoes!$A$3:$A$4481,0),MATCH(P65,EscalaPelotoes!$B$2:$N$2,0)),""))</f>
        <v>P4/Alb</v>
      </c>
      <c r="R65" s="88" t="b">
        <f t="shared" si="1"/>
        <v>0</v>
      </c>
      <c r="S65" s="88" t="b">
        <f>IF(O65="—",FALSE(),SUMPRODUCT(--(TEXT([1]Serviços!$B$4:$B$400,"0")=TEXT(K65,"0")),--([1]Serviços!$A$4:$A$400=$B$3))&gt;0)</f>
        <v>0</v>
      </c>
      <c r="T65" s="88" t="b">
        <f t="shared" si="2"/>
        <v>0</v>
      </c>
      <c r="U65" s="88">
        <f t="shared" si="3"/>
        <v>2</v>
      </c>
      <c r="V65" s="88">
        <f>ROW()</f>
        <v>65</v>
      </c>
      <c r="W65" s="88">
        <f t="shared" si="4"/>
        <v>40</v>
      </c>
      <c r="X65" s="88" t="str">
        <f t="shared" si="5"/>
        <v>Escala do pelotão: P4/Alb (indisponível)</v>
      </c>
      <c r="Y65" s="88">
        <f t="shared" si="6"/>
        <v>4</v>
      </c>
    </row>
    <row r="66" spans="1:25" ht="15" customHeight="1" x14ac:dyDescent="0.25">
      <c r="A66" s="86">
        <f t="shared" si="7"/>
        <v>2040499</v>
      </c>
      <c r="B66" s="87" t="str">
        <f t="shared" si="8"/>
        <v>Daniel de Almeida Campos Dias</v>
      </c>
      <c r="C66" s="87" t="str">
        <f t="shared" si="9"/>
        <v>Cabo</v>
      </c>
      <c r="D66" s="87" t="str">
        <f t="shared" si="10"/>
        <v>1.ª Companhia</v>
      </c>
      <c r="E66" s="87" t="str">
        <f t="shared" si="11"/>
        <v>2.º Pelotão</v>
      </c>
      <c r="F66" s="87" t="str">
        <f t="shared" si="12"/>
        <v>CAR</v>
      </c>
      <c r="G66" s="86" t="str">
        <f t="shared" si="13"/>
        <v>NÃO</v>
      </c>
      <c r="H66" s="87" t="str">
        <f t="shared" si="14"/>
        <v>Escala do pelotão: CAR (indisponível)</v>
      </c>
      <c r="K66" s="88">
        <f>'[1]Capacidade UAS-CUAS'!E62</f>
        <v>2225091</v>
      </c>
      <c r="L66" s="88" t="str">
        <f>'[1]Capacidade UAS-CUAS'!F62</f>
        <v>Francisco Ferreira Matias</v>
      </c>
      <c r="M66" s="88" t="str">
        <f>'[1]Capacidade UAS-CUAS'!D62</f>
        <v>Grd</v>
      </c>
      <c r="N66" s="88" t="str">
        <f>'[1]Capacidade UAS-CUAS'!B62</f>
        <v>3.ª Companhia</v>
      </c>
      <c r="O66" s="88" t="str">
        <f>'[1]Capacidade UAS-CUAS'!C62</f>
        <v>7.º Pelotão</v>
      </c>
      <c r="P66" s="88" t="str">
        <f t="shared" si="0"/>
        <v>7º</v>
      </c>
      <c r="Q66" s="88" t="str">
        <f>IF(P66="","",IFERROR(INDEX(EscalaPelotoes!$B$3:$N$4481,MATCH($B$3,EscalaPelotoes!$A$3:$A$4481,0),MATCH(P66,EscalaPelotoes!$B$2:$N$2,0)),""))</f>
        <v>P4/Alb</v>
      </c>
      <c r="R66" s="88" t="b">
        <f t="shared" si="1"/>
        <v>0</v>
      </c>
      <c r="S66" s="88" t="b">
        <f>IF(O66="—",FALSE(),SUMPRODUCT(--(TEXT([1]Serviços!$B$4:$B$400,"0")=TEXT(K66,"0")),--([1]Serviços!$A$4:$A$400=$B$3))&gt;0)</f>
        <v>0</v>
      </c>
      <c r="T66" s="88" t="b">
        <f t="shared" si="2"/>
        <v>0</v>
      </c>
      <c r="U66" s="88">
        <f t="shared" si="3"/>
        <v>2</v>
      </c>
      <c r="V66" s="88">
        <f>ROW()</f>
        <v>66</v>
      </c>
      <c r="W66" s="88">
        <f t="shared" si="4"/>
        <v>36</v>
      </c>
      <c r="X66" s="88" t="str">
        <f t="shared" si="5"/>
        <v>Escala do pelotão: P4/Alb (indisponível)</v>
      </c>
      <c r="Y66" s="88">
        <f t="shared" si="6"/>
        <v>4</v>
      </c>
    </row>
    <row r="67" spans="1:25" ht="15" customHeight="1" x14ac:dyDescent="0.25">
      <c r="A67" s="86" t="str">
        <f t="shared" si="7"/>
        <v>2040682</v>
      </c>
      <c r="B67" s="87" t="str">
        <f t="shared" si="8"/>
        <v>Dário Gonçalo Farçadas Ruivo</v>
      </c>
      <c r="C67" s="87" t="str">
        <f t="shared" si="9"/>
        <v>Cabo</v>
      </c>
      <c r="D67" s="87" t="str">
        <f t="shared" si="10"/>
        <v>2.ª Companhia</v>
      </c>
      <c r="E67" s="87" t="str">
        <f t="shared" si="11"/>
        <v>6.º Pelotão</v>
      </c>
      <c r="F67" s="87" t="str">
        <f t="shared" si="12"/>
        <v>CAR</v>
      </c>
      <c r="G67" s="86" t="str">
        <f t="shared" si="13"/>
        <v>NÃO</v>
      </c>
      <c r="H67" s="87" t="str">
        <f t="shared" si="14"/>
        <v>Escala do pelotão: CAR (indisponível)</v>
      </c>
      <c r="K67" s="88" t="str">
        <f>'[1]Capacidade UAS-CUAS'!E63</f>
        <v>2140147</v>
      </c>
      <c r="L67" s="88" t="str">
        <f>'[1]Capacidade UAS-CUAS'!F63</f>
        <v>Fábio Emanuel Morgado Gomes</v>
      </c>
      <c r="M67" s="88" t="str">
        <f>'[1]Capacidade UAS-CUAS'!D63</f>
        <v>1º Sarg.</v>
      </c>
      <c r="N67" s="88" t="str">
        <f>'[1]Capacidade UAS-CUAS'!B63</f>
        <v>3.ª Companhia</v>
      </c>
      <c r="O67" s="88" t="str">
        <f>'[1]Capacidade UAS-CUAS'!C63</f>
        <v>8.º Pelotão</v>
      </c>
      <c r="P67" s="88" t="str">
        <f t="shared" si="0"/>
        <v>8º</v>
      </c>
      <c r="Q67" s="88" t="str">
        <f>IF(P67="","",IFERROR(INDEX(EscalaPelotoes!$B$3:$N$4481,MATCH($B$3,EscalaPelotoes!$A$3:$A$4481,0),MATCH(P67,EscalaPelotoes!$B$2:$N$2,0)),""))</f>
        <v>P2/Folga</v>
      </c>
      <c r="R67" s="88" t="b">
        <f t="shared" si="1"/>
        <v>0</v>
      </c>
      <c r="S67" s="88" t="b">
        <f>IF(O67="—",FALSE(),SUMPRODUCT(--(TEXT([1]Serviços!$B$4:$B$400,"0")=TEXT(K67,"0")),--([1]Serviços!$A$4:$A$400=$B$3))&gt;0)</f>
        <v>0</v>
      </c>
      <c r="T67" s="88" t="b">
        <f t="shared" si="2"/>
        <v>0</v>
      </c>
      <c r="U67" s="88">
        <f t="shared" si="3"/>
        <v>2</v>
      </c>
      <c r="V67" s="88">
        <f>ROW()</f>
        <v>67</v>
      </c>
      <c r="W67" s="88">
        <f t="shared" si="4"/>
        <v>47</v>
      </c>
      <c r="X67" s="88" t="str">
        <f t="shared" si="5"/>
        <v>Escala do pelotão: P2/Folga (indisponível)</v>
      </c>
      <c r="Y67" s="88">
        <f t="shared" si="6"/>
        <v>2</v>
      </c>
    </row>
    <row r="68" spans="1:25" ht="15" customHeight="1" x14ac:dyDescent="0.25">
      <c r="A68" s="86" t="str">
        <f t="shared" si="7"/>
        <v>2070759</v>
      </c>
      <c r="B68" s="87" t="str">
        <f t="shared" si="8"/>
        <v>David Filipe Monteiro Pereira</v>
      </c>
      <c r="C68" s="87" t="str">
        <f t="shared" si="9"/>
        <v>Cabo</v>
      </c>
      <c r="D68" s="87" t="str">
        <f t="shared" si="10"/>
        <v>2.ª Companhia</v>
      </c>
      <c r="E68" s="87" t="str">
        <f t="shared" si="11"/>
        <v>5.º Pelotão</v>
      </c>
      <c r="F68" s="87" t="str">
        <f t="shared" si="12"/>
        <v>PV</v>
      </c>
      <c r="G68" s="86" t="str">
        <f t="shared" si="13"/>
        <v>NÃO</v>
      </c>
      <c r="H68" s="87" t="str">
        <f t="shared" si="14"/>
        <v>Escala do pelotão: PV (indisponível)</v>
      </c>
      <c r="K68" s="88">
        <f>'[1]Capacidade UAS-CUAS'!E64</f>
        <v>2030055</v>
      </c>
      <c r="L68" s="88" t="str">
        <f>'[1]Capacidade UAS-CUAS'!F64</f>
        <v>Victor Emanuel Cortinhas de Sousa Rosa</v>
      </c>
      <c r="M68" s="88" t="str">
        <f>'[1]Capacidade UAS-CUAS'!D64</f>
        <v>Cabo</v>
      </c>
      <c r="N68" s="88" t="str">
        <f>'[1]Capacidade UAS-CUAS'!B64</f>
        <v>3.ª Companhia</v>
      </c>
      <c r="O68" s="88" t="str">
        <f>'[1]Capacidade UAS-CUAS'!C64</f>
        <v>8.º Pelotão</v>
      </c>
      <c r="P68" s="88" t="str">
        <f t="shared" si="0"/>
        <v>8º</v>
      </c>
      <c r="Q68" s="88" t="str">
        <f>IF(P68="","",IFERROR(INDEX(EscalaPelotoes!$B$3:$N$4481,MATCH($B$3,EscalaPelotoes!$A$3:$A$4481,0),MATCH(P68,EscalaPelotoes!$B$2:$N$2,0)),""))</f>
        <v>P2/Folga</v>
      </c>
      <c r="R68" s="88" t="b">
        <f t="shared" si="1"/>
        <v>0</v>
      </c>
      <c r="S68" s="88" t="b">
        <f>IF(O68="—",FALSE(),SUMPRODUCT(--(TEXT([1]Serviços!$B$4:$B$400,"0")=TEXT(K68,"0")),--([1]Serviços!$A$4:$A$400=$B$3))&gt;0)</f>
        <v>0</v>
      </c>
      <c r="T68" s="88" t="b">
        <f t="shared" si="2"/>
        <v>0</v>
      </c>
      <c r="U68" s="88">
        <f t="shared" si="3"/>
        <v>2</v>
      </c>
      <c r="V68" s="88">
        <f>ROW()</f>
        <v>68</v>
      </c>
      <c r="W68" s="88">
        <f t="shared" si="4"/>
        <v>53</v>
      </c>
      <c r="X68" s="88" t="str">
        <f t="shared" si="5"/>
        <v>Escala do pelotão: P2/Folga (indisponível)</v>
      </c>
      <c r="Y68" s="88">
        <f t="shared" si="6"/>
        <v>2</v>
      </c>
    </row>
    <row r="69" spans="1:25" ht="15" customHeight="1" x14ac:dyDescent="0.25">
      <c r="A69" s="86">
        <f t="shared" si="7"/>
        <v>2090305</v>
      </c>
      <c r="B69" s="87" t="str">
        <f t="shared" si="8"/>
        <v>Fabio Emanuel Marques Antunes</v>
      </c>
      <c r="C69" s="87" t="str">
        <f t="shared" si="9"/>
        <v>1º Sarg.</v>
      </c>
      <c r="D69" s="87" t="str">
        <f t="shared" si="10"/>
        <v>2.ª Companhia</v>
      </c>
      <c r="E69" s="87" t="str">
        <f t="shared" si="11"/>
        <v>6.º Pelotão</v>
      </c>
      <c r="F69" s="87" t="str">
        <f t="shared" si="12"/>
        <v>CAR</v>
      </c>
      <c r="G69" s="86" t="str">
        <f t="shared" si="13"/>
        <v>NÃO</v>
      </c>
      <c r="H69" s="87" t="str">
        <f t="shared" si="14"/>
        <v>Escala do pelotão: CAR (indisponível)</v>
      </c>
      <c r="K69" s="88" t="str">
        <f>'[1]Capacidade UAS-CUAS'!E65</f>
        <v>2060268</v>
      </c>
      <c r="L69" s="88" t="str">
        <f>'[1]Capacidade UAS-CUAS'!F65</f>
        <v>Paulo Miguel Pereira dos Santos</v>
      </c>
      <c r="M69" s="88" t="str">
        <f>'[1]Capacidade UAS-CUAS'!D65</f>
        <v>Cabo</v>
      </c>
      <c r="N69" s="88" t="str">
        <f>'[1]Capacidade UAS-CUAS'!B65</f>
        <v>3.ª Companhia</v>
      </c>
      <c r="O69" s="88" t="str">
        <f>'[1]Capacidade UAS-CUAS'!C65</f>
        <v>8.º Pelotão</v>
      </c>
      <c r="P69" s="88" t="str">
        <f t="shared" si="0"/>
        <v>8º</v>
      </c>
      <c r="Q69" s="88" t="str">
        <f>IF(P69="","",IFERROR(INDEX(EscalaPelotoes!$B$3:$N$4481,MATCH($B$3,EscalaPelotoes!$A$3:$A$4481,0),MATCH(P69,EscalaPelotoes!$B$2:$N$2,0)),""))</f>
        <v>P2/Folga</v>
      </c>
      <c r="R69" s="88" t="b">
        <f t="shared" si="1"/>
        <v>0</v>
      </c>
      <c r="S69" s="88" t="b">
        <f>IF(O69="—",FALSE(),SUMPRODUCT(--(TEXT([1]Serviços!$B$4:$B$400,"0")=TEXT(K69,"0")),--([1]Serviços!$A$4:$A$400=$B$3))&gt;0)</f>
        <v>0</v>
      </c>
      <c r="T69" s="88" t="b">
        <f t="shared" si="2"/>
        <v>0</v>
      </c>
      <c r="U69" s="88">
        <f t="shared" si="3"/>
        <v>2</v>
      </c>
      <c r="V69" s="88">
        <f>ROW()</f>
        <v>69</v>
      </c>
      <c r="W69" s="88">
        <f t="shared" si="4"/>
        <v>52</v>
      </c>
      <c r="X69" s="88" t="str">
        <f t="shared" si="5"/>
        <v>Escala do pelotão: P2/Folga (indisponível)</v>
      </c>
      <c r="Y69" s="88">
        <f t="shared" si="6"/>
        <v>2</v>
      </c>
    </row>
    <row r="70" spans="1:25" ht="15" customHeight="1" x14ac:dyDescent="0.25">
      <c r="A70" s="86" t="str">
        <f t="shared" si="7"/>
        <v>2140080</v>
      </c>
      <c r="B70" s="87" t="str">
        <f t="shared" si="8"/>
        <v>Filipe Pimenta da Silva Rodrigues Vaquinhas Pereira de Melo</v>
      </c>
      <c r="C70" s="87" t="str">
        <f t="shared" si="9"/>
        <v>Grd Pr</v>
      </c>
      <c r="D70" s="87" t="str">
        <f t="shared" si="10"/>
        <v>1.ª Companhia</v>
      </c>
      <c r="E70" s="87" t="str">
        <f t="shared" si="11"/>
        <v>2.º Pelotão</v>
      </c>
      <c r="F70" s="87" t="str">
        <f t="shared" si="12"/>
        <v>CAR</v>
      </c>
      <c r="G70" s="86" t="str">
        <f t="shared" si="13"/>
        <v>NÃO</v>
      </c>
      <c r="H70" s="87" t="str">
        <f t="shared" si="14"/>
        <v>Escala do pelotão: CAR (indisponível)</v>
      </c>
      <c r="K70" s="88">
        <f>'[1]Capacidade UAS-CUAS'!E66</f>
        <v>2140751</v>
      </c>
      <c r="L70" s="88" t="str">
        <f>'[1]Capacidade UAS-CUAS'!F66</f>
        <v>Fábio Manuel Monteiro Antunes</v>
      </c>
      <c r="M70" s="88" t="str">
        <f>'[1]Capacidade UAS-CUAS'!D66</f>
        <v>Grd Pr</v>
      </c>
      <c r="N70" s="88" t="str">
        <f>'[1]Capacidade UAS-CUAS'!B66</f>
        <v>3.ª Companhia</v>
      </c>
      <c r="O70" s="88" t="str">
        <f>'[1]Capacidade UAS-CUAS'!C66</f>
        <v>8.º Pelotão</v>
      </c>
      <c r="P70" s="88" t="str">
        <f t="shared" si="0"/>
        <v>8º</v>
      </c>
      <c r="Q70" s="88" t="str">
        <f>IF(P70="","",IFERROR(INDEX(EscalaPelotoes!$B$3:$N$4481,MATCH($B$3,EscalaPelotoes!$A$3:$A$4481,0),MATCH(P70,EscalaPelotoes!$B$2:$N$2,0)),""))</f>
        <v>P2/Folga</v>
      </c>
      <c r="R70" s="88" t="b">
        <f t="shared" si="1"/>
        <v>0</v>
      </c>
      <c r="S70" s="88" t="b">
        <f>IF(O70="—",FALSE(),SUMPRODUCT(--(TEXT([1]Serviços!$B$4:$B$400,"0")=TEXT(K70,"0")),--([1]Serviços!$A$4:$A$400=$B$3))&gt;0)</f>
        <v>0</v>
      </c>
      <c r="T70" s="88" t="b">
        <f t="shared" si="2"/>
        <v>0</v>
      </c>
      <c r="U70" s="88">
        <f t="shared" si="3"/>
        <v>2</v>
      </c>
      <c r="V70" s="88">
        <f>ROW()</f>
        <v>70</v>
      </c>
      <c r="W70" s="88">
        <f t="shared" si="4"/>
        <v>48</v>
      </c>
      <c r="X70" s="88" t="str">
        <f t="shared" si="5"/>
        <v>Escala do pelotão: P2/Folga (indisponível)</v>
      </c>
      <c r="Y70" s="88">
        <f t="shared" si="6"/>
        <v>2</v>
      </c>
    </row>
    <row r="71" spans="1:25" ht="15" customHeight="1" x14ac:dyDescent="0.25">
      <c r="A71" s="86" t="str">
        <f t="shared" si="7"/>
        <v>2030636</v>
      </c>
      <c r="B71" s="87" t="str">
        <f t="shared" si="8"/>
        <v>Francisco João Alves Silvestre</v>
      </c>
      <c r="C71" s="87" t="str">
        <f t="shared" si="9"/>
        <v>Cabo</v>
      </c>
      <c r="D71" s="87" t="str">
        <f t="shared" si="10"/>
        <v>1.ª Companhia</v>
      </c>
      <c r="E71" s="87" t="str">
        <f t="shared" si="11"/>
        <v>2.º Pelotão</v>
      </c>
      <c r="F71" s="87" t="str">
        <f t="shared" si="12"/>
        <v>CAR</v>
      </c>
      <c r="G71" s="86" t="str">
        <f t="shared" si="13"/>
        <v>NÃO</v>
      </c>
      <c r="H71" s="87" t="str">
        <f t="shared" si="14"/>
        <v>Escala do pelotão: CAR (indisponível)</v>
      </c>
      <c r="K71" s="88">
        <f>'[1]Capacidade UAS-CUAS'!E67</f>
        <v>2140884</v>
      </c>
      <c r="L71" s="88" t="str">
        <f>'[1]Capacidade UAS-CUAS'!F67</f>
        <v>Mário Jorge Esteves Aparício</v>
      </c>
      <c r="M71" s="88" t="str">
        <f>'[1]Capacidade UAS-CUAS'!D67</f>
        <v>Grd Pr</v>
      </c>
      <c r="N71" s="88" t="str">
        <f>'[1]Capacidade UAS-CUAS'!B67</f>
        <v>3.ª Companhia</v>
      </c>
      <c r="O71" s="88" t="str">
        <f>'[1]Capacidade UAS-CUAS'!C67</f>
        <v>8.º Pelotão</v>
      </c>
      <c r="P71" s="88" t="str">
        <f t="shared" si="0"/>
        <v>8º</v>
      </c>
      <c r="Q71" s="88" t="str">
        <f>IF(P71="","",IFERROR(INDEX(EscalaPelotoes!$B$3:$N$4481,MATCH($B$3,EscalaPelotoes!$A$3:$A$4481,0),MATCH(P71,EscalaPelotoes!$B$2:$N$2,0)),""))</f>
        <v>P2/Folga</v>
      </c>
      <c r="R71" s="88" t="b">
        <f t="shared" si="1"/>
        <v>0</v>
      </c>
      <c r="S71" s="88" t="b">
        <f>IF(O71="—",FALSE(),SUMPRODUCT(--(TEXT([1]Serviços!$B$4:$B$400,"0")=TEXT(K71,"0")),--([1]Serviços!$A$4:$A$400=$B$3))&gt;0)</f>
        <v>0</v>
      </c>
      <c r="T71" s="88" t="b">
        <f t="shared" si="2"/>
        <v>0</v>
      </c>
      <c r="U71" s="88">
        <f t="shared" si="3"/>
        <v>2</v>
      </c>
      <c r="V71" s="88">
        <f>ROW()</f>
        <v>71</v>
      </c>
      <c r="W71" s="88">
        <f t="shared" si="4"/>
        <v>51</v>
      </c>
      <c r="X71" s="88" t="str">
        <f t="shared" si="5"/>
        <v>Escala do pelotão: P2/Folga (indisponível)</v>
      </c>
      <c r="Y71" s="88">
        <f t="shared" si="6"/>
        <v>2</v>
      </c>
    </row>
    <row r="72" spans="1:25" ht="15" customHeight="1" x14ac:dyDescent="0.25">
      <c r="A72" s="86">
        <f t="shared" si="7"/>
        <v>2210169</v>
      </c>
      <c r="B72" s="87" t="str">
        <f t="shared" si="8"/>
        <v>Gonçalo Filipe Sousa Ferreira</v>
      </c>
      <c r="C72" s="87" t="str">
        <f t="shared" si="9"/>
        <v>Grd</v>
      </c>
      <c r="D72" s="87" t="str">
        <f t="shared" si="10"/>
        <v>2.ª Companhia</v>
      </c>
      <c r="E72" s="87" t="str">
        <f t="shared" si="11"/>
        <v>6.º Pelotão</v>
      </c>
      <c r="F72" s="87" t="str">
        <f t="shared" si="12"/>
        <v>CAR</v>
      </c>
      <c r="G72" s="86" t="str">
        <f t="shared" si="13"/>
        <v>NÃO</v>
      </c>
      <c r="H72" s="87" t="str">
        <f t="shared" si="14"/>
        <v>Escala do pelotão: CAR (indisponível)</v>
      </c>
      <c r="K72" s="88">
        <f>'[1]Capacidade UAS-CUAS'!E68</f>
        <v>2150206</v>
      </c>
      <c r="L72" s="88" t="str">
        <f>'[1]Capacidade UAS-CUAS'!F68</f>
        <v>Flávio João Mota Jorge</v>
      </c>
      <c r="M72" s="88" t="str">
        <f>'[1]Capacidade UAS-CUAS'!D68</f>
        <v>Grd Pr</v>
      </c>
      <c r="N72" s="88" t="str">
        <f>'[1]Capacidade UAS-CUAS'!B68</f>
        <v>3.ª Companhia</v>
      </c>
      <c r="O72" s="88" t="str">
        <f>'[1]Capacidade UAS-CUAS'!C68</f>
        <v>8.º Pelotão</v>
      </c>
      <c r="P72" s="88" t="str">
        <f t="shared" ref="P72:P83" si="15">IF(O72="—","",LEFT(O72,FIND(".",O72)-1)&amp;"º")</f>
        <v>8º</v>
      </c>
      <c r="Q72" s="88" t="str">
        <f>IF(P72="","",IFERROR(INDEX(EscalaPelotoes!$B$3:$N$4481,MATCH($B$3,EscalaPelotoes!$A$3:$A$4481,0),MATCH(P72,EscalaPelotoes!$B$2:$N$2,0)),""))</f>
        <v>P2/Folga</v>
      </c>
      <c r="R72" s="88" t="b">
        <f t="shared" ref="R72:R83" si="16">IF(O72="—",TRUE(),IF(Q72="",FALSE(),AND(LEFT(Q72,1)="P",ISNUMBER(VALUE(MID(Q72,2,LEN(Q72)-1))))))</f>
        <v>0</v>
      </c>
      <c r="S72" s="88" t="b">
        <f>IF(O72="—",FALSE(),SUMPRODUCT(--(TEXT([1]Serviços!$B$4:$B$400,"0")=TEXT(K72,"0")),--([1]Serviços!$A$4:$A$400=$B$3))&gt;0)</f>
        <v>0</v>
      </c>
      <c r="T72" s="88" t="b">
        <f t="shared" ref="T72:T83" si="17">IF(O72="—",TRUE(),AND(R72,NOT(S72)))</f>
        <v>0</v>
      </c>
      <c r="U72" s="88">
        <f t="shared" ref="U72:U83" si="18">IF(O72="—",0,IF(T72,1,2))</f>
        <v>2</v>
      </c>
      <c r="V72" s="88">
        <f>ROW()</f>
        <v>72</v>
      </c>
      <c r="W72" s="88">
        <f t="shared" ref="W72:W83" si="19">COUNTIFS($U$8:$U$83,"&lt;"&amp;U72)+COUNTIFS($U$8:$U$83,U72,$Y$8:$Y$83,"&gt;"&amp;Y72)+COUNTIFS($U$8:$U$83,U72,$Y$8:$Y$83,Y72,$L$8:$L$83,"&lt;"&amp;L72)+COUNTIFS($U$8:$U$83,U72,$Y$8:$Y$83,Y72,$L$8:$L$83,L72,$V$8:$V$83,"&lt;"&amp;V72)+1</f>
        <v>49</v>
      </c>
      <c r="X72" s="88" t="str">
        <f t="shared" ref="X72:X83" si="20">IF(O72="—","Não pertence a companhia operacional — disponível por defeito",IF(Q72="","Sem dados de escala para esta data",IF(S72,"Já tem serviço UAS/C-UAS marcado neste dia",IF(T72,"Escala do pelotão: "&amp;Q72&amp;" (disponível)","Escala do pelotão: "&amp;Q72&amp;" (indisponível)"))))</f>
        <v>Escala do pelotão: P2/Folga (indisponível)</v>
      </c>
      <c r="Y72" s="88">
        <f t="shared" ref="Y72:Y83" si="21">IF(O72="—",0,IFERROR(VALUE(MID(Q72,2,1)),0))</f>
        <v>2</v>
      </c>
    </row>
    <row r="73" spans="1:25" ht="15" customHeight="1" x14ac:dyDescent="0.25">
      <c r="A73" s="86">
        <f t="shared" ref="A73" si="22">INDEX($K$8:$K$4133,MATCH(ROW()-7,$W$8:$W$4133,0))</f>
        <v>2100421</v>
      </c>
      <c r="B73" s="87" t="str">
        <f t="shared" ref="B73" si="23">INDEX($L$8:$L$4133,MATCH(ROW()-7,$W$8:$W$4133,0))</f>
        <v>Jacinto Manuel Farinho Neves</v>
      </c>
      <c r="C73" s="87" t="str">
        <f t="shared" ref="C73" si="24">INDEX($M$8:$M$4133,MATCH(ROW()-7,$W$8:$W$4133,0))</f>
        <v>Grd Pr</v>
      </c>
      <c r="D73" s="87" t="str">
        <f t="shared" ref="D73" si="25">INDEX($N$8:$N$4133,MATCH(ROW()-7,$W$8:$W$4133,0))</f>
        <v>1.ª Companhia</v>
      </c>
      <c r="E73" s="87" t="str">
        <f t="shared" ref="E73" si="26">INDEX($O$8:$O$4133,MATCH(ROW()-7,$W$8:$W$4133,0))</f>
        <v>2.º Pelotão</v>
      </c>
      <c r="F73" s="87" t="str">
        <f t="shared" ref="F73" si="27">INDEX($Q$8:$Q$4133,MATCH(ROW()-7,$W$8:$W$4133,0))</f>
        <v>CAR</v>
      </c>
      <c r="G73" s="86" t="str">
        <f t="shared" ref="G73" si="28">IF(INDEX($T$8:$T$4133,MATCH(ROW()-7,$W$8:$W$4133,0)),"SIM","NÃO")</f>
        <v>NÃO</v>
      </c>
      <c r="H73" s="87" t="str">
        <f t="shared" ref="H73" si="29">INDEX($X$8:$X$4133,MATCH(ROW()-7,$W$8:$W$4133,0))</f>
        <v>Escala do pelotão: CAR (indisponível)</v>
      </c>
      <c r="K73" s="88">
        <f>'[1]Capacidade UAS-CUAS'!E69</f>
        <v>2211470</v>
      </c>
      <c r="L73" s="88" t="str">
        <f>'[1]Capacidade UAS-CUAS'!F69</f>
        <v>João Pedro Tomaz Lourenço</v>
      </c>
      <c r="M73" s="88" t="str">
        <f>'[1]Capacidade UAS-CUAS'!D69</f>
        <v>Grd</v>
      </c>
      <c r="N73" s="88" t="str">
        <f>'[1]Capacidade UAS-CUAS'!B69</f>
        <v>3.ª Companhia</v>
      </c>
      <c r="O73" s="88" t="str">
        <f>'[1]Capacidade UAS-CUAS'!C69</f>
        <v>8.º Pelotão</v>
      </c>
      <c r="P73" s="88" t="str">
        <f t="shared" si="15"/>
        <v>8º</v>
      </c>
      <c r="Q73" s="88" t="str">
        <f>IF(P73="","",IFERROR(INDEX(EscalaPelotoes!$B$3:$N$4481,MATCH($B$3,EscalaPelotoes!$A$3:$A$4481,0),MATCH(P73,EscalaPelotoes!$B$2:$N$2,0)),""))</f>
        <v>P2/Folga</v>
      </c>
      <c r="R73" s="88" t="b">
        <f t="shared" si="16"/>
        <v>0</v>
      </c>
      <c r="S73" s="88" t="b">
        <f>IF(O73="—",FALSE(),SUMPRODUCT(--(TEXT([1]Serviços!$B$4:$B$400,"0")=TEXT(K73,"0")),--([1]Serviços!$A$4:$A$400=$B$3))&gt;0)</f>
        <v>0</v>
      </c>
      <c r="T73" s="88" t="b">
        <f t="shared" si="17"/>
        <v>0</v>
      </c>
      <c r="U73" s="88">
        <f t="shared" si="18"/>
        <v>2</v>
      </c>
      <c r="V73" s="88">
        <f>ROW()</f>
        <v>73</v>
      </c>
      <c r="W73" s="88">
        <f t="shared" si="19"/>
        <v>50</v>
      </c>
      <c r="X73" s="88" t="str">
        <f t="shared" si="20"/>
        <v>Escala do pelotão: P2/Folga (indisponível)</v>
      </c>
      <c r="Y73" s="88">
        <f t="shared" si="21"/>
        <v>2</v>
      </c>
    </row>
    <row r="74" spans="1:25" ht="15" customHeight="1" x14ac:dyDescent="0.25">
      <c r="A74" s="86">
        <f>INDEX($K$8:$K$4133,MATCH(ROW()-7,$W$8:$W$4133,0))</f>
        <v>2220821</v>
      </c>
      <c r="B74" s="87" t="str">
        <f>INDEX($L$8:$L$4133,MATCH(ROW()-7,$W$8:$W$4133,0))</f>
        <v>João Carlos Pereira Nunes</v>
      </c>
      <c r="C74" s="87" t="str">
        <f>INDEX($M$8:$M$4133,MATCH(ROW()-7,$W$8:$W$4133,0))</f>
        <v>Grd</v>
      </c>
      <c r="D74" s="87" t="str">
        <f>INDEX($N$8:$N$4133,MATCH(ROW()-7,$W$8:$W$4133,0))</f>
        <v>2.ª Companhia</v>
      </c>
      <c r="E74" s="87" t="str">
        <f>INDEX($O$8:$O$4133,MATCH(ROW()-7,$W$8:$W$4133,0))</f>
        <v>5.º Pelotão</v>
      </c>
      <c r="F74" s="87" t="str">
        <f>INDEX($Q$8:$Q$4133,MATCH(ROW()-7,$W$8:$W$4133,0))</f>
        <v>PV</v>
      </c>
      <c r="G74" s="86" t="str">
        <f>IF(INDEX($T$8:$T$4133,MATCH(ROW()-7,$W$8:$W$4133,0)),"SIM","NÃO")</f>
        <v>NÃO</v>
      </c>
      <c r="H74" s="87" t="str">
        <f>INDEX($X$8:$X$4133,MATCH(ROW()-7,$W$8:$W$4133,0))</f>
        <v>Escala do pelotão: PV (indisponível)</v>
      </c>
      <c r="K74" s="88" t="str">
        <f>'[1]Capacidade UAS-CUAS'!E70</f>
        <v>2140655</v>
      </c>
      <c r="L74" s="88" t="str">
        <f>'[1]Capacidade UAS-CUAS'!F70</f>
        <v>Bruno Alexandre Marques Ferreira</v>
      </c>
      <c r="M74" s="88" t="str">
        <f>'[1]Capacidade UAS-CUAS'!D70</f>
        <v>2º Sarg.</v>
      </c>
      <c r="N74" s="88" t="str">
        <f>'[1]Capacidade UAS-CUAS'!B70</f>
        <v>3.ª Companhia</v>
      </c>
      <c r="O74" s="88" t="str">
        <f>'[1]Capacidade UAS-CUAS'!C70</f>
        <v>9.º Pelotão</v>
      </c>
      <c r="P74" s="88" t="str">
        <f t="shared" si="15"/>
        <v>9º</v>
      </c>
      <c r="Q74" s="88" t="str">
        <f>IF(P74="","",IFERROR(INDEX(EscalaPelotoes!$B$3:$N$4481,MATCH($B$3,EscalaPelotoes!$A$3:$A$4481,0),MATCH(P74,EscalaPelotoes!$B$2:$N$2,0)),""))</f>
        <v>P3/Vlm</v>
      </c>
      <c r="R74" s="88" t="b">
        <f t="shared" si="16"/>
        <v>0</v>
      </c>
      <c r="S74" s="88" t="b">
        <f>IF(O74="—",FALSE(),SUMPRODUCT(--(TEXT([1]Serviços!$B$4:$B$400,"0")=TEXT(K74,"0")),--([1]Serviços!$A$4:$A$400=$B$3))&gt;0)</f>
        <v>0</v>
      </c>
      <c r="T74" s="88" t="b">
        <f t="shared" si="17"/>
        <v>0</v>
      </c>
      <c r="U74" s="88">
        <f t="shared" si="18"/>
        <v>2</v>
      </c>
      <c r="V74" s="88">
        <f>ROW()</f>
        <v>74</v>
      </c>
      <c r="W74" s="88">
        <f t="shared" si="19"/>
        <v>44</v>
      </c>
      <c r="X74" s="88" t="str">
        <f t="shared" si="20"/>
        <v>Escala do pelotão: P3/Vlm (indisponível)</v>
      </c>
      <c r="Y74" s="88">
        <f t="shared" si="21"/>
        <v>3</v>
      </c>
    </row>
    <row r="75" spans="1:25" ht="15" customHeight="1" x14ac:dyDescent="0.25">
      <c r="A75" s="86">
        <f t="shared" ref="A75:A83" si="30">INDEX($K$8:$K$4133,MATCH(ROW()-7,$W$8:$W$4133,0))</f>
        <v>2150448</v>
      </c>
      <c r="B75" s="87" t="str">
        <f t="shared" ref="B75:B83" si="31">INDEX($L$8:$L$4133,MATCH(ROW()-7,$W$8:$W$4133,0))</f>
        <v>João Maria Domingos Henriques</v>
      </c>
      <c r="C75" s="87" t="str">
        <f t="shared" ref="C75:C83" si="32">INDEX($M$8:$M$4133,MATCH(ROW()-7,$W$8:$W$4133,0))</f>
        <v>1º Sarg.</v>
      </c>
      <c r="D75" s="87" t="str">
        <f t="shared" ref="D75:D83" si="33">INDEX($N$8:$N$4133,MATCH(ROW()-7,$W$8:$W$4133,0))</f>
        <v>2.ª Companhia</v>
      </c>
      <c r="E75" s="87" t="str">
        <f t="shared" ref="E75:E83" si="34">INDEX($O$8:$O$4133,MATCH(ROW()-7,$W$8:$W$4133,0))</f>
        <v>5.º Pelotão</v>
      </c>
      <c r="F75" s="87" t="str">
        <f t="shared" ref="F75:F83" si="35">INDEX($Q$8:$Q$4133,MATCH(ROW()-7,$W$8:$W$4133,0))</f>
        <v>PV</v>
      </c>
      <c r="G75" s="86" t="str">
        <f t="shared" ref="G75:G83" si="36">IF(INDEX($T$8:$T$4133,MATCH(ROW()-7,$W$8:$W$4133,0)),"SIM","NÃO")</f>
        <v>NÃO</v>
      </c>
      <c r="H75" s="87" t="str">
        <f t="shared" ref="H75:H83" si="37">INDEX($X$8:$X$4133,MATCH(ROW()-7,$W$8:$W$4133,0))</f>
        <v>Escala do pelotão: PV (indisponível)</v>
      </c>
      <c r="K75" s="88" t="str">
        <f>'[1]Capacidade UAS-CUAS'!E71</f>
        <v>2030236</v>
      </c>
      <c r="L75" s="88" t="str">
        <f>'[1]Capacidade UAS-CUAS'!F71</f>
        <v>André Gouveia da Rocha</v>
      </c>
      <c r="M75" s="88" t="str">
        <f>'[1]Capacidade UAS-CUAS'!D71</f>
        <v>Cabo</v>
      </c>
      <c r="N75" s="88" t="str">
        <f>'[1]Capacidade UAS-CUAS'!B71</f>
        <v>3.ª Companhia</v>
      </c>
      <c r="O75" s="88" t="str">
        <f>'[1]Capacidade UAS-CUAS'!C71</f>
        <v>9.º Pelotão</v>
      </c>
      <c r="P75" s="88" t="str">
        <f t="shared" si="15"/>
        <v>9º</v>
      </c>
      <c r="Q75" s="88" t="str">
        <f>IF(P75="","",IFERROR(INDEX(EscalaPelotoes!$B$3:$N$4481,MATCH($B$3,EscalaPelotoes!$A$3:$A$4481,0),MATCH(P75,EscalaPelotoes!$B$2:$N$2,0)),""))</f>
        <v>P3/Vlm</v>
      </c>
      <c r="R75" s="88" t="b">
        <f t="shared" si="16"/>
        <v>0</v>
      </c>
      <c r="S75" s="88" t="b">
        <f>IF(O75="—",FALSE(),SUMPRODUCT(--(TEXT([1]Serviços!$B$4:$B$400,"0")=TEXT(K75,"0")),--([1]Serviços!$A$4:$A$400=$B$3))&gt;0)</f>
        <v>0</v>
      </c>
      <c r="T75" s="88" t="b">
        <f t="shared" si="17"/>
        <v>0</v>
      </c>
      <c r="U75" s="88">
        <f t="shared" si="18"/>
        <v>2</v>
      </c>
      <c r="V75" s="88">
        <f>ROW()</f>
        <v>75</v>
      </c>
      <c r="W75" s="88">
        <f t="shared" si="19"/>
        <v>43</v>
      </c>
      <c r="X75" s="88" t="str">
        <f t="shared" si="20"/>
        <v>Escala do pelotão: P3/Vlm (indisponível)</v>
      </c>
      <c r="Y75" s="88">
        <f t="shared" si="21"/>
        <v>3</v>
      </c>
    </row>
    <row r="76" spans="1:25" ht="15" customHeight="1" x14ac:dyDescent="0.25">
      <c r="A76" s="86">
        <f t="shared" si="30"/>
        <v>2040406</v>
      </c>
      <c r="B76" s="87" t="str">
        <f t="shared" si="31"/>
        <v>José Alfredo Trigo Lorga</v>
      </c>
      <c r="C76" s="87" t="str">
        <f t="shared" si="32"/>
        <v>Cabo</v>
      </c>
      <c r="D76" s="87" t="str">
        <f t="shared" si="33"/>
        <v>2.ª Companhia</v>
      </c>
      <c r="E76" s="87" t="str">
        <f t="shared" si="34"/>
        <v>6.º Pelotão</v>
      </c>
      <c r="F76" s="87" t="str">
        <f t="shared" si="35"/>
        <v>CAR</v>
      </c>
      <c r="G76" s="86" t="str">
        <f t="shared" si="36"/>
        <v>NÃO</v>
      </c>
      <c r="H76" s="87" t="str">
        <f t="shared" si="37"/>
        <v>Escala do pelotão: CAR (indisponível)</v>
      </c>
      <c r="K76" s="88">
        <f>'[1]Capacidade UAS-CUAS'!E72</f>
        <v>2060261</v>
      </c>
      <c r="L76" s="88" t="str">
        <f>'[1]Capacidade UAS-CUAS'!F72</f>
        <v>João Filipe Germano Mendes</v>
      </c>
      <c r="M76" s="88" t="str">
        <f>'[1]Capacidade UAS-CUAS'!D72</f>
        <v>Cabo</v>
      </c>
      <c r="N76" s="88" t="str">
        <f>'[1]Capacidade UAS-CUAS'!B72</f>
        <v>3.ª Companhia</v>
      </c>
      <c r="O76" s="88" t="str">
        <f>'[1]Capacidade UAS-CUAS'!C72</f>
        <v>9.º Pelotão</v>
      </c>
      <c r="P76" s="88" t="str">
        <f t="shared" si="15"/>
        <v>9º</v>
      </c>
      <c r="Q76" s="88" t="str">
        <f>IF(P76="","",IFERROR(INDEX(EscalaPelotoes!$B$3:$N$4481,MATCH($B$3,EscalaPelotoes!$A$3:$A$4481,0),MATCH(P76,EscalaPelotoes!$B$2:$N$2,0)),""))</f>
        <v>P3/Vlm</v>
      </c>
      <c r="R76" s="88" t="b">
        <f t="shared" si="16"/>
        <v>0</v>
      </c>
      <c r="S76" s="88" t="b">
        <f>IF(O76="—",FALSE(),SUMPRODUCT(--(TEXT([1]Serviços!$B$4:$B$400,"0")=TEXT(K76,"0")),--([1]Serviços!$A$4:$A$400=$B$3))&gt;0)</f>
        <v>0</v>
      </c>
      <c r="T76" s="88" t="b">
        <f t="shared" si="17"/>
        <v>0</v>
      </c>
      <c r="U76" s="88">
        <f t="shared" si="18"/>
        <v>2</v>
      </c>
      <c r="V76" s="88">
        <f>ROW()</f>
        <v>76</v>
      </c>
      <c r="W76" s="88">
        <f t="shared" si="19"/>
        <v>46</v>
      </c>
      <c r="X76" s="88" t="str">
        <f t="shared" si="20"/>
        <v>Escala do pelotão: P3/Vlm (indisponível)</v>
      </c>
      <c r="Y76" s="88">
        <f t="shared" si="21"/>
        <v>3</v>
      </c>
    </row>
    <row r="77" spans="1:25" ht="15" customHeight="1" x14ac:dyDescent="0.25">
      <c r="A77" s="86" t="str">
        <f t="shared" si="30"/>
        <v>1990783</v>
      </c>
      <c r="B77" s="87" t="str">
        <f t="shared" si="31"/>
        <v>Luís Filipe Sequeira Batista Pombo</v>
      </c>
      <c r="C77" s="87" t="str">
        <f t="shared" si="32"/>
        <v>Cabo</v>
      </c>
      <c r="D77" s="87" t="str">
        <f t="shared" si="33"/>
        <v>2.ª Companhia</v>
      </c>
      <c r="E77" s="87" t="str">
        <f t="shared" si="34"/>
        <v>6.º Pelotão</v>
      </c>
      <c r="F77" s="87" t="str">
        <f t="shared" si="35"/>
        <v>CAR</v>
      </c>
      <c r="G77" s="86" t="str">
        <f t="shared" si="36"/>
        <v>NÃO</v>
      </c>
      <c r="H77" s="87" t="str">
        <f t="shared" si="37"/>
        <v>Escala do pelotão: CAR (indisponível)</v>
      </c>
      <c r="K77" s="88">
        <f>'[1]Capacidade UAS-CUAS'!E73</f>
        <v>2190314</v>
      </c>
      <c r="L77" s="88" t="str">
        <f>'[1]Capacidade UAS-CUAS'!F73</f>
        <v>Carlos Manuel Ribeiro da Silva</v>
      </c>
      <c r="M77" s="88" t="str">
        <f>'[1]Capacidade UAS-CUAS'!D73</f>
        <v>Grd</v>
      </c>
      <c r="N77" s="88" t="str">
        <f>'[1]Capacidade UAS-CUAS'!B73</f>
        <v>3.ª Companhia</v>
      </c>
      <c r="O77" s="88" t="str">
        <f>'[1]Capacidade UAS-CUAS'!C73</f>
        <v>9.º Pelotão</v>
      </c>
      <c r="P77" s="88" t="str">
        <f t="shared" si="15"/>
        <v>9º</v>
      </c>
      <c r="Q77" s="88" t="str">
        <f>IF(P77="","",IFERROR(INDEX(EscalaPelotoes!$B$3:$N$4481,MATCH($B$3,EscalaPelotoes!$A$3:$A$4481,0),MATCH(P77,EscalaPelotoes!$B$2:$N$2,0)),""))</f>
        <v>P3/Vlm</v>
      </c>
      <c r="R77" s="88" t="b">
        <f t="shared" si="16"/>
        <v>0</v>
      </c>
      <c r="S77" s="88" t="b">
        <f>IF(O77="—",FALSE(),SUMPRODUCT(--(TEXT([1]Serviços!$B$4:$B$400,"0")=TEXT(K77,"0")),--([1]Serviços!$A$4:$A$400=$B$3))&gt;0)</f>
        <v>0</v>
      </c>
      <c r="T77" s="88" t="b">
        <f t="shared" si="17"/>
        <v>0</v>
      </c>
      <c r="U77" s="88">
        <f t="shared" si="18"/>
        <v>2</v>
      </c>
      <c r="V77" s="88">
        <f>ROW()</f>
        <v>77</v>
      </c>
      <c r="W77" s="88">
        <f t="shared" si="19"/>
        <v>45</v>
      </c>
      <c r="X77" s="88" t="str">
        <f t="shared" si="20"/>
        <v>Escala do pelotão: P3/Vlm (indisponível)</v>
      </c>
      <c r="Y77" s="88">
        <f t="shared" si="21"/>
        <v>3</v>
      </c>
    </row>
    <row r="78" spans="1:25" ht="15" customHeight="1" x14ac:dyDescent="0.25">
      <c r="A78" s="86" t="str">
        <f t="shared" si="30"/>
        <v>2071255</v>
      </c>
      <c r="B78" s="87" t="str">
        <f t="shared" si="31"/>
        <v>Marco Paulo Pedro Santos</v>
      </c>
      <c r="C78" s="87" t="str">
        <f t="shared" si="32"/>
        <v>Cabo</v>
      </c>
      <c r="D78" s="87" t="str">
        <f t="shared" si="33"/>
        <v>1.ª Companhia</v>
      </c>
      <c r="E78" s="87" t="str">
        <f t="shared" si="34"/>
        <v>2.º Pelotão</v>
      </c>
      <c r="F78" s="87" t="str">
        <f t="shared" si="35"/>
        <v>CAR</v>
      </c>
      <c r="G78" s="86" t="str">
        <f t="shared" si="36"/>
        <v>NÃO</v>
      </c>
      <c r="H78" s="87" t="str">
        <f t="shared" si="37"/>
        <v>Escala do pelotão: CAR (indisponível)</v>
      </c>
      <c r="K78" s="88">
        <f>'[1]Capacidade UAS-CUAS'!E74</f>
        <v>2160072</v>
      </c>
      <c r="L78" s="88" t="str">
        <f>'[1]Capacidade UAS-CUAS'!F74</f>
        <v>Eduardo Luis Nogueira Barbosa</v>
      </c>
      <c r="M78" s="88" t="str">
        <f>'[1]Capacidade UAS-CUAS'!D74</f>
        <v>2º Sarg.</v>
      </c>
      <c r="N78" s="88" t="str">
        <f>'[1]Capacidade UAS-CUAS'!B74</f>
        <v>4.ª Companhia</v>
      </c>
      <c r="O78" s="88" t="str">
        <f>'[1]Capacidade UAS-CUAS'!C74</f>
        <v>10.º Pelotão</v>
      </c>
      <c r="P78" s="88" t="str">
        <f t="shared" si="15"/>
        <v>10º</v>
      </c>
      <c r="Q78" s="88" t="str">
        <f>IF(P78="","",IFERROR(INDEX(EscalaPelotoes!$B$3:$N$4481,MATCH($B$3,EscalaPelotoes!$A$3:$A$4481,0),MATCH(P78,EscalaPelotoes!$B$2:$N$2,0)),""))</f>
        <v>P3</v>
      </c>
      <c r="R78" s="88" t="b">
        <f t="shared" si="16"/>
        <v>1</v>
      </c>
      <c r="S78" s="88" t="b">
        <f>IF(O78="—",FALSE(),SUMPRODUCT(--(TEXT([1]Serviços!$B$4:$B$400,"0")=TEXT(K78,"0")),--([1]Serviços!$A$4:$A$400=$B$3))&gt;0)</f>
        <v>0</v>
      </c>
      <c r="T78" s="88" t="b">
        <f t="shared" si="17"/>
        <v>1</v>
      </c>
      <c r="U78" s="88">
        <f t="shared" si="18"/>
        <v>1</v>
      </c>
      <c r="V78" s="88">
        <f>ROW()</f>
        <v>78</v>
      </c>
      <c r="W78" s="88">
        <f t="shared" si="19"/>
        <v>14</v>
      </c>
      <c r="X78" s="88" t="str">
        <f t="shared" si="20"/>
        <v>Escala do pelotão: P3 (disponível)</v>
      </c>
      <c r="Y78" s="88">
        <f t="shared" si="21"/>
        <v>3</v>
      </c>
    </row>
    <row r="79" spans="1:25" ht="15" customHeight="1" x14ac:dyDescent="0.25">
      <c r="A79" s="86" t="str">
        <f t="shared" si="30"/>
        <v>2070960</v>
      </c>
      <c r="B79" s="87" t="str">
        <f t="shared" si="31"/>
        <v>Nuno Duarte Beira Pires Pereira</v>
      </c>
      <c r="C79" s="87" t="str">
        <f t="shared" si="32"/>
        <v>Cabo</v>
      </c>
      <c r="D79" s="87" t="str">
        <f t="shared" si="33"/>
        <v>2.ª Companhia</v>
      </c>
      <c r="E79" s="87" t="str">
        <f t="shared" si="34"/>
        <v>5.º Pelotão</v>
      </c>
      <c r="F79" s="87" t="str">
        <f t="shared" si="35"/>
        <v>PV</v>
      </c>
      <c r="G79" s="86" t="str">
        <f t="shared" si="36"/>
        <v>NÃO</v>
      </c>
      <c r="H79" s="87" t="str">
        <f t="shared" si="37"/>
        <v>Escala do pelotão: PV (indisponível)</v>
      </c>
      <c r="K79" s="88" t="str">
        <f>'[1]Capacidade UAS-CUAS'!E75</f>
        <v>2090745</v>
      </c>
      <c r="L79" s="88" t="str">
        <f>'[1]Capacidade UAS-CUAS'!F75</f>
        <v>Berto Jorge Mota Miranda</v>
      </c>
      <c r="M79" s="88" t="str">
        <f>'[1]Capacidade UAS-CUAS'!D75</f>
        <v>Grd Pr</v>
      </c>
      <c r="N79" s="88" t="str">
        <f>'[1]Capacidade UAS-CUAS'!B75</f>
        <v>4.ª Companhia</v>
      </c>
      <c r="O79" s="88" t="str">
        <f>'[1]Capacidade UAS-CUAS'!C75</f>
        <v>10.º Pelotão</v>
      </c>
      <c r="P79" s="88" t="str">
        <f t="shared" si="15"/>
        <v>10º</v>
      </c>
      <c r="Q79" s="88" t="str">
        <f>IF(P79="","",IFERROR(INDEX(EscalaPelotoes!$B$3:$N$4481,MATCH($B$3,EscalaPelotoes!$A$3:$A$4481,0),MATCH(P79,EscalaPelotoes!$B$2:$N$2,0)),""))</f>
        <v>P3</v>
      </c>
      <c r="R79" s="88" t="b">
        <f t="shared" si="16"/>
        <v>1</v>
      </c>
      <c r="S79" s="88" t="b">
        <f>IF(O79="—",FALSE(),SUMPRODUCT(--(TEXT([1]Serviços!$B$4:$B$400,"0")=TEXT(K79,"0")),--([1]Serviços!$A$4:$A$400=$B$3))&gt;0)</f>
        <v>0</v>
      </c>
      <c r="T79" s="88" t="b">
        <f t="shared" si="17"/>
        <v>1</v>
      </c>
      <c r="U79" s="88">
        <f t="shared" si="18"/>
        <v>1</v>
      </c>
      <c r="V79" s="88">
        <f>ROW()</f>
        <v>79</v>
      </c>
      <c r="W79" s="88">
        <f t="shared" si="19"/>
        <v>13</v>
      </c>
      <c r="X79" s="88" t="str">
        <f t="shared" si="20"/>
        <v>Escala do pelotão: P3 (disponível)</v>
      </c>
      <c r="Y79" s="88">
        <f t="shared" si="21"/>
        <v>3</v>
      </c>
    </row>
    <row r="80" spans="1:25" ht="15" customHeight="1" x14ac:dyDescent="0.25">
      <c r="A80" s="86">
        <f t="shared" si="30"/>
        <v>2070922</v>
      </c>
      <c r="B80" s="87" t="str">
        <f t="shared" si="31"/>
        <v>Nuno Pedro Rolo Correia Veloso</v>
      </c>
      <c r="C80" s="87" t="str">
        <f t="shared" si="32"/>
        <v>Cabo</v>
      </c>
      <c r="D80" s="87" t="str">
        <f t="shared" si="33"/>
        <v>2.ª Companhia</v>
      </c>
      <c r="E80" s="87" t="str">
        <f t="shared" si="34"/>
        <v>5.º Pelotão</v>
      </c>
      <c r="F80" s="87" t="str">
        <f t="shared" si="35"/>
        <v>PV</v>
      </c>
      <c r="G80" s="86" t="str">
        <f t="shared" si="36"/>
        <v>NÃO</v>
      </c>
      <c r="H80" s="87" t="str">
        <f t="shared" si="37"/>
        <v>Escala do pelotão: PV (indisponível)</v>
      </c>
      <c r="K80" s="88" t="str">
        <f>'[1]Capacidade UAS-CUAS'!E76</f>
        <v>2120740</v>
      </c>
      <c r="L80" s="88" t="str">
        <f>'[1]Capacidade UAS-CUAS'!F76</f>
        <v>Bernardo Samuel Fernandes Lameira</v>
      </c>
      <c r="M80" s="88" t="str">
        <f>'[1]Capacidade UAS-CUAS'!D76</f>
        <v>Grd Pr</v>
      </c>
      <c r="N80" s="88" t="str">
        <f>'[1]Capacidade UAS-CUAS'!B76</f>
        <v>4.ª Companhia</v>
      </c>
      <c r="O80" s="88" t="str">
        <f>'[1]Capacidade UAS-CUAS'!C76</f>
        <v>10.º Pelotão</v>
      </c>
      <c r="P80" s="88" t="str">
        <f t="shared" si="15"/>
        <v>10º</v>
      </c>
      <c r="Q80" s="88" t="str">
        <f>IF(P80="","",IFERROR(INDEX(EscalaPelotoes!$B$3:$N$4481,MATCH($B$3,EscalaPelotoes!$A$3:$A$4481,0),MATCH(P80,EscalaPelotoes!$B$2:$N$2,0)),""))</f>
        <v>P3</v>
      </c>
      <c r="R80" s="88" t="b">
        <f t="shared" si="16"/>
        <v>1</v>
      </c>
      <c r="S80" s="88" t="b">
        <f>IF(O80="—",FALSE(),SUMPRODUCT(--(TEXT([1]Serviços!$B$4:$B$400,"0")=TEXT(K80,"0")),--([1]Serviços!$A$4:$A$400=$B$3))&gt;0)</f>
        <v>0</v>
      </c>
      <c r="T80" s="88" t="b">
        <f t="shared" si="17"/>
        <v>1</v>
      </c>
      <c r="U80" s="88">
        <f t="shared" si="18"/>
        <v>1</v>
      </c>
      <c r="V80" s="88">
        <f>ROW()</f>
        <v>80</v>
      </c>
      <c r="W80" s="88">
        <f t="shared" si="19"/>
        <v>12</v>
      </c>
      <c r="X80" s="88" t="str">
        <f t="shared" si="20"/>
        <v>Escala do pelotão: P3 (disponível)</v>
      </c>
      <c r="Y80" s="88">
        <f t="shared" si="21"/>
        <v>3</v>
      </c>
    </row>
    <row r="81" spans="1:25" ht="15" customHeight="1" x14ac:dyDescent="0.25">
      <c r="A81" s="86">
        <f t="shared" si="30"/>
        <v>1970446</v>
      </c>
      <c r="B81" s="87" t="str">
        <f t="shared" si="31"/>
        <v>Paulo Jorge dos Santos Coelho</v>
      </c>
      <c r="C81" s="87" t="str">
        <f t="shared" si="32"/>
        <v>Cabo Mor</v>
      </c>
      <c r="D81" s="87" t="str">
        <f t="shared" si="33"/>
        <v>2.ª Companhia</v>
      </c>
      <c r="E81" s="87" t="str">
        <f t="shared" si="34"/>
        <v>6.º Pelotão</v>
      </c>
      <c r="F81" s="87" t="str">
        <f t="shared" si="35"/>
        <v>CAR</v>
      </c>
      <c r="G81" s="86" t="str">
        <f t="shared" si="36"/>
        <v>NÃO</v>
      </c>
      <c r="H81" s="87" t="str">
        <f t="shared" si="37"/>
        <v>Escala do pelotão: CAR (indisponível)</v>
      </c>
      <c r="K81" s="88" t="str">
        <f>'[1]Capacidade UAS-CUAS'!E77</f>
        <v>2060410</v>
      </c>
      <c r="L81" s="88" t="str">
        <f>'[1]Capacidade UAS-CUAS'!F77</f>
        <v>Hélder Fernando Assis Cruz</v>
      </c>
      <c r="M81" s="88" t="str">
        <f>'[1]Capacidade UAS-CUAS'!D77</f>
        <v>Cabo</v>
      </c>
      <c r="N81" s="88" t="str">
        <f>'[1]Capacidade UAS-CUAS'!B77</f>
        <v>4.ª Companhia</v>
      </c>
      <c r="O81" s="88" t="str">
        <f>'[1]Capacidade UAS-CUAS'!C77</f>
        <v>11.º Pelotão</v>
      </c>
      <c r="P81" s="88" t="str">
        <f t="shared" si="15"/>
        <v>11º</v>
      </c>
      <c r="Q81" s="88" t="str">
        <f>IF(P81="","",IFERROR(INDEX(EscalaPelotoes!$B$3:$N$4481,MATCH($B$3,EscalaPelotoes!$A$3:$A$4481,0),MATCH(P81,EscalaPelotoes!$B$2:$N$2,0)),""))</f>
        <v>P2</v>
      </c>
      <c r="R81" s="88" t="b">
        <f t="shared" si="16"/>
        <v>1</v>
      </c>
      <c r="S81" s="88" t="b">
        <f>IF(O81="—",FALSE(),SUMPRODUCT(--(TEXT([1]Serviços!$B$4:$B$400,"0")=TEXT(K81,"0")),--([1]Serviços!$A$4:$A$400=$B$3))&gt;0)</f>
        <v>0</v>
      </c>
      <c r="T81" s="88" t="b">
        <f t="shared" si="17"/>
        <v>1</v>
      </c>
      <c r="U81" s="88">
        <f t="shared" si="18"/>
        <v>1</v>
      </c>
      <c r="V81" s="88">
        <f>ROW()</f>
        <v>81</v>
      </c>
      <c r="W81" s="88">
        <f t="shared" si="19"/>
        <v>15</v>
      </c>
      <c r="X81" s="88" t="str">
        <f t="shared" si="20"/>
        <v>Escala do pelotão: P2 (disponível)</v>
      </c>
      <c r="Y81" s="88">
        <f t="shared" si="21"/>
        <v>2</v>
      </c>
    </row>
    <row r="82" spans="1:25" ht="15" customHeight="1" x14ac:dyDescent="0.25">
      <c r="A82" s="86">
        <f t="shared" si="30"/>
        <v>2000318</v>
      </c>
      <c r="B82" s="87" t="str">
        <f t="shared" si="31"/>
        <v>Rui Fernando Oliveira Custódio</v>
      </c>
      <c r="C82" s="87" t="str">
        <f t="shared" si="32"/>
        <v>Cabo Ch</v>
      </c>
      <c r="D82" s="87" t="str">
        <f t="shared" si="33"/>
        <v>1.ª Companhia</v>
      </c>
      <c r="E82" s="87" t="str">
        <f t="shared" si="34"/>
        <v>2.º Pelotão</v>
      </c>
      <c r="F82" s="87" t="str">
        <f t="shared" si="35"/>
        <v>CAR</v>
      </c>
      <c r="G82" s="86" t="str">
        <f t="shared" si="36"/>
        <v>NÃO</v>
      </c>
      <c r="H82" s="87" t="str">
        <f t="shared" si="37"/>
        <v>Escala do pelotão: CAR (indisponível)</v>
      </c>
      <c r="K82" s="88" t="str">
        <f>'[1]Capacidade UAS-CUAS'!E78</f>
        <v>2090645</v>
      </c>
      <c r="L82" s="88" t="str">
        <f>'[1]Capacidade UAS-CUAS'!F78</f>
        <v>Pedro Jorge Teles Ribeiro</v>
      </c>
      <c r="M82" s="88" t="str">
        <f>'[1]Capacidade UAS-CUAS'!D78</f>
        <v>Grd Pr</v>
      </c>
      <c r="N82" s="88" t="str">
        <f>'[1]Capacidade UAS-CUAS'!B78</f>
        <v>4.ª Companhia</v>
      </c>
      <c r="O82" s="88" t="str">
        <f>'[1]Capacidade UAS-CUAS'!C78</f>
        <v>11.º Pelotão</v>
      </c>
      <c r="P82" s="88" t="str">
        <f t="shared" si="15"/>
        <v>11º</v>
      </c>
      <c r="Q82" s="88" t="str">
        <f>IF(P82="","",IFERROR(INDEX(EscalaPelotoes!$B$3:$N$4481,MATCH($B$3,EscalaPelotoes!$A$3:$A$4481,0),MATCH(P82,EscalaPelotoes!$B$2:$N$2,0)),""))</f>
        <v>P2</v>
      </c>
      <c r="R82" s="88" t="b">
        <f t="shared" si="16"/>
        <v>1</v>
      </c>
      <c r="S82" s="88" t="b">
        <f>IF(O82="—",FALSE(),SUMPRODUCT(--(TEXT([1]Serviços!$B$4:$B$400,"0")=TEXT(K82,"0")),--([1]Serviços!$A$4:$A$400=$B$3))&gt;0)</f>
        <v>0</v>
      </c>
      <c r="T82" s="88" t="b">
        <f t="shared" si="17"/>
        <v>1</v>
      </c>
      <c r="U82" s="88">
        <f t="shared" si="18"/>
        <v>1</v>
      </c>
      <c r="V82" s="88">
        <f>ROW()</f>
        <v>82</v>
      </c>
      <c r="W82" s="88">
        <f t="shared" si="19"/>
        <v>16</v>
      </c>
      <c r="X82" s="88" t="str">
        <f t="shared" si="20"/>
        <v>Escala do pelotão: P2 (disponível)</v>
      </c>
      <c r="Y82" s="88">
        <f t="shared" si="21"/>
        <v>2</v>
      </c>
    </row>
    <row r="83" spans="1:25" ht="15" customHeight="1" x14ac:dyDescent="0.25">
      <c r="A83" s="86">
        <f t="shared" si="30"/>
        <v>2120476</v>
      </c>
      <c r="B83" s="87" t="str">
        <f t="shared" si="31"/>
        <v>Tiago Realinho da Costa</v>
      </c>
      <c r="C83" s="87" t="str">
        <f t="shared" si="32"/>
        <v>Grd Pr</v>
      </c>
      <c r="D83" s="87" t="str">
        <f t="shared" si="33"/>
        <v>2.ª Companhia</v>
      </c>
      <c r="E83" s="87" t="str">
        <f t="shared" si="34"/>
        <v>5.º Pelotão</v>
      </c>
      <c r="F83" s="87" t="str">
        <f t="shared" si="35"/>
        <v>PV</v>
      </c>
      <c r="G83" s="86" t="str">
        <f t="shared" si="36"/>
        <v>NÃO</v>
      </c>
      <c r="H83" s="87" t="str">
        <f t="shared" si="37"/>
        <v>Escala do pelotão: PV (indisponível)</v>
      </c>
      <c r="K83" s="88" t="str">
        <f>'[1]Capacidade UAS-CUAS'!E79</f>
        <v>2010480</v>
      </c>
      <c r="L83" s="88" t="str">
        <f>'[1]Capacidade UAS-CUAS'!F79</f>
        <v>Pedro Miguel Sousa Lopes</v>
      </c>
      <c r="M83" s="88" t="str">
        <f>'[1]Capacidade UAS-CUAS'!D79</f>
        <v>Cabo</v>
      </c>
      <c r="N83" s="88" t="str">
        <f>'[1]Capacidade UAS-CUAS'!B79</f>
        <v>4.ª Companhia</v>
      </c>
      <c r="O83" s="88" t="str">
        <f>'[1]Capacidade UAS-CUAS'!C79</f>
        <v>12.º Pelotão</v>
      </c>
      <c r="P83" s="88" t="str">
        <f t="shared" si="15"/>
        <v>12º</v>
      </c>
      <c r="Q83" s="88" t="str">
        <f>IF(P83="","",IFERROR(INDEX(EscalaPelotoes!$B$3:$N$4481,MATCH($B$3,EscalaPelotoes!$A$3:$A$4481,0),MATCH(P83,EscalaPelotoes!$B$2:$N$2,0)),""))</f>
        <v>P1</v>
      </c>
      <c r="R83" s="88" t="b">
        <f t="shared" si="16"/>
        <v>1</v>
      </c>
      <c r="S83" s="88" t="b">
        <f>IF(O83="—",FALSE(),SUMPRODUCT(--(TEXT([1]Serviços!$B$4:$B$400,"0")=TEXT(K83,"0")),--([1]Serviços!$A$4:$A$400=$B$3))&gt;0)</f>
        <v>0</v>
      </c>
      <c r="T83" s="88" t="b">
        <f t="shared" si="17"/>
        <v>1</v>
      </c>
      <c r="U83" s="88">
        <f t="shared" si="18"/>
        <v>1</v>
      </c>
      <c r="V83" s="88">
        <f>ROW()</f>
        <v>83</v>
      </c>
      <c r="W83" s="88">
        <f t="shared" si="19"/>
        <v>19</v>
      </c>
      <c r="X83" s="88" t="str">
        <f t="shared" si="20"/>
        <v>Escala do pelotão: P1 (disponível)</v>
      </c>
      <c r="Y83" s="88">
        <f t="shared" si="21"/>
        <v>1</v>
      </c>
    </row>
  </sheetData>
  <mergeCells count="9">
    <mergeCell ref="A1:H1"/>
    <mergeCell ref="A2:H2"/>
    <mergeCell ref="A3:A4"/>
    <mergeCell ref="B3:B4"/>
    <mergeCell ref="E3:E4"/>
    <mergeCell ref="F3:F4"/>
    <mergeCell ref="G3:G4"/>
    <mergeCell ref="H3:H4"/>
    <mergeCell ref="C3:D5"/>
  </mergeCells>
  <conditionalFormatting sqref="A8:H83">
    <cfRule type="expression" dxfId="1" priority="1">
      <formula>$G8="NÃO"</formula>
    </cfRule>
    <cfRule type="expression" dxfId="0" priority="2">
      <formula>$G8="SIM"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81"/>
  <sheetViews>
    <sheetView zoomScaleNormal="100" workbookViewId="0">
      <pane ySplit="2" topLeftCell="A4107" activePane="bottomLeft" state="frozen"/>
      <selection activeCell="H22" sqref="H22"/>
      <selection pane="bottomLeft" activeCell="A34" sqref="A34"/>
    </sheetView>
  </sheetViews>
  <sheetFormatPr defaultColWidth="8.7109375" defaultRowHeight="15" x14ac:dyDescent="0.25"/>
  <cols>
    <col min="1" max="1" width="12" customWidth="1"/>
    <col min="2" max="14" width="10" customWidth="1"/>
  </cols>
  <sheetData>
    <row r="1" spans="1:14" ht="15" customHeight="1" x14ac:dyDescent="0.25">
      <c r="A1" s="80" t="s">
        <v>406</v>
      </c>
    </row>
    <row r="2" spans="1:14" ht="15" customHeight="1" x14ac:dyDescent="0.25">
      <c r="A2" s="81" t="s">
        <v>407</v>
      </c>
      <c r="B2" s="81" t="s">
        <v>408</v>
      </c>
      <c r="C2" s="81" t="s">
        <v>409</v>
      </c>
      <c r="D2" s="81" t="s">
        <v>410</v>
      </c>
      <c r="E2" s="81" t="s">
        <v>411</v>
      </c>
      <c r="F2" s="81" t="s">
        <v>412</v>
      </c>
      <c r="G2" s="81" t="s">
        <v>413</v>
      </c>
      <c r="H2" s="81" t="s">
        <v>414</v>
      </c>
      <c r="I2" s="81" t="s">
        <v>415</v>
      </c>
      <c r="J2" s="81" t="s">
        <v>416</v>
      </c>
      <c r="K2" s="81" t="s">
        <v>417</v>
      </c>
      <c r="L2" s="81" t="s">
        <v>418</v>
      </c>
      <c r="M2" s="81" t="s">
        <v>419</v>
      </c>
      <c r="N2" s="81" t="s">
        <v>420</v>
      </c>
    </row>
    <row r="3" spans="1:14" ht="15" customHeight="1" x14ac:dyDescent="0.25">
      <c r="A3" s="82">
        <v>42278</v>
      </c>
      <c r="C3" t="s">
        <v>421</v>
      </c>
      <c r="D3" t="s">
        <v>422</v>
      </c>
      <c r="E3" t="s">
        <v>423</v>
      </c>
      <c r="F3" t="s">
        <v>422</v>
      </c>
      <c r="G3" t="s">
        <v>424</v>
      </c>
      <c r="H3" t="s">
        <v>425</v>
      </c>
      <c r="I3" t="s">
        <v>426</v>
      </c>
      <c r="J3" t="s">
        <v>427</v>
      </c>
      <c r="N3">
        <v>0</v>
      </c>
    </row>
    <row r="4" spans="1:14" ht="15" customHeight="1" x14ac:dyDescent="0.25">
      <c r="A4" s="82">
        <v>42279</v>
      </c>
      <c r="B4" t="s">
        <v>427</v>
      </c>
      <c r="C4" t="s">
        <v>425</v>
      </c>
      <c r="D4" t="s">
        <v>428</v>
      </c>
      <c r="E4" t="s">
        <v>421</v>
      </c>
      <c r="F4" t="s">
        <v>422</v>
      </c>
      <c r="G4" t="s">
        <v>424</v>
      </c>
      <c r="H4" t="s">
        <v>425</v>
      </c>
      <c r="I4" t="s">
        <v>429</v>
      </c>
      <c r="J4" t="s">
        <v>423</v>
      </c>
      <c r="N4" t="s">
        <v>428</v>
      </c>
    </row>
    <row r="5" spans="1:14" ht="15" customHeight="1" x14ac:dyDescent="0.25">
      <c r="A5" s="82">
        <v>42280</v>
      </c>
      <c r="B5" t="s">
        <v>421</v>
      </c>
      <c r="C5" t="s">
        <v>425</v>
      </c>
      <c r="D5" t="s">
        <v>428</v>
      </c>
      <c r="E5" t="s">
        <v>427</v>
      </c>
      <c r="F5" t="s">
        <v>422</v>
      </c>
      <c r="G5" t="s">
        <v>424</v>
      </c>
      <c r="H5" t="s">
        <v>430</v>
      </c>
      <c r="I5" t="s">
        <v>429</v>
      </c>
      <c r="J5" t="s">
        <v>423</v>
      </c>
      <c r="N5" t="s">
        <v>428</v>
      </c>
    </row>
    <row r="6" spans="1:14" ht="15" customHeight="1" x14ac:dyDescent="0.25">
      <c r="A6" s="82">
        <v>42281</v>
      </c>
      <c r="B6" t="s">
        <v>427</v>
      </c>
      <c r="C6" t="s">
        <v>425</v>
      </c>
      <c r="D6" t="s">
        <v>428</v>
      </c>
      <c r="E6" t="s">
        <v>421</v>
      </c>
      <c r="F6" t="s">
        <v>422</v>
      </c>
      <c r="G6" t="s">
        <v>424</v>
      </c>
      <c r="H6" t="s">
        <v>430</v>
      </c>
      <c r="I6" t="s">
        <v>429</v>
      </c>
      <c r="J6" t="s">
        <v>423</v>
      </c>
      <c r="N6" t="s">
        <v>428</v>
      </c>
    </row>
    <row r="7" spans="1:14" ht="15" customHeight="1" x14ac:dyDescent="0.25">
      <c r="A7" s="82">
        <v>42282</v>
      </c>
      <c r="B7" t="s">
        <v>424</v>
      </c>
      <c r="C7" t="s">
        <v>425</v>
      </c>
      <c r="D7" t="s">
        <v>428</v>
      </c>
      <c r="E7" t="s">
        <v>423</v>
      </c>
      <c r="F7" t="s">
        <v>422</v>
      </c>
      <c r="G7" t="s">
        <v>427</v>
      </c>
      <c r="H7" t="s">
        <v>430</v>
      </c>
      <c r="I7" t="s">
        <v>429</v>
      </c>
      <c r="J7" t="s">
        <v>421</v>
      </c>
      <c r="N7" t="s">
        <v>428</v>
      </c>
    </row>
    <row r="8" spans="1:14" ht="15" customHeight="1" x14ac:dyDescent="0.25">
      <c r="A8" s="82">
        <v>42283</v>
      </c>
      <c r="B8" t="s">
        <v>424</v>
      </c>
      <c r="C8" t="s">
        <v>425</v>
      </c>
      <c r="D8" t="s">
        <v>428</v>
      </c>
      <c r="E8" t="s">
        <v>423</v>
      </c>
      <c r="F8" t="s">
        <v>422</v>
      </c>
      <c r="G8" t="s">
        <v>429</v>
      </c>
      <c r="H8" t="s">
        <v>427</v>
      </c>
      <c r="I8" t="s">
        <v>421</v>
      </c>
      <c r="J8" t="s">
        <v>430</v>
      </c>
      <c r="N8" t="s">
        <v>428</v>
      </c>
    </row>
    <row r="9" spans="1:14" ht="15" customHeight="1" x14ac:dyDescent="0.25">
      <c r="A9" s="82">
        <v>42284</v>
      </c>
      <c r="B9" t="s">
        <v>424</v>
      </c>
      <c r="C9" t="s">
        <v>425</v>
      </c>
      <c r="D9" t="s">
        <v>426</v>
      </c>
      <c r="E9" t="s">
        <v>421</v>
      </c>
      <c r="F9" t="s">
        <v>422</v>
      </c>
      <c r="G9" t="s">
        <v>423</v>
      </c>
      <c r="H9" t="s">
        <v>429</v>
      </c>
      <c r="I9" t="s">
        <v>427</v>
      </c>
      <c r="J9" t="s">
        <v>430</v>
      </c>
      <c r="N9" t="s">
        <v>431</v>
      </c>
    </row>
    <row r="10" spans="1:14" ht="15" customHeight="1" x14ac:dyDescent="0.25">
      <c r="A10" s="82">
        <v>42285</v>
      </c>
      <c r="B10" t="s">
        <v>424</v>
      </c>
      <c r="C10" t="s">
        <v>425</v>
      </c>
      <c r="D10" t="s">
        <v>426</v>
      </c>
      <c r="E10" t="s">
        <v>427</v>
      </c>
      <c r="F10" t="s">
        <v>422</v>
      </c>
      <c r="G10" t="s">
        <v>421</v>
      </c>
      <c r="H10" t="s">
        <v>426</v>
      </c>
      <c r="I10" t="s">
        <v>423</v>
      </c>
      <c r="J10" t="s">
        <v>422</v>
      </c>
      <c r="N10" t="s">
        <v>431</v>
      </c>
    </row>
    <row r="11" spans="1:14" ht="15" customHeight="1" x14ac:dyDescent="0.25">
      <c r="A11" s="82">
        <v>42286</v>
      </c>
      <c r="B11" t="s">
        <v>424</v>
      </c>
      <c r="C11" t="s">
        <v>425</v>
      </c>
      <c r="D11" t="s">
        <v>429</v>
      </c>
      <c r="E11" t="s">
        <v>423</v>
      </c>
      <c r="F11" t="s">
        <v>428</v>
      </c>
      <c r="G11" t="s">
        <v>425</v>
      </c>
      <c r="H11" t="s">
        <v>428</v>
      </c>
      <c r="I11" t="s">
        <v>421</v>
      </c>
      <c r="J11" t="s">
        <v>422</v>
      </c>
      <c r="N11" t="s">
        <v>427</v>
      </c>
    </row>
    <row r="12" spans="1:14" ht="15" customHeight="1" x14ac:dyDescent="0.25">
      <c r="A12" s="82">
        <v>42287</v>
      </c>
      <c r="B12" t="s">
        <v>424</v>
      </c>
      <c r="C12" t="s">
        <v>430</v>
      </c>
      <c r="D12" t="s">
        <v>429</v>
      </c>
      <c r="E12" t="s">
        <v>423</v>
      </c>
      <c r="F12" t="s">
        <v>428</v>
      </c>
      <c r="G12" t="s">
        <v>425</v>
      </c>
      <c r="H12" t="s">
        <v>428</v>
      </c>
      <c r="I12" t="s">
        <v>427</v>
      </c>
      <c r="J12" t="s">
        <v>422</v>
      </c>
      <c r="N12" t="s">
        <v>421</v>
      </c>
    </row>
    <row r="13" spans="1:14" ht="15" customHeight="1" x14ac:dyDescent="0.25">
      <c r="A13" s="82">
        <v>42288</v>
      </c>
      <c r="B13" t="s">
        <v>424</v>
      </c>
      <c r="C13" t="s">
        <v>430</v>
      </c>
      <c r="D13" t="s">
        <v>429</v>
      </c>
      <c r="E13" t="s">
        <v>423</v>
      </c>
      <c r="F13" t="s">
        <v>428</v>
      </c>
      <c r="G13" t="s">
        <v>425</v>
      </c>
      <c r="H13" t="s">
        <v>428</v>
      </c>
      <c r="I13" t="s">
        <v>421</v>
      </c>
      <c r="J13" t="s">
        <v>422</v>
      </c>
      <c r="N13" t="s">
        <v>427</v>
      </c>
    </row>
    <row r="14" spans="1:14" ht="15" customHeight="1" x14ac:dyDescent="0.25">
      <c r="A14" s="82">
        <v>42289</v>
      </c>
      <c r="B14" t="s">
        <v>427</v>
      </c>
      <c r="C14" t="s">
        <v>430</v>
      </c>
      <c r="D14" t="s">
        <v>429</v>
      </c>
      <c r="E14" t="s">
        <v>423</v>
      </c>
      <c r="F14" t="s">
        <v>428</v>
      </c>
      <c r="G14" t="s">
        <v>425</v>
      </c>
      <c r="H14" t="s">
        <v>428</v>
      </c>
      <c r="I14" t="s">
        <v>423</v>
      </c>
      <c r="J14" t="s">
        <v>422</v>
      </c>
      <c r="N14" t="s">
        <v>424</v>
      </c>
    </row>
    <row r="15" spans="1:14" ht="15" customHeight="1" x14ac:dyDescent="0.25">
      <c r="A15" s="82">
        <v>42290</v>
      </c>
      <c r="B15" t="s">
        <v>429</v>
      </c>
      <c r="C15" t="s">
        <v>427</v>
      </c>
      <c r="D15" t="s">
        <v>421</v>
      </c>
      <c r="E15" t="s">
        <v>421</v>
      </c>
      <c r="F15" t="s">
        <v>428</v>
      </c>
      <c r="G15" t="s">
        <v>425</v>
      </c>
      <c r="H15" t="s">
        <v>428</v>
      </c>
      <c r="I15" t="s">
        <v>423</v>
      </c>
      <c r="J15" t="s">
        <v>422</v>
      </c>
      <c r="N15" t="s">
        <v>424</v>
      </c>
    </row>
    <row r="16" spans="1:14" ht="15" customHeight="1" x14ac:dyDescent="0.25">
      <c r="A16" s="82">
        <v>42291</v>
      </c>
      <c r="B16" t="s">
        <v>423</v>
      </c>
      <c r="C16" t="s">
        <v>429</v>
      </c>
      <c r="D16" t="s">
        <v>427</v>
      </c>
      <c r="E16" t="s">
        <v>430</v>
      </c>
      <c r="F16" t="s">
        <v>431</v>
      </c>
      <c r="G16" t="s">
        <v>425</v>
      </c>
      <c r="H16" t="s">
        <v>426</v>
      </c>
      <c r="I16" t="s">
        <v>421</v>
      </c>
      <c r="J16" t="s">
        <v>422</v>
      </c>
      <c r="N16" t="s">
        <v>424</v>
      </c>
    </row>
    <row r="17" spans="1:14" ht="15" customHeight="1" x14ac:dyDescent="0.25">
      <c r="A17" s="82">
        <v>42292</v>
      </c>
      <c r="B17" t="s">
        <v>421</v>
      </c>
      <c r="C17" t="s">
        <v>426</v>
      </c>
      <c r="D17" t="s">
        <v>423</v>
      </c>
      <c r="E17" t="s">
        <v>430</v>
      </c>
      <c r="F17" t="s">
        <v>431</v>
      </c>
      <c r="G17" t="s">
        <v>425</v>
      </c>
      <c r="H17" t="s">
        <v>426</v>
      </c>
      <c r="I17" t="s">
        <v>427</v>
      </c>
      <c r="J17" t="s">
        <v>422</v>
      </c>
      <c r="N17" t="s">
        <v>424</v>
      </c>
    </row>
    <row r="18" spans="1:14" ht="15" customHeight="1" x14ac:dyDescent="0.25">
      <c r="A18" s="82">
        <v>42293</v>
      </c>
      <c r="B18" t="s">
        <v>425</v>
      </c>
      <c r="C18" t="s">
        <v>428</v>
      </c>
      <c r="D18" t="s">
        <v>421</v>
      </c>
      <c r="E18" t="s">
        <v>430</v>
      </c>
      <c r="F18" t="s">
        <v>427</v>
      </c>
      <c r="G18" t="s">
        <v>425</v>
      </c>
      <c r="H18" t="s">
        <v>429</v>
      </c>
      <c r="I18" t="s">
        <v>423</v>
      </c>
      <c r="J18" t="s">
        <v>428</v>
      </c>
      <c r="N18" t="s">
        <v>424</v>
      </c>
    </row>
    <row r="19" spans="1:14" ht="15" customHeight="1" x14ac:dyDescent="0.25">
      <c r="A19" s="82">
        <v>42294</v>
      </c>
      <c r="B19" t="s">
        <v>425</v>
      </c>
      <c r="C19" t="s">
        <v>428</v>
      </c>
      <c r="D19" t="s">
        <v>427</v>
      </c>
      <c r="E19" t="s">
        <v>422</v>
      </c>
      <c r="F19" t="s">
        <v>421</v>
      </c>
      <c r="G19" t="s">
        <v>430</v>
      </c>
      <c r="H19" t="s">
        <v>429</v>
      </c>
      <c r="I19" t="s">
        <v>423</v>
      </c>
      <c r="J19" t="s">
        <v>428</v>
      </c>
      <c r="N19" t="s">
        <v>424</v>
      </c>
    </row>
    <row r="20" spans="1:14" ht="15" customHeight="1" x14ac:dyDescent="0.25">
      <c r="A20" s="82">
        <v>42295</v>
      </c>
      <c r="B20" t="s">
        <v>425</v>
      </c>
      <c r="C20" t="s">
        <v>428</v>
      </c>
      <c r="D20" t="s">
        <v>421</v>
      </c>
      <c r="E20" t="s">
        <v>422</v>
      </c>
      <c r="F20" t="s">
        <v>427</v>
      </c>
      <c r="G20" t="s">
        <v>430</v>
      </c>
      <c r="H20" t="s">
        <v>429</v>
      </c>
      <c r="I20" t="s">
        <v>423</v>
      </c>
      <c r="J20" t="s">
        <v>428</v>
      </c>
      <c r="N20" t="s">
        <v>424</v>
      </c>
    </row>
    <row r="21" spans="1:14" ht="15" customHeight="1" x14ac:dyDescent="0.25">
      <c r="A21" s="82">
        <v>42296</v>
      </c>
      <c r="B21" t="s">
        <v>425</v>
      </c>
      <c r="C21" t="s">
        <v>428</v>
      </c>
      <c r="D21" t="s">
        <v>423</v>
      </c>
      <c r="E21" t="s">
        <v>422</v>
      </c>
      <c r="F21" t="s">
        <v>424</v>
      </c>
      <c r="G21" t="s">
        <v>430</v>
      </c>
      <c r="H21" t="s">
        <v>429</v>
      </c>
      <c r="I21" t="s">
        <v>421</v>
      </c>
      <c r="J21" t="s">
        <v>428</v>
      </c>
      <c r="N21" t="s">
        <v>427</v>
      </c>
    </row>
    <row r="22" spans="1:14" ht="15" customHeight="1" x14ac:dyDescent="0.25">
      <c r="A22" s="82">
        <v>42297</v>
      </c>
      <c r="B22" t="s">
        <v>425</v>
      </c>
      <c r="C22" t="s">
        <v>428</v>
      </c>
      <c r="D22" t="s">
        <v>423</v>
      </c>
      <c r="E22" t="s">
        <v>422</v>
      </c>
      <c r="F22" t="s">
        <v>424</v>
      </c>
      <c r="G22" t="s">
        <v>427</v>
      </c>
      <c r="H22" t="s">
        <v>421</v>
      </c>
      <c r="I22" t="s">
        <v>430</v>
      </c>
      <c r="J22" t="s">
        <v>428</v>
      </c>
      <c r="N22" t="s">
        <v>429</v>
      </c>
    </row>
    <row r="23" spans="1:14" ht="15" customHeight="1" x14ac:dyDescent="0.25">
      <c r="A23" s="82">
        <v>42298</v>
      </c>
      <c r="B23" t="s">
        <v>425</v>
      </c>
      <c r="C23" t="s">
        <v>426</v>
      </c>
      <c r="D23" t="s">
        <v>421</v>
      </c>
      <c r="E23" t="s">
        <v>422</v>
      </c>
      <c r="F23" t="s">
        <v>424</v>
      </c>
      <c r="G23" t="s">
        <v>429</v>
      </c>
      <c r="H23" t="s">
        <v>427</v>
      </c>
      <c r="I23" t="s">
        <v>430</v>
      </c>
      <c r="J23" t="s">
        <v>431</v>
      </c>
      <c r="N23" t="s">
        <v>423</v>
      </c>
    </row>
    <row r="24" spans="1:14" ht="15" customHeight="1" x14ac:dyDescent="0.25">
      <c r="A24" s="82">
        <v>42299</v>
      </c>
      <c r="B24" t="s">
        <v>425</v>
      </c>
      <c r="C24" t="s">
        <v>426</v>
      </c>
      <c r="D24" t="s">
        <v>427</v>
      </c>
      <c r="E24" t="s">
        <v>422</v>
      </c>
      <c r="F24" t="s">
        <v>424</v>
      </c>
      <c r="G24" t="s">
        <v>426</v>
      </c>
      <c r="H24" t="s">
        <v>423</v>
      </c>
      <c r="I24" t="s">
        <v>430</v>
      </c>
      <c r="J24" t="s">
        <v>431</v>
      </c>
      <c r="N24" t="s">
        <v>421</v>
      </c>
    </row>
    <row r="25" spans="1:14" ht="15" customHeight="1" x14ac:dyDescent="0.25">
      <c r="A25" s="82">
        <v>42300</v>
      </c>
      <c r="B25" t="s">
        <v>425</v>
      </c>
      <c r="C25" t="s">
        <v>429</v>
      </c>
      <c r="D25" t="s">
        <v>423</v>
      </c>
      <c r="E25" t="s">
        <v>422</v>
      </c>
      <c r="F25" t="s">
        <v>424</v>
      </c>
      <c r="G25" t="s">
        <v>428</v>
      </c>
      <c r="H25" t="s">
        <v>421</v>
      </c>
      <c r="I25" t="s">
        <v>422</v>
      </c>
      <c r="J25" t="s">
        <v>427</v>
      </c>
      <c r="N25" t="s">
        <v>425</v>
      </c>
    </row>
    <row r="26" spans="1:14" ht="15" customHeight="1" x14ac:dyDescent="0.25">
      <c r="A26" s="82">
        <v>42301</v>
      </c>
      <c r="B26" t="s">
        <v>430</v>
      </c>
      <c r="C26" t="s">
        <v>429</v>
      </c>
      <c r="D26" t="s">
        <v>423</v>
      </c>
      <c r="E26" t="s">
        <v>428</v>
      </c>
      <c r="F26" t="s">
        <v>424</v>
      </c>
      <c r="G26" t="s">
        <v>428</v>
      </c>
      <c r="H26" t="s">
        <v>427</v>
      </c>
      <c r="I26" t="s">
        <v>422</v>
      </c>
      <c r="J26" t="s">
        <v>421</v>
      </c>
      <c r="N26" t="s">
        <v>425</v>
      </c>
    </row>
    <row r="27" spans="1:14" ht="15" customHeight="1" x14ac:dyDescent="0.25">
      <c r="A27" s="82">
        <v>42302</v>
      </c>
      <c r="B27" t="s">
        <v>430</v>
      </c>
      <c r="C27" t="s">
        <v>429</v>
      </c>
      <c r="D27" t="s">
        <v>423</v>
      </c>
      <c r="E27" t="s">
        <v>428</v>
      </c>
      <c r="F27" t="s">
        <v>424</v>
      </c>
      <c r="G27" t="s">
        <v>428</v>
      </c>
      <c r="H27" t="s">
        <v>421</v>
      </c>
      <c r="I27" t="s">
        <v>422</v>
      </c>
      <c r="J27" t="s">
        <v>427</v>
      </c>
      <c r="N27" t="s">
        <v>425</v>
      </c>
    </row>
    <row r="28" spans="1:14" ht="15" customHeight="1" x14ac:dyDescent="0.25">
      <c r="A28" s="82">
        <v>42303</v>
      </c>
      <c r="B28" t="s">
        <v>430</v>
      </c>
      <c r="C28" t="s">
        <v>429</v>
      </c>
      <c r="D28" t="s">
        <v>421</v>
      </c>
      <c r="E28" t="s">
        <v>428</v>
      </c>
      <c r="F28" t="s">
        <v>427</v>
      </c>
      <c r="G28" t="s">
        <v>428</v>
      </c>
      <c r="H28" t="s">
        <v>423</v>
      </c>
      <c r="I28" t="s">
        <v>422</v>
      </c>
      <c r="J28" t="s">
        <v>424</v>
      </c>
      <c r="N28" t="s">
        <v>425</v>
      </c>
    </row>
    <row r="29" spans="1:14" ht="15" customHeight="1" x14ac:dyDescent="0.25">
      <c r="A29" s="82">
        <v>42304</v>
      </c>
      <c r="B29" t="s">
        <v>427</v>
      </c>
      <c r="C29" t="s">
        <v>421</v>
      </c>
      <c r="D29" t="s">
        <v>430</v>
      </c>
      <c r="E29" t="s">
        <v>428</v>
      </c>
      <c r="F29" t="s">
        <v>429</v>
      </c>
      <c r="G29" t="s">
        <v>428</v>
      </c>
      <c r="H29" t="s">
        <v>423</v>
      </c>
      <c r="I29" t="s">
        <v>422</v>
      </c>
      <c r="J29" t="s">
        <v>424</v>
      </c>
      <c r="N29" t="s">
        <v>425</v>
      </c>
    </row>
    <row r="30" spans="1:14" ht="15" customHeight="1" x14ac:dyDescent="0.25">
      <c r="A30" s="82">
        <v>42305</v>
      </c>
      <c r="B30" t="s">
        <v>429</v>
      </c>
      <c r="C30" t="s">
        <v>427</v>
      </c>
      <c r="D30" t="s">
        <v>430</v>
      </c>
      <c r="E30" t="s">
        <v>431</v>
      </c>
      <c r="F30" t="s">
        <v>423</v>
      </c>
      <c r="G30" t="s">
        <v>426</v>
      </c>
      <c r="H30" t="s">
        <v>421</v>
      </c>
      <c r="I30" t="s">
        <v>422</v>
      </c>
      <c r="J30" t="s">
        <v>424</v>
      </c>
      <c r="N30" t="s">
        <v>425</v>
      </c>
    </row>
    <row r="31" spans="1:14" ht="15" customHeight="1" x14ac:dyDescent="0.25">
      <c r="A31" s="82">
        <v>42306</v>
      </c>
      <c r="B31" t="s">
        <v>426</v>
      </c>
      <c r="C31" t="s">
        <v>423</v>
      </c>
      <c r="D31" t="s">
        <v>422</v>
      </c>
      <c r="E31" t="s">
        <v>431</v>
      </c>
      <c r="F31" t="s">
        <v>421</v>
      </c>
      <c r="G31" t="s">
        <v>426</v>
      </c>
      <c r="H31" t="s">
        <v>427</v>
      </c>
      <c r="I31" t="s">
        <v>422</v>
      </c>
      <c r="J31" t="s">
        <v>424</v>
      </c>
      <c r="N31" t="s">
        <v>425</v>
      </c>
    </row>
    <row r="32" spans="1:14" ht="15" customHeight="1" x14ac:dyDescent="0.25">
      <c r="A32" s="82">
        <v>42307</v>
      </c>
      <c r="B32" t="s">
        <v>428</v>
      </c>
      <c r="C32" t="s">
        <v>421</v>
      </c>
      <c r="D32" t="s">
        <v>422</v>
      </c>
      <c r="E32" t="s">
        <v>427</v>
      </c>
      <c r="F32" t="s">
        <v>425</v>
      </c>
      <c r="G32" t="s">
        <v>429</v>
      </c>
      <c r="H32" t="s">
        <v>423</v>
      </c>
      <c r="I32" t="s">
        <v>428</v>
      </c>
      <c r="J32" t="s">
        <v>424</v>
      </c>
      <c r="N32" t="s">
        <v>425</v>
      </c>
    </row>
    <row r="33" spans="1:14" ht="15" customHeight="1" x14ac:dyDescent="0.25">
      <c r="A33" s="82">
        <v>42308</v>
      </c>
      <c r="B33" t="s">
        <v>428</v>
      </c>
      <c r="C33" t="s">
        <v>427</v>
      </c>
      <c r="D33" t="s">
        <v>422</v>
      </c>
      <c r="E33" t="s">
        <v>421</v>
      </c>
      <c r="F33" t="s">
        <v>425</v>
      </c>
      <c r="G33" t="s">
        <v>429</v>
      </c>
      <c r="H33" t="s">
        <v>423</v>
      </c>
      <c r="I33" t="s">
        <v>428</v>
      </c>
      <c r="J33" t="s">
        <v>424</v>
      </c>
      <c r="N33" t="s">
        <v>430</v>
      </c>
    </row>
    <row r="34" spans="1:14" ht="15" customHeight="1" x14ac:dyDescent="0.25">
      <c r="A34" s="82">
        <v>42309</v>
      </c>
      <c r="B34" t="s">
        <v>428</v>
      </c>
      <c r="C34" t="s">
        <v>421</v>
      </c>
      <c r="D34" t="s">
        <v>422</v>
      </c>
      <c r="E34" t="s">
        <v>427</v>
      </c>
      <c r="F34" t="s">
        <v>425</v>
      </c>
      <c r="G34" t="s">
        <v>429</v>
      </c>
      <c r="H34" t="s">
        <v>423</v>
      </c>
      <c r="I34" t="s">
        <v>428</v>
      </c>
      <c r="J34" t="s">
        <v>424</v>
      </c>
      <c r="N34" t="s">
        <v>430</v>
      </c>
    </row>
    <row r="35" spans="1:14" ht="15" customHeight="1" x14ac:dyDescent="0.25">
      <c r="A35" s="82">
        <v>42310</v>
      </c>
      <c r="B35" t="s">
        <v>428</v>
      </c>
      <c r="C35" t="s">
        <v>423</v>
      </c>
      <c r="D35" t="s">
        <v>422</v>
      </c>
      <c r="E35" t="s">
        <v>424</v>
      </c>
      <c r="F35" t="s">
        <v>425</v>
      </c>
      <c r="G35" t="s">
        <v>429</v>
      </c>
      <c r="H35" t="s">
        <v>421</v>
      </c>
      <c r="I35" t="s">
        <v>428</v>
      </c>
      <c r="J35" t="s">
        <v>427</v>
      </c>
      <c r="N35" t="s">
        <v>430</v>
      </c>
    </row>
    <row r="36" spans="1:14" ht="15" customHeight="1" x14ac:dyDescent="0.25">
      <c r="A36" s="82">
        <v>42311</v>
      </c>
      <c r="B36" t="s">
        <v>428</v>
      </c>
      <c r="C36" t="s">
        <v>423</v>
      </c>
      <c r="D36" t="s">
        <v>422</v>
      </c>
      <c r="E36" t="s">
        <v>424</v>
      </c>
      <c r="F36" t="s">
        <v>425</v>
      </c>
      <c r="G36" t="s">
        <v>421</v>
      </c>
      <c r="H36" t="s">
        <v>430</v>
      </c>
      <c r="I36" t="s">
        <v>428</v>
      </c>
      <c r="J36" t="s">
        <v>429</v>
      </c>
      <c r="N36" t="s">
        <v>427</v>
      </c>
    </row>
    <row r="37" spans="1:14" ht="15" customHeight="1" x14ac:dyDescent="0.25">
      <c r="A37" s="82">
        <v>42312</v>
      </c>
      <c r="B37" t="s">
        <v>426</v>
      </c>
      <c r="C37" t="s">
        <v>421</v>
      </c>
      <c r="D37" t="s">
        <v>422</v>
      </c>
      <c r="E37" t="s">
        <v>424</v>
      </c>
      <c r="F37" t="s">
        <v>425</v>
      </c>
      <c r="G37" t="s">
        <v>427</v>
      </c>
      <c r="H37" t="s">
        <v>430</v>
      </c>
      <c r="I37" t="s">
        <v>431</v>
      </c>
      <c r="J37" t="s">
        <v>423</v>
      </c>
      <c r="N37" t="s">
        <v>429</v>
      </c>
    </row>
    <row r="38" spans="1:14" ht="15" customHeight="1" x14ac:dyDescent="0.25">
      <c r="A38" s="82">
        <v>42313</v>
      </c>
      <c r="B38" t="s">
        <v>426</v>
      </c>
      <c r="C38" t="s">
        <v>427</v>
      </c>
      <c r="D38" t="s">
        <v>422</v>
      </c>
      <c r="E38" t="s">
        <v>424</v>
      </c>
      <c r="F38" t="s">
        <v>425</v>
      </c>
      <c r="G38" t="s">
        <v>423</v>
      </c>
      <c r="H38" t="s">
        <v>422</v>
      </c>
      <c r="I38" t="s">
        <v>431</v>
      </c>
      <c r="J38" t="s">
        <v>421</v>
      </c>
      <c r="N38" t="s">
        <v>426</v>
      </c>
    </row>
    <row r="39" spans="1:14" ht="15" customHeight="1" x14ac:dyDescent="0.25">
      <c r="A39" s="82">
        <v>42314</v>
      </c>
      <c r="B39" t="s">
        <v>429</v>
      </c>
      <c r="C39" t="s">
        <v>423</v>
      </c>
      <c r="D39" t="s">
        <v>428</v>
      </c>
      <c r="E39" t="s">
        <v>424</v>
      </c>
      <c r="F39" t="s">
        <v>425</v>
      </c>
      <c r="G39" t="s">
        <v>421</v>
      </c>
      <c r="H39" t="s">
        <v>422</v>
      </c>
      <c r="I39" t="s">
        <v>427</v>
      </c>
      <c r="J39" t="s">
        <v>425</v>
      </c>
      <c r="N39" t="s">
        <v>428</v>
      </c>
    </row>
    <row r="40" spans="1:14" ht="15" customHeight="1" x14ac:dyDescent="0.25">
      <c r="A40" s="82">
        <v>42315</v>
      </c>
      <c r="B40" t="s">
        <v>429</v>
      </c>
      <c r="C40" t="s">
        <v>423</v>
      </c>
      <c r="D40" t="s">
        <v>428</v>
      </c>
      <c r="E40" t="s">
        <v>424</v>
      </c>
      <c r="F40" t="s">
        <v>430</v>
      </c>
      <c r="G40" t="s">
        <v>427</v>
      </c>
      <c r="H40" t="s">
        <v>422</v>
      </c>
      <c r="I40" t="s">
        <v>421</v>
      </c>
      <c r="J40" t="s">
        <v>425</v>
      </c>
      <c r="N40" t="s">
        <v>428</v>
      </c>
    </row>
    <row r="41" spans="1:14" ht="15" customHeight="1" x14ac:dyDescent="0.25">
      <c r="A41" s="82">
        <v>42316</v>
      </c>
      <c r="B41" t="s">
        <v>429</v>
      </c>
      <c r="C41" t="s">
        <v>423</v>
      </c>
      <c r="D41" t="s">
        <v>428</v>
      </c>
      <c r="E41" t="s">
        <v>424</v>
      </c>
      <c r="F41" t="s">
        <v>430</v>
      </c>
      <c r="G41" t="s">
        <v>421</v>
      </c>
      <c r="H41" t="s">
        <v>422</v>
      </c>
      <c r="I41" t="s">
        <v>427</v>
      </c>
      <c r="J41" t="s">
        <v>425</v>
      </c>
      <c r="N41" t="s">
        <v>428</v>
      </c>
    </row>
    <row r="42" spans="1:14" ht="15" customHeight="1" x14ac:dyDescent="0.25">
      <c r="A42" s="82">
        <v>42317</v>
      </c>
      <c r="B42" t="s">
        <v>429</v>
      </c>
      <c r="C42" t="s">
        <v>421</v>
      </c>
      <c r="D42" t="s">
        <v>428</v>
      </c>
      <c r="E42" t="s">
        <v>427</v>
      </c>
      <c r="F42" t="s">
        <v>430</v>
      </c>
      <c r="G42" t="s">
        <v>423</v>
      </c>
      <c r="H42" t="s">
        <v>422</v>
      </c>
      <c r="I42" t="s">
        <v>424</v>
      </c>
      <c r="J42" t="s">
        <v>425</v>
      </c>
      <c r="N42" t="s">
        <v>428</v>
      </c>
    </row>
    <row r="43" spans="1:14" ht="15" customHeight="1" x14ac:dyDescent="0.25">
      <c r="A43" s="82">
        <v>42318</v>
      </c>
      <c r="B43" t="s">
        <v>421</v>
      </c>
      <c r="C43" t="s">
        <v>430</v>
      </c>
      <c r="D43" t="s">
        <v>428</v>
      </c>
      <c r="E43" t="s">
        <v>429</v>
      </c>
      <c r="F43" t="s">
        <v>427</v>
      </c>
      <c r="G43" t="s">
        <v>423</v>
      </c>
      <c r="H43" t="s">
        <v>422</v>
      </c>
      <c r="I43" t="s">
        <v>424</v>
      </c>
      <c r="J43" t="s">
        <v>425</v>
      </c>
      <c r="N43" t="s">
        <v>428</v>
      </c>
    </row>
    <row r="44" spans="1:14" ht="15" customHeight="1" x14ac:dyDescent="0.25">
      <c r="A44" s="82">
        <v>42319</v>
      </c>
      <c r="B44" t="s">
        <v>427</v>
      </c>
      <c r="C44" t="s">
        <v>430</v>
      </c>
      <c r="D44" t="s">
        <v>431</v>
      </c>
      <c r="E44" t="s">
        <v>423</v>
      </c>
      <c r="F44" t="s">
        <v>429</v>
      </c>
      <c r="G44" t="s">
        <v>421</v>
      </c>
      <c r="H44" t="s">
        <v>422</v>
      </c>
      <c r="I44" t="s">
        <v>424</v>
      </c>
      <c r="J44" t="s">
        <v>425</v>
      </c>
      <c r="N44" t="s">
        <v>426</v>
      </c>
    </row>
    <row r="45" spans="1:14" ht="15" customHeight="1" x14ac:dyDescent="0.25">
      <c r="A45" s="82">
        <v>42320</v>
      </c>
      <c r="B45" t="s">
        <v>423</v>
      </c>
      <c r="C45" t="s">
        <v>422</v>
      </c>
      <c r="D45" t="s">
        <v>431</v>
      </c>
      <c r="E45" t="s">
        <v>421</v>
      </c>
      <c r="F45" t="s">
        <v>426</v>
      </c>
      <c r="G45" t="s">
        <v>427</v>
      </c>
      <c r="H45" t="s">
        <v>422</v>
      </c>
      <c r="I45" t="s">
        <v>424</v>
      </c>
      <c r="J45" t="s">
        <v>425</v>
      </c>
      <c r="N45" t="s">
        <v>426</v>
      </c>
    </row>
    <row r="46" spans="1:14" ht="15" customHeight="1" x14ac:dyDescent="0.25">
      <c r="A46" s="82">
        <v>42321</v>
      </c>
      <c r="B46" t="s">
        <v>421</v>
      </c>
      <c r="C46" t="s">
        <v>422</v>
      </c>
      <c r="D46" t="s">
        <v>427</v>
      </c>
      <c r="E46" t="s">
        <v>425</v>
      </c>
      <c r="F46" t="s">
        <v>428</v>
      </c>
      <c r="G46" t="s">
        <v>423</v>
      </c>
      <c r="H46" t="s">
        <v>428</v>
      </c>
      <c r="I46" t="s">
        <v>424</v>
      </c>
      <c r="J46" t="s">
        <v>425</v>
      </c>
      <c r="N46" t="s">
        <v>429</v>
      </c>
    </row>
    <row r="47" spans="1:14" ht="15" customHeight="1" x14ac:dyDescent="0.25">
      <c r="A47" s="82">
        <v>42322</v>
      </c>
      <c r="B47" t="s">
        <v>427</v>
      </c>
      <c r="C47" t="s">
        <v>422</v>
      </c>
      <c r="D47" t="s">
        <v>421</v>
      </c>
      <c r="E47" t="s">
        <v>425</v>
      </c>
      <c r="F47" t="s">
        <v>428</v>
      </c>
      <c r="G47" t="s">
        <v>423</v>
      </c>
      <c r="H47" t="s">
        <v>428</v>
      </c>
      <c r="I47" t="s">
        <v>424</v>
      </c>
      <c r="J47" t="s">
        <v>430</v>
      </c>
      <c r="N47" t="s">
        <v>429</v>
      </c>
    </row>
    <row r="48" spans="1:14" ht="15" customHeight="1" x14ac:dyDescent="0.25">
      <c r="A48" s="82">
        <v>42323</v>
      </c>
      <c r="B48" t="s">
        <v>421</v>
      </c>
      <c r="C48" t="s">
        <v>422</v>
      </c>
      <c r="D48" t="s">
        <v>427</v>
      </c>
      <c r="E48" t="s">
        <v>425</v>
      </c>
      <c r="F48" t="s">
        <v>428</v>
      </c>
      <c r="G48" t="s">
        <v>423</v>
      </c>
      <c r="H48" t="s">
        <v>428</v>
      </c>
      <c r="I48" t="s">
        <v>424</v>
      </c>
      <c r="J48" t="s">
        <v>430</v>
      </c>
      <c r="N48" t="s">
        <v>429</v>
      </c>
    </row>
    <row r="49" spans="1:14" ht="15" customHeight="1" x14ac:dyDescent="0.25">
      <c r="A49" s="82">
        <v>42324</v>
      </c>
      <c r="B49" t="s">
        <v>423</v>
      </c>
      <c r="C49" t="s">
        <v>422</v>
      </c>
      <c r="D49" t="s">
        <v>424</v>
      </c>
      <c r="E49" t="s">
        <v>425</v>
      </c>
      <c r="F49" t="s">
        <v>428</v>
      </c>
      <c r="G49" t="s">
        <v>421</v>
      </c>
      <c r="H49" t="s">
        <v>428</v>
      </c>
      <c r="I49" t="s">
        <v>427</v>
      </c>
      <c r="J49" t="s">
        <v>430</v>
      </c>
      <c r="N49" t="s">
        <v>429</v>
      </c>
    </row>
    <row r="50" spans="1:14" ht="15" customHeight="1" x14ac:dyDescent="0.25">
      <c r="A50" s="82">
        <v>42325</v>
      </c>
      <c r="B50" t="s">
        <v>423</v>
      </c>
      <c r="C50" t="s">
        <v>422</v>
      </c>
      <c r="D50" t="s">
        <v>424</v>
      </c>
      <c r="E50" t="s">
        <v>425</v>
      </c>
      <c r="F50" t="s">
        <v>428</v>
      </c>
      <c r="G50" t="s">
        <v>430</v>
      </c>
      <c r="H50" t="s">
        <v>428</v>
      </c>
      <c r="I50" t="s">
        <v>429</v>
      </c>
      <c r="J50" t="s">
        <v>427</v>
      </c>
      <c r="N50" t="s">
        <v>421</v>
      </c>
    </row>
    <row r="51" spans="1:14" ht="15" customHeight="1" x14ac:dyDescent="0.25">
      <c r="A51" s="82">
        <v>42326</v>
      </c>
      <c r="B51" t="s">
        <v>421</v>
      </c>
      <c r="C51" t="s">
        <v>422</v>
      </c>
      <c r="D51" t="s">
        <v>424</v>
      </c>
      <c r="E51" t="s">
        <v>425</v>
      </c>
      <c r="F51" t="s">
        <v>426</v>
      </c>
      <c r="G51" t="s">
        <v>430</v>
      </c>
      <c r="H51" t="s">
        <v>431</v>
      </c>
      <c r="I51" t="s">
        <v>423</v>
      </c>
      <c r="J51" t="s">
        <v>429</v>
      </c>
      <c r="N51" t="s">
        <v>427</v>
      </c>
    </row>
    <row r="52" spans="1:14" ht="15" customHeight="1" x14ac:dyDescent="0.25">
      <c r="A52" s="82">
        <v>42327</v>
      </c>
      <c r="B52" t="s">
        <v>427</v>
      </c>
      <c r="C52" t="s">
        <v>422</v>
      </c>
      <c r="D52" t="s">
        <v>424</v>
      </c>
      <c r="E52" t="s">
        <v>425</v>
      </c>
      <c r="F52" t="s">
        <v>426</v>
      </c>
      <c r="G52" t="s">
        <v>422</v>
      </c>
      <c r="H52" t="s">
        <v>431</v>
      </c>
      <c r="I52" t="s">
        <v>421</v>
      </c>
      <c r="J52" t="s">
        <v>426</v>
      </c>
      <c r="N52" t="s">
        <v>423</v>
      </c>
    </row>
    <row r="53" spans="1:14" ht="15" customHeight="1" x14ac:dyDescent="0.25">
      <c r="A53" s="82">
        <v>42328</v>
      </c>
      <c r="B53" t="s">
        <v>423</v>
      </c>
      <c r="C53" t="s">
        <v>428</v>
      </c>
      <c r="D53" t="s">
        <v>424</v>
      </c>
      <c r="E53" t="s">
        <v>425</v>
      </c>
      <c r="F53" t="s">
        <v>429</v>
      </c>
      <c r="G53" t="s">
        <v>422</v>
      </c>
      <c r="H53" t="s">
        <v>427</v>
      </c>
      <c r="I53" t="s">
        <v>425</v>
      </c>
      <c r="J53" t="s">
        <v>428</v>
      </c>
      <c r="N53" t="s">
        <v>421</v>
      </c>
    </row>
    <row r="54" spans="1:14" ht="15" customHeight="1" x14ac:dyDescent="0.25">
      <c r="A54" s="82">
        <v>42329</v>
      </c>
      <c r="B54" t="s">
        <v>423</v>
      </c>
      <c r="C54" t="s">
        <v>428</v>
      </c>
      <c r="D54" t="s">
        <v>424</v>
      </c>
      <c r="E54" t="s">
        <v>430</v>
      </c>
      <c r="F54" t="s">
        <v>429</v>
      </c>
      <c r="G54" t="s">
        <v>422</v>
      </c>
      <c r="H54" t="s">
        <v>421</v>
      </c>
      <c r="I54" t="s">
        <v>425</v>
      </c>
      <c r="J54" t="s">
        <v>428</v>
      </c>
      <c r="N54" t="s">
        <v>427</v>
      </c>
    </row>
    <row r="55" spans="1:14" ht="15" customHeight="1" x14ac:dyDescent="0.25">
      <c r="A55" s="82">
        <v>42330</v>
      </c>
      <c r="B55" t="s">
        <v>423</v>
      </c>
      <c r="C55" t="s">
        <v>428</v>
      </c>
      <c r="D55" t="s">
        <v>424</v>
      </c>
      <c r="E55" t="s">
        <v>430</v>
      </c>
      <c r="F55" t="s">
        <v>429</v>
      </c>
      <c r="G55" t="s">
        <v>422</v>
      </c>
      <c r="H55" t="s">
        <v>427</v>
      </c>
      <c r="I55" t="s">
        <v>425</v>
      </c>
      <c r="J55" t="s">
        <v>428</v>
      </c>
      <c r="N55" t="s">
        <v>421</v>
      </c>
    </row>
    <row r="56" spans="1:14" ht="15" customHeight="1" x14ac:dyDescent="0.25">
      <c r="A56" s="82">
        <v>42331</v>
      </c>
      <c r="B56" t="s">
        <v>421</v>
      </c>
      <c r="C56" t="s">
        <v>428</v>
      </c>
      <c r="D56" t="s">
        <v>427</v>
      </c>
      <c r="E56" t="s">
        <v>430</v>
      </c>
      <c r="F56" t="s">
        <v>429</v>
      </c>
      <c r="G56" t="s">
        <v>422</v>
      </c>
      <c r="H56" t="s">
        <v>424</v>
      </c>
      <c r="I56" t="s">
        <v>425</v>
      </c>
      <c r="J56" t="s">
        <v>428</v>
      </c>
      <c r="N56" t="s">
        <v>423</v>
      </c>
    </row>
    <row r="57" spans="1:14" ht="15" customHeight="1" x14ac:dyDescent="0.25">
      <c r="A57" s="82">
        <v>42332</v>
      </c>
      <c r="B57" t="s">
        <v>430</v>
      </c>
      <c r="C57" t="s">
        <v>428</v>
      </c>
      <c r="D57" t="s">
        <v>429</v>
      </c>
      <c r="E57" t="s">
        <v>427</v>
      </c>
      <c r="F57" t="s">
        <v>421</v>
      </c>
      <c r="G57" t="s">
        <v>422</v>
      </c>
      <c r="H57" t="s">
        <v>424</v>
      </c>
      <c r="I57" t="s">
        <v>425</v>
      </c>
      <c r="J57" t="s">
        <v>428</v>
      </c>
      <c r="N57" t="s">
        <v>423</v>
      </c>
    </row>
    <row r="58" spans="1:14" ht="15" customHeight="1" x14ac:dyDescent="0.25">
      <c r="A58" s="82">
        <v>42333</v>
      </c>
      <c r="B58" t="s">
        <v>430</v>
      </c>
      <c r="C58" t="s">
        <v>431</v>
      </c>
      <c r="D58" t="s">
        <v>423</v>
      </c>
      <c r="E58" t="s">
        <v>429</v>
      </c>
      <c r="F58" t="s">
        <v>427</v>
      </c>
      <c r="G58" t="s">
        <v>422</v>
      </c>
      <c r="H58" t="s">
        <v>424</v>
      </c>
      <c r="I58" t="s">
        <v>425</v>
      </c>
      <c r="J58" t="s">
        <v>426</v>
      </c>
      <c r="N58" t="s">
        <v>421</v>
      </c>
    </row>
    <row r="59" spans="1:14" ht="15" customHeight="1" x14ac:dyDescent="0.25">
      <c r="A59" s="82">
        <v>42334</v>
      </c>
      <c r="B59" t="s">
        <v>422</v>
      </c>
      <c r="C59" t="s">
        <v>431</v>
      </c>
      <c r="D59" t="s">
        <v>421</v>
      </c>
      <c r="E59" t="s">
        <v>426</v>
      </c>
      <c r="F59" t="s">
        <v>423</v>
      </c>
      <c r="G59" t="s">
        <v>422</v>
      </c>
      <c r="H59" t="s">
        <v>424</v>
      </c>
      <c r="I59" t="s">
        <v>425</v>
      </c>
      <c r="J59" t="s">
        <v>426</v>
      </c>
      <c r="N59" t="s">
        <v>427</v>
      </c>
    </row>
    <row r="60" spans="1:14" ht="15" customHeight="1" x14ac:dyDescent="0.25">
      <c r="A60" s="82">
        <v>42335</v>
      </c>
      <c r="B60" t="s">
        <v>422</v>
      </c>
      <c r="C60" t="s">
        <v>427</v>
      </c>
      <c r="D60" t="s">
        <v>425</v>
      </c>
      <c r="E60" t="s">
        <v>428</v>
      </c>
      <c r="F60" t="s">
        <v>421</v>
      </c>
      <c r="G60" t="s">
        <v>428</v>
      </c>
      <c r="H60" t="s">
        <v>424</v>
      </c>
      <c r="I60" t="s">
        <v>425</v>
      </c>
      <c r="J60" t="s">
        <v>429</v>
      </c>
      <c r="N60" t="s">
        <v>423</v>
      </c>
    </row>
    <row r="61" spans="1:14" ht="15" customHeight="1" x14ac:dyDescent="0.25">
      <c r="A61" s="82">
        <v>42336</v>
      </c>
      <c r="B61" t="s">
        <v>422</v>
      </c>
      <c r="C61" t="s">
        <v>421</v>
      </c>
      <c r="D61" t="s">
        <v>425</v>
      </c>
      <c r="E61" t="s">
        <v>428</v>
      </c>
      <c r="F61" t="s">
        <v>427</v>
      </c>
      <c r="G61" t="s">
        <v>428</v>
      </c>
      <c r="H61" t="s">
        <v>424</v>
      </c>
      <c r="I61" t="s">
        <v>430</v>
      </c>
      <c r="J61" t="s">
        <v>429</v>
      </c>
      <c r="N61" t="s">
        <v>423</v>
      </c>
    </row>
    <row r="62" spans="1:14" ht="15" customHeight="1" x14ac:dyDescent="0.25">
      <c r="A62" s="82">
        <v>42337</v>
      </c>
      <c r="B62" t="s">
        <v>422</v>
      </c>
      <c r="C62" t="s">
        <v>427</v>
      </c>
      <c r="D62" t="s">
        <v>425</v>
      </c>
      <c r="E62" t="s">
        <v>428</v>
      </c>
      <c r="F62" t="s">
        <v>421</v>
      </c>
      <c r="G62" t="s">
        <v>428</v>
      </c>
      <c r="H62" t="s">
        <v>424</v>
      </c>
      <c r="I62" t="s">
        <v>430</v>
      </c>
      <c r="J62" t="s">
        <v>429</v>
      </c>
      <c r="N62" t="s">
        <v>423</v>
      </c>
    </row>
    <row r="63" spans="1:14" ht="15" customHeight="1" x14ac:dyDescent="0.25">
      <c r="A63" s="82">
        <v>42338</v>
      </c>
      <c r="B63" t="s">
        <v>422</v>
      </c>
      <c r="C63" t="s">
        <v>424</v>
      </c>
      <c r="D63" t="s">
        <v>425</v>
      </c>
      <c r="E63" t="s">
        <v>428</v>
      </c>
      <c r="F63" t="s">
        <v>423</v>
      </c>
      <c r="G63" t="s">
        <v>428</v>
      </c>
      <c r="H63" t="s">
        <v>427</v>
      </c>
      <c r="I63" t="s">
        <v>430</v>
      </c>
      <c r="J63" t="s">
        <v>429</v>
      </c>
      <c r="N63" t="s">
        <v>421</v>
      </c>
    </row>
    <row r="64" spans="1:14" ht="15" customHeight="1" x14ac:dyDescent="0.25">
      <c r="A64" s="82">
        <v>42339</v>
      </c>
      <c r="B64" t="s">
        <v>422</v>
      </c>
      <c r="C64" t="s">
        <v>424</v>
      </c>
      <c r="D64" t="s">
        <v>425</v>
      </c>
      <c r="E64" t="s">
        <v>428</v>
      </c>
      <c r="F64" t="s">
        <v>423</v>
      </c>
      <c r="G64" t="s">
        <v>428</v>
      </c>
      <c r="H64" t="s">
        <v>429</v>
      </c>
      <c r="I64" t="s">
        <v>427</v>
      </c>
      <c r="J64" t="s">
        <v>421</v>
      </c>
      <c r="N64" t="s">
        <v>430</v>
      </c>
    </row>
    <row r="65" spans="1:14" ht="15" customHeight="1" x14ac:dyDescent="0.25">
      <c r="A65" s="82">
        <v>42340</v>
      </c>
      <c r="B65" t="s">
        <v>422</v>
      </c>
      <c r="C65" t="s">
        <v>424</v>
      </c>
      <c r="D65" t="s">
        <v>425</v>
      </c>
      <c r="E65" t="s">
        <v>426</v>
      </c>
      <c r="F65" t="s">
        <v>421</v>
      </c>
      <c r="G65" t="s">
        <v>431</v>
      </c>
      <c r="H65" t="s">
        <v>423</v>
      </c>
      <c r="I65" t="s">
        <v>429</v>
      </c>
      <c r="J65" t="s">
        <v>427</v>
      </c>
      <c r="N65" t="s">
        <v>430</v>
      </c>
    </row>
    <row r="66" spans="1:14" ht="15" customHeight="1" x14ac:dyDescent="0.25">
      <c r="A66" s="82">
        <v>42341</v>
      </c>
      <c r="B66" t="s">
        <v>422</v>
      </c>
      <c r="C66" t="s">
        <v>424</v>
      </c>
      <c r="D66" t="s">
        <v>425</v>
      </c>
      <c r="E66" t="s">
        <v>426</v>
      </c>
      <c r="F66" t="s">
        <v>427</v>
      </c>
      <c r="G66" t="s">
        <v>431</v>
      </c>
      <c r="H66" t="s">
        <v>421</v>
      </c>
      <c r="I66" t="s">
        <v>426</v>
      </c>
      <c r="J66" t="s">
        <v>423</v>
      </c>
      <c r="N66" t="s">
        <v>422</v>
      </c>
    </row>
    <row r="67" spans="1:14" ht="15" customHeight="1" x14ac:dyDescent="0.25">
      <c r="A67" s="82">
        <v>42342</v>
      </c>
      <c r="B67" t="s">
        <v>428</v>
      </c>
      <c r="C67" t="s">
        <v>424</v>
      </c>
      <c r="D67" t="s">
        <v>425</v>
      </c>
      <c r="E67" t="s">
        <v>429</v>
      </c>
      <c r="F67" t="s">
        <v>423</v>
      </c>
      <c r="G67" t="s">
        <v>427</v>
      </c>
      <c r="H67" t="s">
        <v>425</v>
      </c>
      <c r="I67" t="s">
        <v>428</v>
      </c>
      <c r="J67" t="s">
        <v>421</v>
      </c>
      <c r="N67" t="s">
        <v>422</v>
      </c>
    </row>
    <row r="68" spans="1:14" ht="15" customHeight="1" x14ac:dyDescent="0.25">
      <c r="A68" s="82">
        <v>42343</v>
      </c>
      <c r="B68" t="s">
        <v>428</v>
      </c>
      <c r="C68" t="s">
        <v>424</v>
      </c>
      <c r="D68" t="s">
        <v>430</v>
      </c>
      <c r="E68" t="s">
        <v>429</v>
      </c>
      <c r="F68" t="s">
        <v>423</v>
      </c>
      <c r="G68" t="s">
        <v>421</v>
      </c>
      <c r="H68" t="s">
        <v>425</v>
      </c>
      <c r="I68" t="s">
        <v>428</v>
      </c>
      <c r="J68" t="s">
        <v>427</v>
      </c>
      <c r="N68" t="s">
        <v>422</v>
      </c>
    </row>
    <row r="69" spans="1:14" ht="15" customHeight="1" x14ac:dyDescent="0.25">
      <c r="A69" s="82">
        <v>42344</v>
      </c>
      <c r="B69" t="s">
        <v>428</v>
      </c>
      <c r="C69" t="s">
        <v>424</v>
      </c>
      <c r="D69" t="s">
        <v>430</v>
      </c>
      <c r="E69" t="s">
        <v>429</v>
      </c>
      <c r="F69" t="s">
        <v>423</v>
      </c>
      <c r="G69" t="s">
        <v>427</v>
      </c>
      <c r="H69" t="s">
        <v>425</v>
      </c>
      <c r="I69" t="s">
        <v>428</v>
      </c>
      <c r="J69" t="s">
        <v>421</v>
      </c>
      <c r="N69" t="s">
        <v>422</v>
      </c>
    </row>
    <row r="70" spans="1:14" ht="15" customHeight="1" x14ac:dyDescent="0.25">
      <c r="A70" s="82">
        <v>42345</v>
      </c>
      <c r="B70" t="s">
        <v>428</v>
      </c>
      <c r="C70" t="s">
        <v>427</v>
      </c>
      <c r="D70" t="s">
        <v>430</v>
      </c>
      <c r="E70" t="s">
        <v>429</v>
      </c>
      <c r="F70" t="s">
        <v>421</v>
      </c>
      <c r="G70" t="s">
        <v>424</v>
      </c>
      <c r="H70" t="s">
        <v>425</v>
      </c>
      <c r="I70" t="s">
        <v>428</v>
      </c>
      <c r="J70" t="s">
        <v>423</v>
      </c>
      <c r="N70" t="s">
        <v>422</v>
      </c>
    </row>
    <row r="71" spans="1:14" ht="15" customHeight="1" x14ac:dyDescent="0.25">
      <c r="A71" s="82">
        <v>42346</v>
      </c>
      <c r="B71" t="s">
        <v>428</v>
      </c>
      <c r="C71" t="s">
        <v>429</v>
      </c>
      <c r="D71" t="s">
        <v>427</v>
      </c>
      <c r="E71" t="s">
        <v>421</v>
      </c>
      <c r="F71" t="s">
        <v>430</v>
      </c>
      <c r="G71" t="s">
        <v>424</v>
      </c>
      <c r="H71" t="s">
        <v>425</v>
      </c>
      <c r="I71" t="s">
        <v>428</v>
      </c>
      <c r="J71" t="s">
        <v>423</v>
      </c>
      <c r="N71" t="s">
        <v>422</v>
      </c>
    </row>
    <row r="72" spans="1:14" ht="15" customHeight="1" x14ac:dyDescent="0.25">
      <c r="A72" s="82">
        <v>42347</v>
      </c>
      <c r="B72" t="s">
        <v>431</v>
      </c>
      <c r="C72" t="s">
        <v>423</v>
      </c>
      <c r="D72" t="s">
        <v>429</v>
      </c>
      <c r="E72" t="s">
        <v>427</v>
      </c>
      <c r="F72" t="s">
        <v>430</v>
      </c>
      <c r="G72" t="s">
        <v>424</v>
      </c>
      <c r="H72" t="s">
        <v>425</v>
      </c>
      <c r="I72" t="s">
        <v>426</v>
      </c>
      <c r="J72" t="s">
        <v>421</v>
      </c>
      <c r="N72" t="s">
        <v>422</v>
      </c>
    </row>
    <row r="73" spans="1:14" ht="15" customHeight="1" x14ac:dyDescent="0.25">
      <c r="A73" s="82">
        <v>42348</v>
      </c>
      <c r="B73" t="s">
        <v>431</v>
      </c>
      <c r="C73" t="s">
        <v>421</v>
      </c>
      <c r="D73" t="s">
        <v>426</v>
      </c>
      <c r="E73" t="s">
        <v>423</v>
      </c>
      <c r="F73" t="s">
        <v>422</v>
      </c>
      <c r="G73" t="s">
        <v>424</v>
      </c>
      <c r="H73" t="s">
        <v>425</v>
      </c>
      <c r="I73" t="s">
        <v>426</v>
      </c>
      <c r="J73" t="s">
        <v>427</v>
      </c>
      <c r="N73" t="s">
        <v>422</v>
      </c>
    </row>
    <row r="74" spans="1:14" ht="15" customHeight="1" x14ac:dyDescent="0.25">
      <c r="A74" s="82">
        <v>42349</v>
      </c>
      <c r="B74" t="s">
        <v>427</v>
      </c>
      <c r="C74" t="s">
        <v>425</v>
      </c>
      <c r="D74" t="s">
        <v>428</v>
      </c>
      <c r="E74" t="s">
        <v>421</v>
      </c>
      <c r="F74" t="s">
        <v>422</v>
      </c>
      <c r="G74" t="s">
        <v>424</v>
      </c>
      <c r="H74" t="s">
        <v>425</v>
      </c>
      <c r="I74" t="s">
        <v>429</v>
      </c>
      <c r="J74" t="s">
        <v>423</v>
      </c>
      <c r="N74" t="s">
        <v>428</v>
      </c>
    </row>
    <row r="75" spans="1:14" ht="15" customHeight="1" x14ac:dyDescent="0.25">
      <c r="A75" s="82">
        <v>42350</v>
      </c>
      <c r="B75" t="s">
        <v>421</v>
      </c>
      <c r="C75" t="s">
        <v>425</v>
      </c>
      <c r="D75" t="s">
        <v>428</v>
      </c>
      <c r="E75" t="s">
        <v>427</v>
      </c>
      <c r="F75" t="s">
        <v>422</v>
      </c>
      <c r="G75" t="s">
        <v>424</v>
      </c>
      <c r="H75" t="s">
        <v>430</v>
      </c>
      <c r="I75" t="s">
        <v>429</v>
      </c>
      <c r="J75" t="s">
        <v>423</v>
      </c>
      <c r="N75" t="s">
        <v>428</v>
      </c>
    </row>
    <row r="76" spans="1:14" ht="15" customHeight="1" x14ac:dyDescent="0.25">
      <c r="A76" s="82">
        <v>42351</v>
      </c>
      <c r="B76" t="s">
        <v>427</v>
      </c>
      <c r="C76" t="s">
        <v>425</v>
      </c>
      <c r="D76" t="s">
        <v>428</v>
      </c>
      <c r="E76" t="s">
        <v>421</v>
      </c>
      <c r="F76" t="s">
        <v>422</v>
      </c>
      <c r="G76" t="s">
        <v>424</v>
      </c>
      <c r="H76" t="s">
        <v>430</v>
      </c>
      <c r="I76" t="s">
        <v>429</v>
      </c>
      <c r="J76" t="s">
        <v>423</v>
      </c>
      <c r="N76" t="s">
        <v>428</v>
      </c>
    </row>
    <row r="77" spans="1:14" ht="15" customHeight="1" x14ac:dyDescent="0.25">
      <c r="A77" s="82">
        <v>42352</v>
      </c>
      <c r="B77" t="s">
        <v>424</v>
      </c>
      <c r="C77" t="s">
        <v>425</v>
      </c>
      <c r="D77" t="s">
        <v>428</v>
      </c>
      <c r="E77" t="s">
        <v>423</v>
      </c>
      <c r="F77" t="s">
        <v>422</v>
      </c>
      <c r="G77" t="s">
        <v>427</v>
      </c>
      <c r="H77" t="s">
        <v>430</v>
      </c>
      <c r="I77" t="s">
        <v>429</v>
      </c>
      <c r="J77" t="s">
        <v>421</v>
      </c>
      <c r="N77" t="s">
        <v>428</v>
      </c>
    </row>
    <row r="78" spans="1:14" ht="15" customHeight="1" x14ac:dyDescent="0.25">
      <c r="A78" s="82">
        <v>42353</v>
      </c>
      <c r="B78" t="s">
        <v>424</v>
      </c>
      <c r="C78" t="s">
        <v>425</v>
      </c>
      <c r="D78" t="s">
        <v>428</v>
      </c>
      <c r="E78" t="s">
        <v>423</v>
      </c>
      <c r="F78" t="s">
        <v>422</v>
      </c>
      <c r="G78" t="s">
        <v>429</v>
      </c>
      <c r="H78" t="s">
        <v>427</v>
      </c>
      <c r="I78" t="s">
        <v>421</v>
      </c>
      <c r="J78" t="s">
        <v>430</v>
      </c>
      <c r="N78" t="s">
        <v>428</v>
      </c>
    </row>
    <row r="79" spans="1:14" ht="15" customHeight="1" x14ac:dyDescent="0.25">
      <c r="A79" s="82">
        <v>42354</v>
      </c>
      <c r="B79" t="s">
        <v>424</v>
      </c>
      <c r="C79" t="s">
        <v>425</v>
      </c>
      <c r="D79" t="s">
        <v>426</v>
      </c>
      <c r="E79" t="s">
        <v>421</v>
      </c>
      <c r="F79" t="s">
        <v>422</v>
      </c>
      <c r="G79" t="s">
        <v>423</v>
      </c>
      <c r="H79" t="s">
        <v>429</v>
      </c>
      <c r="I79" t="s">
        <v>427</v>
      </c>
      <c r="J79" t="s">
        <v>430</v>
      </c>
      <c r="N79" t="s">
        <v>431</v>
      </c>
    </row>
    <row r="80" spans="1:14" ht="15" customHeight="1" x14ac:dyDescent="0.25">
      <c r="A80" s="82">
        <v>42355</v>
      </c>
      <c r="B80" t="s">
        <v>424</v>
      </c>
      <c r="C80" t="s">
        <v>425</v>
      </c>
      <c r="D80" t="s">
        <v>426</v>
      </c>
      <c r="E80" t="s">
        <v>427</v>
      </c>
      <c r="F80" t="s">
        <v>422</v>
      </c>
      <c r="G80" t="s">
        <v>421</v>
      </c>
      <c r="H80" t="s">
        <v>426</v>
      </c>
      <c r="I80" t="s">
        <v>423</v>
      </c>
      <c r="J80" t="s">
        <v>422</v>
      </c>
      <c r="N80" t="s">
        <v>431</v>
      </c>
    </row>
    <row r="81" spans="1:14" ht="15" customHeight="1" x14ac:dyDescent="0.25">
      <c r="A81" s="82">
        <v>42356</v>
      </c>
      <c r="B81" t="s">
        <v>424</v>
      </c>
      <c r="C81" t="s">
        <v>425</v>
      </c>
      <c r="D81" t="s">
        <v>429</v>
      </c>
      <c r="E81" t="s">
        <v>423</v>
      </c>
      <c r="F81" t="s">
        <v>428</v>
      </c>
      <c r="G81" t="s">
        <v>425</v>
      </c>
      <c r="H81" t="s">
        <v>428</v>
      </c>
      <c r="I81" t="s">
        <v>421</v>
      </c>
      <c r="J81" t="s">
        <v>422</v>
      </c>
      <c r="N81" t="s">
        <v>427</v>
      </c>
    </row>
    <row r="82" spans="1:14" ht="15" customHeight="1" x14ac:dyDescent="0.25">
      <c r="A82" s="82">
        <v>42357</v>
      </c>
      <c r="B82" t="s">
        <v>424</v>
      </c>
      <c r="C82" t="s">
        <v>430</v>
      </c>
      <c r="D82" t="s">
        <v>429</v>
      </c>
      <c r="E82" t="s">
        <v>423</v>
      </c>
      <c r="F82" t="s">
        <v>428</v>
      </c>
      <c r="G82" t="s">
        <v>425</v>
      </c>
      <c r="H82" t="s">
        <v>428</v>
      </c>
      <c r="I82" t="s">
        <v>427</v>
      </c>
      <c r="J82" t="s">
        <v>426</v>
      </c>
      <c r="N82" t="s">
        <v>421</v>
      </c>
    </row>
    <row r="83" spans="1:14" ht="15" customHeight="1" x14ac:dyDescent="0.25">
      <c r="A83" s="82">
        <v>42358</v>
      </c>
      <c r="B83" t="s">
        <v>424</v>
      </c>
      <c r="C83" t="s">
        <v>430</v>
      </c>
      <c r="D83" t="s">
        <v>429</v>
      </c>
      <c r="E83" t="s">
        <v>423</v>
      </c>
      <c r="F83" t="s">
        <v>428</v>
      </c>
      <c r="G83" t="s">
        <v>425</v>
      </c>
      <c r="H83" t="s">
        <v>428</v>
      </c>
      <c r="I83" t="s">
        <v>421</v>
      </c>
      <c r="J83" t="s">
        <v>426</v>
      </c>
      <c r="N83" t="s">
        <v>427</v>
      </c>
    </row>
    <row r="84" spans="1:14" ht="15" customHeight="1" x14ac:dyDescent="0.25">
      <c r="A84" s="82">
        <v>42359</v>
      </c>
      <c r="B84" t="s">
        <v>427</v>
      </c>
      <c r="C84" t="s">
        <v>430</v>
      </c>
      <c r="D84" t="s">
        <v>429</v>
      </c>
      <c r="E84" t="s">
        <v>421</v>
      </c>
      <c r="F84" t="s">
        <v>428</v>
      </c>
      <c r="G84" t="s">
        <v>425</v>
      </c>
      <c r="H84" t="s">
        <v>428</v>
      </c>
      <c r="I84" t="s">
        <v>423</v>
      </c>
      <c r="J84" t="s">
        <v>426</v>
      </c>
      <c r="N84" t="s">
        <v>424</v>
      </c>
    </row>
    <row r="85" spans="1:14" ht="15" customHeight="1" x14ac:dyDescent="0.25">
      <c r="A85" s="82">
        <v>42360</v>
      </c>
      <c r="B85" t="s">
        <v>429</v>
      </c>
      <c r="C85" t="s">
        <v>427</v>
      </c>
      <c r="D85" t="s">
        <v>421</v>
      </c>
      <c r="E85" t="s">
        <v>430</v>
      </c>
      <c r="F85" t="s">
        <v>428</v>
      </c>
      <c r="G85" t="s">
        <v>425</v>
      </c>
      <c r="H85" t="s">
        <v>428</v>
      </c>
      <c r="I85" t="s">
        <v>423</v>
      </c>
      <c r="J85" t="s">
        <v>426</v>
      </c>
      <c r="N85" t="s">
        <v>424</v>
      </c>
    </row>
    <row r="86" spans="1:14" ht="15" customHeight="1" x14ac:dyDescent="0.25">
      <c r="A86" s="82">
        <v>42361</v>
      </c>
      <c r="B86" t="s">
        <v>430</v>
      </c>
      <c r="C86" t="s">
        <v>431</v>
      </c>
      <c r="D86" t="s">
        <v>429</v>
      </c>
      <c r="E86" t="s">
        <v>423</v>
      </c>
      <c r="F86" t="s">
        <v>421</v>
      </c>
      <c r="G86" t="s">
        <v>425</v>
      </c>
      <c r="H86" t="s">
        <v>426</v>
      </c>
      <c r="I86" t="s">
        <v>424</v>
      </c>
      <c r="J86" t="s">
        <v>422</v>
      </c>
      <c r="N86" t="s">
        <v>427</v>
      </c>
    </row>
    <row r="87" spans="1:14" ht="15" customHeight="1" x14ac:dyDescent="0.25">
      <c r="A87" s="82">
        <v>42362</v>
      </c>
      <c r="B87" t="s">
        <v>430</v>
      </c>
      <c r="C87" t="s">
        <v>431</v>
      </c>
      <c r="D87" t="s">
        <v>429</v>
      </c>
      <c r="E87" t="s">
        <v>423</v>
      </c>
      <c r="F87" t="s">
        <v>421</v>
      </c>
      <c r="G87" t="s">
        <v>425</v>
      </c>
      <c r="H87" t="s">
        <v>426</v>
      </c>
      <c r="I87" t="s">
        <v>427</v>
      </c>
      <c r="J87" t="s">
        <v>422</v>
      </c>
      <c r="N87" t="s">
        <v>424</v>
      </c>
    </row>
    <row r="88" spans="1:14" ht="15" customHeight="1" x14ac:dyDescent="0.25">
      <c r="A88" s="82">
        <v>42363</v>
      </c>
      <c r="B88" t="s">
        <v>430</v>
      </c>
      <c r="C88" t="s">
        <v>428</v>
      </c>
      <c r="D88" t="s">
        <v>429</v>
      </c>
      <c r="E88" t="s">
        <v>421</v>
      </c>
      <c r="F88" t="s">
        <v>427</v>
      </c>
      <c r="G88" t="s">
        <v>425</v>
      </c>
      <c r="H88" t="s">
        <v>426</v>
      </c>
      <c r="I88" t="s">
        <v>423</v>
      </c>
      <c r="J88" t="s">
        <v>428</v>
      </c>
      <c r="N88" t="s">
        <v>424</v>
      </c>
    </row>
    <row r="89" spans="1:14" ht="15" customHeight="1" x14ac:dyDescent="0.25">
      <c r="A89" s="82">
        <v>42364</v>
      </c>
      <c r="B89" t="s">
        <v>425</v>
      </c>
      <c r="C89" t="s">
        <v>428</v>
      </c>
      <c r="D89" t="s">
        <v>429</v>
      </c>
      <c r="E89" t="s">
        <v>427</v>
      </c>
      <c r="F89" t="s">
        <v>423</v>
      </c>
      <c r="G89" t="s">
        <v>425</v>
      </c>
      <c r="H89" t="s">
        <v>430</v>
      </c>
      <c r="I89" t="s">
        <v>421</v>
      </c>
      <c r="J89" t="s">
        <v>428</v>
      </c>
      <c r="N89" t="s">
        <v>424</v>
      </c>
    </row>
    <row r="90" spans="1:14" ht="15" customHeight="1" x14ac:dyDescent="0.25">
      <c r="A90" s="82">
        <v>42365</v>
      </c>
      <c r="B90" t="s">
        <v>425</v>
      </c>
      <c r="C90" t="s">
        <v>428</v>
      </c>
      <c r="D90" t="s">
        <v>429</v>
      </c>
      <c r="E90" t="s">
        <v>424</v>
      </c>
      <c r="F90" t="s">
        <v>421</v>
      </c>
      <c r="G90" t="s">
        <v>426</v>
      </c>
      <c r="H90" t="s">
        <v>430</v>
      </c>
      <c r="I90" t="s">
        <v>423</v>
      </c>
      <c r="J90" t="s">
        <v>428</v>
      </c>
      <c r="N90" t="s">
        <v>427</v>
      </c>
    </row>
    <row r="91" spans="1:14" ht="15" customHeight="1" x14ac:dyDescent="0.25">
      <c r="A91" s="82">
        <v>42366</v>
      </c>
      <c r="B91" t="s">
        <v>425</v>
      </c>
      <c r="C91" t="s">
        <v>428</v>
      </c>
      <c r="D91" t="s">
        <v>423</v>
      </c>
      <c r="E91" t="s">
        <v>426</v>
      </c>
      <c r="F91" t="s">
        <v>427</v>
      </c>
      <c r="G91" t="s">
        <v>430</v>
      </c>
      <c r="H91" t="s">
        <v>429</v>
      </c>
      <c r="I91" t="s">
        <v>421</v>
      </c>
      <c r="J91" t="s">
        <v>428</v>
      </c>
      <c r="N91" t="s">
        <v>424</v>
      </c>
    </row>
    <row r="92" spans="1:14" ht="15" customHeight="1" x14ac:dyDescent="0.25">
      <c r="A92" s="82">
        <v>42367</v>
      </c>
      <c r="B92" t="s">
        <v>425</v>
      </c>
      <c r="C92" t="s">
        <v>428</v>
      </c>
      <c r="D92" t="s">
        <v>423</v>
      </c>
      <c r="E92" t="s">
        <v>426</v>
      </c>
      <c r="F92" t="s">
        <v>424</v>
      </c>
      <c r="G92" t="s">
        <v>427</v>
      </c>
      <c r="H92" t="s">
        <v>421</v>
      </c>
      <c r="I92" t="s">
        <v>430</v>
      </c>
      <c r="J92" t="s">
        <v>428</v>
      </c>
      <c r="N92" t="s">
        <v>429</v>
      </c>
    </row>
    <row r="93" spans="1:14" ht="15" customHeight="1" x14ac:dyDescent="0.25">
      <c r="A93" s="82">
        <v>42368</v>
      </c>
      <c r="B93" t="s">
        <v>425</v>
      </c>
      <c r="C93" t="s">
        <v>429</v>
      </c>
      <c r="D93" t="s">
        <v>423</v>
      </c>
      <c r="E93" t="s">
        <v>427</v>
      </c>
      <c r="F93" t="s">
        <v>430</v>
      </c>
      <c r="G93" t="s">
        <v>422</v>
      </c>
      <c r="H93" t="s">
        <v>432</v>
      </c>
      <c r="I93" t="s">
        <v>430</v>
      </c>
      <c r="J93" t="s">
        <v>421</v>
      </c>
      <c r="N93" t="s">
        <v>431</v>
      </c>
    </row>
    <row r="94" spans="1:14" ht="15" customHeight="1" x14ac:dyDescent="0.25">
      <c r="A94" s="82">
        <v>42369</v>
      </c>
      <c r="B94" t="s">
        <v>425</v>
      </c>
      <c r="C94" t="s">
        <v>433</v>
      </c>
      <c r="D94" t="s">
        <v>427</v>
      </c>
      <c r="E94" t="s">
        <v>422</v>
      </c>
      <c r="F94" t="s">
        <v>430</v>
      </c>
      <c r="G94" t="s">
        <v>429</v>
      </c>
      <c r="H94" t="s">
        <v>432</v>
      </c>
      <c r="I94" t="s">
        <v>426</v>
      </c>
      <c r="J94" t="s">
        <v>421</v>
      </c>
      <c r="N94" t="s">
        <v>431</v>
      </c>
    </row>
    <row r="95" spans="1:14" ht="15" customHeight="1" x14ac:dyDescent="0.25">
      <c r="A95" s="82">
        <v>42370</v>
      </c>
      <c r="B95" t="s">
        <v>425</v>
      </c>
      <c r="C95" t="s">
        <v>433</v>
      </c>
      <c r="D95" t="s">
        <v>421</v>
      </c>
      <c r="E95" t="s">
        <v>428</v>
      </c>
      <c r="F95" t="s">
        <v>430</v>
      </c>
      <c r="G95" t="s">
        <v>428</v>
      </c>
      <c r="H95" t="s">
        <v>432</v>
      </c>
      <c r="I95" t="s">
        <v>429</v>
      </c>
      <c r="J95" t="s">
        <v>427</v>
      </c>
      <c r="N95" t="s">
        <v>426</v>
      </c>
    </row>
    <row r="96" spans="1:14" ht="15" customHeight="1" x14ac:dyDescent="0.25">
      <c r="A96" s="82">
        <v>42371</v>
      </c>
      <c r="B96" t="s">
        <v>425</v>
      </c>
      <c r="C96" t="s">
        <v>423</v>
      </c>
      <c r="D96" t="s">
        <v>427</v>
      </c>
      <c r="E96" t="s">
        <v>428</v>
      </c>
      <c r="F96" t="s">
        <v>430</v>
      </c>
      <c r="G96" t="s">
        <v>428</v>
      </c>
      <c r="H96" t="s">
        <v>432</v>
      </c>
      <c r="I96" t="s">
        <v>429</v>
      </c>
      <c r="J96" t="s">
        <v>421</v>
      </c>
      <c r="N96" t="s">
        <v>425</v>
      </c>
    </row>
    <row r="97" spans="1:14" ht="15" customHeight="1" x14ac:dyDescent="0.25">
      <c r="A97" s="82">
        <v>42372</v>
      </c>
      <c r="B97" t="s">
        <v>429</v>
      </c>
      <c r="C97" t="s">
        <v>421</v>
      </c>
      <c r="D97" t="s">
        <v>423</v>
      </c>
      <c r="E97" t="s">
        <v>428</v>
      </c>
      <c r="F97" t="s">
        <v>430</v>
      </c>
      <c r="G97" t="s">
        <v>428</v>
      </c>
      <c r="H97" t="s">
        <v>432</v>
      </c>
      <c r="I97" t="s">
        <v>426</v>
      </c>
      <c r="J97" t="s">
        <v>427</v>
      </c>
      <c r="N97" t="s">
        <v>425</v>
      </c>
    </row>
    <row r="98" spans="1:14" ht="15" customHeight="1" x14ac:dyDescent="0.25">
      <c r="A98" s="82">
        <v>42373</v>
      </c>
      <c r="B98" t="s">
        <v>430</v>
      </c>
      <c r="C98" t="s">
        <v>429</v>
      </c>
      <c r="D98" t="s">
        <v>421</v>
      </c>
      <c r="E98" t="s">
        <v>428</v>
      </c>
      <c r="F98" t="s">
        <v>427</v>
      </c>
      <c r="G98" t="s">
        <v>428</v>
      </c>
      <c r="H98" t="s">
        <v>423</v>
      </c>
      <c r="I98" t="s">
        <v>426</v>
      </c>
      <c r="J98" t="s">
        <v>424</v>
      </c>
      <c r="N98" t="s">
        <v>425</v>
      </c>
    </row>
    <row r="99" spans="1:14" ht="15" customHeight="1" x14ac:dyDescent="0.25">
      <c r="A99" s="82">
        <v>42374</v>
      </c>
      <c r="B99" t="s">
        <v>427</v>
      </c>
      <c r="C99" t="s">
        <v>421</v>
      </c>
      <c r="D99" t="s">
        <v>430</v>
      </c>
      <c r="E99" t="s">
        <v>428</v>
      </c>
      <c r="F99" t="s">
        <v>429</v>
      </c>
      <c r="G99" t="s">
        <v>428</v>
      </c>
      <c r="H99" t="s">
        <v>423</v>
      </c>
      <c r="I99" t="s">
        <v>422</v>
      </c>
      <c r="J99" t="s">
        <v>424</v>
      </c>
      <c r="N99" t="s">
        <v>425</v>
      </c>
    </row>
    <row r="100" spans="1:14" ht="15" customHeight="1" x14ac:dyDescent="0.25">
      <c r="A100" s="82">
        <v>42375</v>
      </c>
      <c r="B100" t="s">
        <v>429</v>
      </c>
      <c r="C100" t="s">
        <v>427</v>
      </c>
      <c r="D100" t="s">
        <v>430</v>
      </c>
      <c r="E100" t="s">
        <v>431</v>
      </c>
      <c r="F100" t="s">
        <v>423</v>
      </c>
      <c r="G100" t="s">
        <v>426</v>
      </c>
      <c r="H100" t="s">
        <v>421</v>
      </c>
      <c r="I100" t="s">
        <v>422</v>
      </c>
      <c r="J100" t="s">
        <v>424</v>
      </c>
      <c r="N100" t="s">
        <v>425</v>
      </c>
    </row>
    <row r="101" spans="1:14" ht="15" customHeight="1" x14ac:dyDescent="0.25">
      <c r="A101" s="82">
        <v>42376</v>
      </c>
      <c r="B101" t="s">
        <v>426</v>
      </c>
      <c r="C101" t="s">
        <v>423</v>
      </c>
      <c r="D101" t="s">
        <v>422</v>
      </c>
      <c r="E101" t="s">
        <v>431</v>
      </c>
      <c r="F101" t="s">
        <v>421</v>
      </c>
      <c r="G101" t="s">
        <v>426</v>
      </c>
      <c r="H101" t="s">
        <v>427</v>
      </c>
      <c r="I101" t="s">
        <v>422</v>
      </c>
      <c r="J101" t="s">
        <v>424</v>
      </c>
      <c r="N101" t="s">
        <v>425</v>
      </c>
    </row>
    <row r="102" spans="1:14" ht="15" customHeight="1" x14ac:dyDescent="0.25">
      <c r="A102" s="82">
        <v>42377</v>
      </c>
      <c r="B102" t="s">
        <v>428</v>
      </c>
      <c r="C102" t="s">
        <v>421</v>
      </c>
      <c r="D102" t="s">
        <v>422</v>
      </c>
      <c r="E102" t="s">
        <v>427</v>
      </c>
      <c r="F102" t="s">
        <v>425</v>
      </c>
      <c r="G102" t="s">
        <v>429</v>
      </c>
      <c r="H102" t="s">
        <v>423</v>
      </c>
      <c r="I102" t="s">
        <v>428</v>
      </c>
      <c r="J102" t="s">
        <v>424</v>
      </c>
      <c r="N102" t="s">
        <v>425</v>
      </c>
    </row>
    <row r="103" spans="1:14" ht="15" customHeight="1" x14ac:dyDescent="0.25">
      <c r="A103" s="82">
        <v>42378</v>
      </c>
      <c r="B103" t="s">
        <v>428</v>
      </c>
      <c r="C103" t="s">
        <v>427</v>
      </c>
      <c r="D103" t="s">
        <v>422</v>
      </c>
      <c r="E103" t="s">
        <v>421</v>
      </c>
      <c r="F103" t="s">
        <v>425</v>
      </c>
      <c r="G103" t="s">
        <v>429</v>
      </c>
      <c r="H103" t="s">
        <v>423</v>
      </c>
      <c r="I103" t="s">
        <v>428</v>
      </c>
      <c r="J103" t="s">
        <v>424</v>
      </c>
      <c r="N103" t="s">
        <v>430</v>
      </c>
    </row>
    <row r="104" spans="1:14" ht="15" customHeight="1" x14ac:dyDescent="0.25">
      <c r="A104" s="82">
        <v>42379</v>
      </c>
      <c r="B104" t="s">
        <v>428</v>
      </c>
      <c r="C104" t="s">
        <v>421</v>
      </c>
      <c r="D104" t="s">
        <v>422</v>
      </c>
      <c r="E104" t="s">
        <v>427</v>
      </c>
      <c r="F104" t="s">
        <v>425</v>
      </c>
      <c r="G104" t="s">
        <v>429</v>
      </c>
      <c r="H104" t="s">
        <v>423</v>
      </c>
      <c r="I104" t="s">
        <v>428</v>
      </c>
      <c r="J104" t="s">
        <v>424</v>
      </c>
      <c r="N104" t="s">
        <v>430</v>
      </c>
    </row>
    <row r="105" spans="1:14" ht="15" customHeight="1" x14ac:dyDescent="0.25">
      <c r="A105" s="82">
        <v>42380</v>
      </c>
      <c r="B105" t="s">
        <v>428</v>
      </c>
      <c r="C105" t="s">
        <v>423</v>
      </c>
      <c r="D105" t="s">
        <v>422</v>
      </c>
      <c r="E105" t="s">
        <v>424</v>
      </c>
      <c r="F105" t="s">
        <v>425</v>
      </c>
      <c r="G105" t="s">
        <v>429</v>
      </c>
      <c r="H105" t="s">
        <v>421</v>
      </c>
      <c r="I105" t="s">
        <v>428</v>
      </c>
      <c r="J105" t="s">
        <v>427</v>
      </c>
      <c r="N105" t="s">
        <v>430</v>
      </c>
    </row>
    <row r="106" spans="1:14" ht="15" customHeight="1" x14ac:dyDescent="0.25">
      <c r="A106" s="82">
        <v>42381</v>
      </c>
      <c r="B106" t="s">
        <v>428</v>
      </c>
      <c r="C106" t="s">
        <v>423</v>
      </c>
      <c r="D106" t="s">
        <v>422</v>
      </c>
      <c r="E106" t="s">
        <v>424</v>
      </c>
      <c r="F106" t="s">
        <v>425</v>
      </c>
      <c r="G106" t="s">
        <v>421</v>
      </c>
      <c r="H106" t="s">
        <v>430</v>
      </c>
      <c r="I106" t="s">
        <v>428</v>
      </c>
      <c r="J106" t="s">
        <v>429</v>
      </c>
      <c r="N106" t="s">
        <v>427</v>
      </c>
    </row>
    <row r="107" spans="1:14" ht="15" customHeight="1" x14ac:dyDescent="0.25">
      <c r="A107" s="82">
        <v>42382</v>
      </c>
      <c r="B107" t="s">
        <v>426</v>
      </c>
      <c r="C107" t="s">
        <v>421</v>
      </c>
      <c r="D107" t="s">
        <v>422</v>
      </c>
      <c r="E107" t="s">
        <v>424</v>
      </c>
      <c r="F107" t="s">
        <v>425</v>
      </c>
      <c r="G107" t="s">
        <v>427</v>
      </c>
      <c r="H107" t="s">
        <v>430</v>
      </c>
      <c r="I107" t="s">
        <v>431</v>
      </c>
      <c r="J107" t="s">
        <v>423</v>
      </c>
      <c r="N107" t="s">
        <v>429</v>
      </c>
    </row>
    <row r="108" spans="1:14" ht="15" customHeight="1" x14ac:dyDescent="0.25">
      <c r="A108" s="82">
        <v>42383</v>
      </c>
      <c r="B108" t="s">
        <v>426</v>
      </c>
      <c r="C108" t="s">
        <v>427</v>
      </c>
      <c r="D108" t="s">
        <v>422</v>
      </c>
      <c r="E108" t="s">
        <v>424</v>
      </c>
      <c r="F108" t="s">
        <v>425</v>
      </c>
      <c r="G108" t="s">
        <v>423</v>
      </c>
      <c r="H108" t="s">
        <v>422</v>
      </c>
      <c r="I108" t="s">
        <v>431</v>
      </c>
      <c r="J108" t="s">
        <v>421</v>
      </c>
      <c r="N108" t="s">
        <v>426</v>
      </c>
    </row>
    <row r="109" spans="1:14" ht="15" customHeight="1" x14ac:dyDescent="0.25">
      <c r="A109" s="82">
        <v>42384</v>
      </c>
      <c r="B109" t="s">
        <v>429</v>
      </c>
      <c r="C109" t="s">
        <v>423</v>
      </c>
      <c r="D109" t="s">
        <v>428</v>
      </c>
      <c r="E109" t="s">
        <v>424</v>
      </c>
      <c r="F109" t="s">
        <v>425</v>
      </c>
      <c r="G109" t="s">
        <v>421</v>
      </c>
      <c r="H109" t="s">
        <v>422</v>
      </c>
      <c r="I109" t="s">
        <v>427</v>
      </c>
      <c r="J109" t="s">
        <v>425</v>
      </c>
      <c r="N109" t="s">
        <v>428</v>
      </c>
    </row>
    <row r="110" spans="1:14" ht="15" customHeight="1" x14ac:dyDescent="0.25">
      <c r="A110" s="82">
        <v>42385</v>
      </c>
      <c r="B110" t="s">
        <v>429</v>
      </c>
      <c r="C110" t="s">
        <v>423</v>
      </c>
      <c r="D110" t="s">
        <v>428</v>
      </c>
      <c r="E110" t="s">
        <v>424</v>
      </c>
      <c r="F110" t="s">
        <v>430</v>
      </c>
      <c r="G110" t="s">
        <v>427</v>
      </c>
      <c r="H110" t="s">
        <v>422</v>
      </c>
      <c r="I110" t="s">
        <v>421</v>
      </c>
      <c r="J110" t="s">
        <v>425</v>
      </c>
      <c r="N110" t="s">
        <v>428</v>
      </c>
    </row>
    <row r="111" spans="1:14" ht="15" customHeight="1" x14ac:dyDescent="0.25">
      <c r="A111" s="82">
        <v>42386</v>
      </c>
      <c r="B111" t="s">
        <v>429</v>
      </c>
      <c r="C111" t="s">
        <v>423</v>
      </c>
      <c r="D111" t="s">
        <v>428</v>
      </c>
      <c r="E111" t="s">
        <v>424</v>
      </c>
      <c r="F111" t="s">
        <v>430</v>
      </c>
      <c r="G111" t="s">
        <v>421</v>
      </c>
      <c r="H111" t="s">
        <v>422</v>
      </c>
      <c r="I111" t="s">
        <v>427</v>
      </c>
      <c r="J111" t="s">
        <v>425</v>
      </c>
      <c r="N111" t="s">
        <v>428</v>
      </c>
    </row>
    <row r="112" spans="1:14" ht="15" customHeight="1" x14ac:dyDescent="0.25">
      <c r="A112" s="82">
        <v>42387</v>
      </c>
      <c r="B112" t="s">
        <v>429</v>
      </c>
      <c r="C112" t="s">
        <v>421</v>
      </c>
      <c r="D112" t="s">
        <v>428</v>
      </c>
      <c r="E112" t="s">
        <v>427</v>
      </c>
      <c r="F112" t="s">
        <v>430</v>
      </c>
      <c r="G112" t="s">
        <v>423</v>
      </c>
      <c r="H112" t="s">
        <v>422</v>
      </c>
      <c r="I112" t="s">
        <v>424</v>
      </c>
      <c r="J112" t="s">
        <v>425</v>
      </c>
      <c r="N112" t="s">
        <v>428</v>
      </c>
    </row>
    <row r="113" spans="1:14" ht="15" customHeight="1" x14ac:dyDescent="0.25">
      <c r="A113" s="82">
        <v>42388</v>
      </c>
      <c r="B113" t="s">
        <v>421</v>
      </c>
      <c r="C113" t="s">
        <v>430</v>
      </c>
      <c r="D113" t="s">
        <v>428</v>
      </c>
      <c r="E113" t="s">
        <v>429</v>
      </c>
      <c r="F113" t="s">
        <v>427</v>
      </c>
      <c r="G113" t="s">
        <v>423</v>
      </c>
      <c r="H113" t="s">
        <v>422</v>
      </c>
      <c r="I113" t="s">
        <v>424</v>
      </c>
      <c r="J113" t="s">
        <v>425</v>
      </c>
      <c r="N113" t="s">
        <v>428</v>
      </c>
    </row>
    <row r="114" spans="1:14" ht="15" customHeight="1" x14ac:dyDescent="0.25">
      <c r="A114" s="82">
        <v>42389</v>
      </c>
      <c r="B114" t="s">
        <v>427</v>
      </c>
      <c r="C114" t="s">
        <v>430</v>
      </c>
      <c r="D114" t="s">
        <v>431</v>
      </c>
      <c r="E114" t="s">
        <v>423</v>
      </c>
      <c r="F114" t="s">
        <v>429</v>
      </c>
      <c r="G114" t="s">
        <v>421</v>
      </c>
      <c r="H114" t="s">
        <v>422</v>
      </c>
      <c r="I114" t="s">
        <v>424</v>
      </c>
      <c r="J114" t="s">
        <v>425</v>
      </c>
      <c r="N114" t="s">
        <v>426</v>
      </c>
    </row>
    <row r="115" spans="1:14" ht="15" customHeight="1" x14ac:dyDescent="0.25">
      <c r="A115" s="82">
        <v>42390</v>
      </c>
      <c r="B115" t="s">
        <v>423</v>
      </c>
      <c r="C115" t="s">
        <v>422</v>
      </c>
      <c r="D115" t="s">
        <v>431</v>
      </c>
      <c r="E115" t="s">
        <v>421</v>
      </c>
      <c r="F115" t="s">
        <v>426</v>
      </c>
      <c r="G115" t="s">
        <v>427</v>
      </c>
      <c r="H115" t="s">
        <v>422</v>
      </c>
      <c r="I115" t="s">
        <v>424</v>
      </c>
      <c r="J115" t="s">
        <v>425</v>
      </c>
      <c r="N115" t="s">
        <v>426</v>
      </c>
    </row>
    <row r="116" spans="1:14" ht="15" customHeight="1" x14ac:dyDescent="0.25">
      <c r="A116" s="82">
        <v>42391</v>
      </c>
      <c r="B116" t="s">
        <v>421</v>
      </c>
      <c r="C116" t="s">
        <v>422</v>
      </c>
      <c r="D116" t="s">
        <v>427</v>
      </c>
      <c r="E116" t="s">
        <v>425</v>
      </c>
      <c r="F116" t="s">
        <v>428</v>
      </c>
      <c r="G116" t="s">
        <v>423</v>
      </c>
      <c r="H116" t="s">
        <v>428</v>
      </c>
      <c r="I116" t="s">
        <v>424</v>
      </c>
      <c r="J116" t="s">
        <v>425</v>
      </c>
      <c r="N116" t="s">
        <v>429</v>
      </c>
    </row>
    <row r="117" spans="1:14" ht="15" customHeight="1" x14ac:dyDescent="0.25">
      <c r="A117" s="82">
        <v>42392</v>
      </c>
      <c r="B117" t="s">
        <v>427</v>
      </c>
      <c r="C117" t="s">
        <v>422</v>
      </c>
      <c r="D117" t="s">
        <v>421</v>
      </c>
      <c r="E117" t="s">
        <v>425</v>
      </c>
      <c r="F117" t="s">
        <v>428</v>
      </c>
      <c r="G117" t="s">
        <v>423</v>
      </c>
      <c r="H117" t="s">
        <v>428</v>
      </c>
      <c r="I117" t="s">
        <v>424</v>
      </c>
      <c r="J117" t="s">
        <v>430</v>
      </c>
      <c r="N117" t="s">
        <v>429</v>
      </c>
    </row>
    <row r="118" spans="1:14" ht="15" customHeight="1" x14ac:dyDescent="0.25">
      <c r="A118" s="82">
        <v>42393</v>
      </c>
      <c r="B118" t="s">
        <v>421</v>
      </c>
      <c r="C118" t="s">
        <v>422</v>
      </c>
      <c r="D118" t="s">
        <v>427</v>
      </c>
      <c r="E118" t="s">
        <v>425</v>
      </c>
      <c r="F118" t="s">
        <v>428</v>
      </c>
      <c r="G118" t="s">
        <v>423</v>
      </c>
      <c r="H118" t="s">
        <v>428</v>
      </c>
      <c r="I118" t="s">
        <v>424</v>
      </c>
      <c r="J118" t="s">
        <v>430</v>
      </c>
      <c r="N118" t="s">
        <v>429</v>
      </c>
    </row>
    <row r="119" spans="1:14" ht="15" customHeight="1" x14ac:dyDescent="0.25">
      <c r="A119" s="82">
        <v>42394</v>
      </c>
      <c r="B119" t="s">
        <v>423</v>
      </c>
      <c r="C119" t="s">
        <v>422</v>
      </c>
      <c r="D119" t="s">
        <v>424</v>
      </c>
      <c r="E119" t="s">
        <v>425</v>
      </c>
      <c r="F119" t="s">
        <v>428</v>
      </c>
      <c r="G119" t="s">
        <v>421</v>
      </c>
      <c r="H119" t="s">
        <v>428</v>
      </c>
      <c r="I119" t="s">
        <v>427</v>
      </c>
      <c r="J119" t="s">
        <v>430</v>
      </c>
      <c r="N119" t="s">
        <v>429</v>
      </c>
    </row>
    <row r="120" spans="1:14" ht="15" customHeight="1" x14ac:dyDescent="0.25">
      <c r="A120" s="82">
        <v>42395</v>
      </c>
      <c r="B120" t="s">
        <v>423</v>
      </c>
      <c r="C120" t="s">
        <v>422</v>
      </c>
      <c r="D120" t="s">
        <v>424</v>
      </c>
      <c r="E120" t="s">
        <v>425</v>
      </c>
      <c r="F120" t="s">
        <v>428</v>
      </c>
      <c r="G120" t="s">
        <v>430</v>
      </c>
      <c r="H120" t="s">
        <v>428</v>
      </c>
      <c r="I120" t="s">
        <v>429</v>
      </c>
      <c r="J120" t="s">
        <v>427</v>
      </c>
      <c r="N120" t="s">
        <v>421</v>
      </c>
    </row>
    <row r="121" spans="1:14" ht="15" customHeight="1" x14ac:dyDescent="0.25">
      <c r="A121" s="82">
        <v>42396</v>
      </c>
      <c r="B121" t="s">
        <v>421</v>
      </c>
      <c r="C121" t="s">
        <v>422</v>
      </c>
      <c r="D121" t="s">
        <v>424</v>
      </c>
      <c r="E121" t="s">
        <v>425</v>
      </c>
      <c r="F121" t="s">
        <v>426</v>
      </c>
      <c r="G121" t="s">
        <v>430</v>
      </c>
      <c r="H121" t="s">
        <v>431</v>
      </c>
      <c r="I121" t="s">
        <v>423</v>
      </c>
      <c r="J121" t="s">
        <v>429</v>
      </c>
      <c r="N121" t="s">
        <v>427</v>
      </c>
    </row>
    <row r="122" spans="1:14" ht="15" customHeight="1" x14ac:dyDescent="0.25">
      <c r="A122" s="82">
        <v>42397</v>
      </c>
      <c r="B122" t="s">
        <v>427</v>
      </c>
      <c r="C122" t="s">
        <v>422</v>
      </c>
      <c r="D122" t="s">
        <v>424</v>
      </c>
      <c r="E122" t="s">
        <v>425</v>
      </c>
      <c r="F122" t="s">
        <v>426</v>
      </c>
      <c r="G122" t="s">
        <v>422</v>
      </c>
      <c r="H122" t="s">
        <v>431</v>
      </c>
      <c r="I122" t="s">
        <v>421</v>
      </c>
      <c r="J122" t="s">
        <v>426</v>
      </c>
      <c r="N122" t="s">
        <v>423</v>
      </c>
    </row>
    <row r="123" spans="1:14" ht="15" customHeight="1" x14ac:dyDescent="0.25">
      <c r="A123" s="82">
        <v>42398</v>
      </c>
      <c r="B123" t="s">
        <v>423</v>
      </c>
      <c r="C123" t="s">
        <v>428</v>
      </c>
      <c r="D123" t="s">
        <v>424</v>
      </c>
      <c r="E123" t="s">
        <v>425</v>
      </c>
      <c r="F123" t="s">
        <v>429</v>
      </c>
      <c r="G123" t="s">
        <v>422</v>
      </c>
      <c r="H123" t="s">
        <v>427</v>
      </c>
      <c r="I123" t="s">
        <v>425</v>
      </c>
      <c r="J123" t="s">
        <v>428</v>
      </c>
      <c r="N123" t="s">
        <v>421</v>
      </c>
    </row>
    <row r="124" spans="1:14" ht="15" customHeight="1" x14ac:dyDescent="0.25">
      <c r="A124" s="82">
        <v>42399</v>
      </c>
      <c r="B124" t="s">
        <v>423</v>
      </c>
      <c r="C124" t="s">
        <v>428</v>
      </c>
      <c r="D124" t="s">
        <v>424</v>
      </c>
      <c r="E124" t="s">
        <v>430</v>
      </c>
      <c r="F124" t="s">
        <v>429</v>
      </c>
      <c r="G124" t="s">
        <v>422</v>
      </c>
      <c r="H124" t="s">
        <v>421</v>
      </c>
      <c r="I124" t="s">
        <v>425</v>
      </c>
      <c r="J124" t="s">
        <v>428</v>
      </c>
      <c r="N124" t="s">
        <v>427</v>
      </c>
    </row>
    <row r="125" spans="1:14" ht="15" customHeight="1" x14ac:dyDescent="0.25">
      <c r="A125" s="82">
        <v>42400</v>
      </c>
      <c r="B125" t="s">
        <v>423</v>
      </c>
      <c r="C125" t="s">
        <v>428</v>
      </c>
      <c r="D125" t="s">
        <v>424</v>
      </c>
      <c r="E125" t="s">
        <v>430</v>
      </c>
      <c r="F125" t="s">
        <v>429</v>
      </c>
      <c r="G125" t="s">
        <v>422</v>
      </c>
      <c r="H125" t="s">
        <v>427</v>
      </c>
      <c r="I125" t="s">
        <v>425</v>
      </c>
      <c r="J125" t="s">
        <v>428</v>
      </c>
      <c r="N125" t="s">
        <v>421</v>
      </c>
    </row>
    <row r="126" spans="1:14" ht="15" customHeight="1" x14ac:dyDescent="0.25">
      <c r="A126" s="82">
        <v>42401</v>
      </c>
      <c r="B126" t="s">
        <v>421</v>
      </c>
      <c r="C126" t="s">
        <v>428</v>
      </c>
      <c r="D126" t="s">
        <v>427</v>
      </c>
      <c r="E126" t="s">
        <v>430</v>
      </c>
      <c r="F126" t="s">
        <v>429</v>
      </c>
      <c r="G126" t="s">
        <v>422</v>
      </c>
      <c r="H126" t="s">
        <v>424</v>
      </c>
      <c r="I126" t="s">
        <v>425</v>
      </c>
      <c r="J126" t="s">
        <v>428</v>
      </c>
      <c r="N126" t="s">
        <v>423</v>
      </c>
    </row>
    <row r="127" spans="1:14" ht="15" customHeight="1" x14ac:dyDescent="0.25">
      <c r="A127" s="82">
        <v>42402</v>
      </c>
      <c r="B127" t="s">
        <v>430</v>
      </c>
      <c r="C127" t="s">
        <v>428</v>
      </c>
      <c r="D127" t="s">
        <v>429</v>
      </c>
      <c r="E127" t="s">
        <v>427</v>
      </c>
      <c r="F127" t="s">
        <v>421</v>
      </c>
      <c r="G127" t="s">
        <v>422</v>
      </c>
      <c r="H127" t="s">
        <v>424</v>
      </c>
      <c r="I127" t="s">
        <v>425</v>
      </c>
      <c r="J127" t="s">
        <v>428</v>
      </c>
      <c r="N127" t="s">
        <v>423</v>
      </c>
    </row>
    <row r="128" spans="1:14" ht="15" customHeight="1" x14ac:dyDescent="0.25">
      <c r="A128" s="82">
        <v>42403</v>
      </c>
      <c r="B128" t="s">
        <v>430</v>
      </c>
      <c r="C128" t="s">
        <v>431</v>
      </c>
      <c r="D128" t="s">
        <v>423</v>
      </c>
      <c r="E128" t="s">
        <v>429</v>
      </c>
      <c r="F128" t="s">
        <v>427</v>
      </c>
      <c r="G128" t="s">
        <v>422</v>
      </c>
      <c r="H128" t="s">
        <v>424</v>
      </c>
      <c r="I128" t="s">
        <v>425</v>
      </c>
      <c r="J128" t="s">
        <v>426</v>
      </c>
      <c r="N128" t="s">
        <v>421</v>
      </c>
    </row>
    <row r="129" spans="1:14" ht="15" customHeight="1" x14ac:dyDescent="0.25">
      <c r="A129" s="82">
        <v>42404</v>
      </c>
      <c r="B129" t="s">
        <v>422</v>
      </c>
      <c r="C129" t="s">
        <v>431</v>
      </c>
      <c r="D129" t="s">
        <v>421</v>
      </c>
      <c r="E129" t="s">
        <v>426</v>
      </c>
      <c r="F129" t="s">
        <v>423</v>
      </c>
      <c r="G129" t="s">
        <v>422</v>
      </c>
      <c r="H129" t="s">
        <v>424</v>
      </c>
      <c r="I129" t="s">
        <v>425</v>
      </c>
      <c r="J129" t="s">
        <v>426</v>
      </c>
      <c r="N129" t="s">
        <v>427</v>
      </c>
    </row>
    <row r="130" spans="1:14" ht="15" customHeight="1" x14ac:dyDescent="0.25">
      <c r="A130" s="82">
        <v>42405</v>
      </c>
      <c r="B130" t="s">
        <v>422</v>
      </c>
      <c r="C130" t="s">
        <v>427</v>
      </c>
      <c r="D130" t="s">
        <v>425</v>
      </c>
      <c r="E130" t="s">
        <v>428</v>
      </c>
      <c r="F130" t="s">
        <v>421</v>
      </c>
      <c r="G130" t="s">
        <v>428</v>
      </c>
      <c r="H130" t="s">
        <v>424</v>
      </c>
      <c r="I130" t="s">
        <v>425</v>
      </c>
      <c r="J130" t="s">
        <v>429</v>
      </c>
      <c r="N130" t="s">
        <v>423</v>
      </c>
    </row>
    <row r="131" spans="1:14" ht="15" customHeight="1" x14ac:dyDescent="0.25">
      <c r="A131" s="82">
        <v>42406</v>
      </c>
      <c r="B131" t="s">
        <v>422</v>
      </c>
      <c r="C131" t="s">
        <v>421</v>
      </c>
      <c r="D131" t="s">
        <v>425</v>
      </c>
      <c r="E131" t="s">
        <v>428</v>
      </c>
      <c r="F131" t="s">
        <v>427</v>
      </c>
      <c r="G131" t="s">
        <v>428</v>
      </c>
      <c r="H131" t="s">
        <v>424</v>
      </c>
      <c r="I131" t="s">
        <v>430</v>
      </c>
      <c r="J131" t="s">
        <v>429</v>
      </c>
      <c r="N131" t="s">
        <v>423</v>
      </c>
    </row>
    <row r="132" spans="1:14" ht="15" customHeight="1" x14ac:dyDescent="0.25">
      <c r="A132" s="82">
        <v>42407</v>
      </c>
      <c r="B132" t="s">
        <v>422</v>
      </c>
      <c r="C132" t="s">
        <v>427</v>
      </c>
      <c r="D132" t="s">
        <v>425</v>
      </c>
      <c r="E132" t="s">
        <v>428</v>
      </c>
      <c r="F132" t="s">
        <v>421</v>
      </c>
      <c r="G132" t="s">
        <v>428</v>
      </c>
      <c r="H132" t="s">
        <v>424</v>
      </c>
      <c r="I132" t="s">
        <v>430</v>
      </c>
      <c r="J132" t="s">
        <v>429</v>
      </c>
      <c r="N132" t="s">
        <v>423</v>
      </c>
    </row>
    <row r="133" spans="1:14" ht="15" customHeight="1" x14ac:dyDescent="0.25">
      <c r="A133" s="82">
        <v>42408</v>
      </c>
      <c r="B133" t="s">
        <v>422</v>
      </c>
      <c r="C133" t="s">
        <v>424</v>
      </c>
      <c r="D133" t="s">
        <v>425</v>
      </c>
      <c r="E133" t="s">
        <v>428</v>
      </c>
      <c r="F133" t="s">
        <v>423</v>
      </c>
      <c r="G133" t="s">
        <v>428</v>
      </c>
      <c r="H133" t="s">
        <v>427</v>
      </c>
      <c r="I133" t="s">
        <v>430</v>
      </c>
      <c r="J133" t="s">
        <v>429</v>
      </c>
      <c r="N133" t="s">
        <v>421</v>
      </c>
    </row>
    <row r="134" spans="1:14" ht="15" customHeight="1" x14ac:dyDescent="0.25">
      <c r="A134" s="82">
        <v>42409</v>
      </c>
      <c r="B134" t="s">
        <v>422</v>
      </c>
      <c r="C134" t="s">
        <v>424</v>
      </c>
      <c r="D134" t="s">
        <v>425</v>
      </c>
      <c r="E134" t="s">
        <v>428</v>
      </c>
      <c r="F134" t="s">
        <v>423</v>
      </c>
      <c r="G134" t="s">
        <v>428</v>
      </c>
      <c r="H134" t="s">
        <v>429</v>
      </c>
      <c r="I134" t="s">
        <v>427</v>
      </c>
      <c r="J134" t="s">
        <v>421</v>
      </c>
      <c r="N134" t="s">
        <v>430</v>
      </c>
    </row>
    <row r="135" spans="1:14" ht="15" customHeight="1" x14ac:dyDescent="0.25">
      <c r="A135" s="82">
        <v>42410</v>
      </c>
      <c r="B135" t="s">
        <v>422</v>
      </c>
      <c r="C135" t="s">
        <v>424</v>
      </c>
      <c r="D135" t="s">
        <v>425</v>
      </c>
      <c r="E135" t="s">
        <v>426</v>
      </c>
      <c r="F135" t="s">
        <v>421</v>
      </c>
      <c r="G135" t="s">
        <v>431</v>
      </c>
      <c r="H135" t="s">
        <v>423</v>
      </c>
      <c r="I135" t="s">
        <v>429</v>
      </c>
      <c r="J135" t="s">
        <v>427</v>
      </c>
      <c r="N135" t="s">
        <v>430</v>
      </c>
    </row>
    <row r="136" spans="1:14" ht="15" customHeight="1" x14ac:dyDescent="0.25">
      <c r="A136" s="82">
        <v>42411</v>
      </c>
      <c r="B136" t="s">
        <v>422</v>
      </c>
      <c r="C136" t="s">
        <v>424</v>
      </c>
      <c r="D136" t="s">
        <v>425</v>
      </c>
      <c r="E136" t="s">
        <v>426</v>
      </c>
      <c r="F136" t="s">
        <v>427</v>
      </c>
      <c r="G136" t="s">
        <v>431</v>
      </c>
      <c r="H136" t="s">
        <v>421</v>
      </c>
      <c r="I136" t="s">
        <v>428</v>
      </c>
      <c r="J136" t="s">
        <v>423</v>
      </c>
      <c r="N136" t="s">
        <v>422</v>
      </c>
    </row>
    <row r="137" spans="1:14" ht="15" customHeight="1" x14ac:dyDescent="0.25">
      <c r="A137" s="82">
        <v>42412</v>
      </c>
      <c r="B137" t="s">
        <v>428</v>
      </c>
      <c r="C137" t="s">
        <v>424</v>
      </c>
      <c r="D137" t="s">
        <v>425</v>
      </c>
      <c r="E137" t="s">
        <v>429</v>
      </c>
      <c r="F137" t="s">
        <v>423</v>
      </c>
      <c r="G137" t="s">
        <v>427</v>
      </c>
      <c r="H137" t="s">
        <v>425</v>
      </c>
      <c r="I137" t="s">
        <v>428</v>
      </c>
      <c r="J137" t="s">
        <v>421</v>
      </c>
      <c r="N137" t="s">
        <v>422</v>
      </c>
    </row>
    <row r="138" spans="1:14" ht="15" customHeight="1" x14ac:dyDescent="0.25">
      <c r="A138" s="82">
        <v>42413</v>
      </c>
      <c r="B138" t="s">
        <v>428</v>
      </c>
      <c r="C138" t="s">
        <v>424</v>
      </c>
      <c r="D138" t="s">
        <v>430</v>
      </c>
      <c r="E138" t="s">
        <v>429</v>
      </c>
      <c r="F138" t="s">
        <v>423</v>
      </c>
      <c r="G138" t="s">
        <v>421</v>
      </c>
      <c r="H138" t="s">
        <v>425</v>
      </c>
      <c r="I138" t="s">
        <v>428</v>
      </c>
      <c r="J138" t="s">
        <v>427</v>
      </c>
      <c r="N138" t="s">
        <v>422</v>
      </c>
    </row>
    <row r="139" spans="1:14" ht="15" customHeight="1" x14ac:dyDescent="0.25">
      <c r="A139" s="82">
        <v>42414</v>
      </c>
      <c r="B139" t="s">
        <v>428</v>
      </c>
      <c r="C139" t="s">
        <v>424</v>
      </c>
      <c r="D139" t="s">
        <v>430</v>
      </c>
      <c r="E139" t="s">
        <v>429</v>
      </c>
      <c r="F139" t="s">
        <v>423</v>
      </c>
      <c r="G139" t="s">
        <v>427</v>
      </c>
      <c r="H139" t="s">
        <v>425</v>
      </c>
      <c r="I139" t="s">
        <v>428</v>
      </c>
      <c r="J139" t="s">
        <v>421</v>
      </c>
      <c r="N139" t="s">
        <v>422</v>
      </c>
    </row>
    <row r="140" spans="1:14" ht="15" customHeight="1" x14ac:dyDescent="0.25">
      <c r="A140" s="82">
        <v>42415</v>
      </c>
      <c r="B140" t="s">
        <v>428</v>
      </c>
      <c r="C140" t="s">
        <v>427</v>
      </c>
      <c r="D140" t="s">
        <v>430</v>
      </c>
      <c r="E140" t="s">
        <v>429</v>
      </c>
      <c r="F140" t="s">
        <v>421</v>
      </c>
      <c r="G140" t="s">
        <v>424</v>
      </c>
      <c r="H140" t="s">
        <v>425</v>
      </c>
      <c r="I140" t="s">
        <v>428</v>
      </c>
      <c r="J140" t="s">
        <v>423</v>
      </c>
      <c r="N140" t="s">
        <v>422</v>
      </c>
    </row>
    <row r="141" spans="1:14" ht="15" customHeight="1" x14ac:dyDescent="0.25">
      <c r="A141" s="82">
        <v>42416</v>
      </c>
      <c r="B141" t="s">
        <v>428</v>
      </c>
      <c r="C141" t="s">
        <v>429</v>
      </c>
      <c r="D141" t="s">
        <v>427</v>
      </c>
      <c r="E141" t="s">
        <v>421</v>
      </c>
      <c r="F141" t="s">
        <v>430</v>
      </c>
      <c r="G141" t="s">
        <v>424</v>
      </c>
      <c r="H141" t="s">
        <v>425</v>
      </c>
      <c r="I141" t="s">
        <v>428</v>
      </c>
      <c r="J141" t="s">
        <v>423</v>
      </c>
      <c r="N141" t="s">
        <v>422</v>
      </c>
    </row>
    <row r="142" spans="1:14" ht="15" customHeight="1" x14ac:dyDescent="0.25">
      <c r="A142" s="82">
        <v>42417</v>
      </c>
      <c r="B142" t="s">
        <v>431</v>
      </c>
      <c r="C142" t="s">
        <v>423</v>
      </c>
      <c r="D142" t="s">
        <v>429</v>
      </c>
      <c r="E142" t="s">
        <v>427</v>
      </c>
      <c r="F142" t="s">
        <v>430</v>
      </c>
      <c r="G142" t="s">
        <v>424</v>
      </c>
      <c r="H142" t="s">
        <v>425</v>
      </c>
      <c r="I142" t="s">
        <v>428</v>
      </c>
      <c r="J142" t="s">
        <v>421</v>
      </c>
      <c r="N142" t="s">
        <v>422</v>
      </c>
    </row>
    <row r="143" spans="1:14" ht="15" customHeight="1" x14ac:dyDescent="0.25">
      <c r="A143" s="82">
        <v>42418</v>
      </c>
      <c r="B143" t="s">
        <v>431</v>
      </c>
      <c r="C143" t="s">
        <v>421</v>
      </c>
      <c r="D143" t="s">
        <v>428</v>
      </c>
      <c r="E143" t="s">
        <v>423</v>
      </c>
      <c r="F143" t="s">
        <v>422</v>
      </c>
      <c r="G143" t="s">
        <v>424</v>
      </c>
      <c r="H143" t="s">
        <v>425</v>
      </c>
      <c r="I143" t="s">
        <v>426</v>
      </c>
      <c r="J143" t="s">
        <v>427</v>
      </c>
      <c r="N143" t="s">
        <v>422</v>
      </c>
    </row>
    <row r="144" spans="1:14" ht="15" customHeight="1" x14ac:dyDescent="0.25">
      <c r="A144" s="82">
        <v>42419</v>
      </c>
      <c r="B144" t="s">
        <v>427</v>
      </c>
      <c r="C144" t="s">
        <v>425</v>
      </c>
      <c r="D144" t="s">
        <v>428</v>
      </c>
      <c r="E144" t="s">
        <v>421</v>
      </c>
      <c r="F144" t="s">
        <v>422</v>
      </c>
      <c r="G144" t="s">
        <v>424</v>
      </c>
      <c r="H144" t="s">
        <v>425</v>
      </c>
      <c r="I144" t="s">
        <v>429</v>
      </c>
      <c r="J144" t="s">
        <v>423</v>
      </c>
      <c r="N144" t="s">
        <v>428</v>
      </c>
    </row>
    <row r="145" spans="1:14" ht="15" customHeight="1" x14ac:dyDescent="0.25">
      <c r="A145" s="82">
        <v>42420</v>
      </c>
      <c r="B145" t="s">
        <v>421</v>
      </c>
      <c r="C145" t="s">
        <v>425</v>
      </c>
      <c r="D145" t="s">
        <v>428</v>
      </c>
      <c r="E145" t="s">
        <v>427</v>
      </c>
      <c r="F145" t="s">
        <v>422</v>
      </c>
      <c r="G145" t="s">
        <v>424</v>
      </c>
      <c r="H145" t="s">
        <v>430</v>
      </c>
      <c r="I145" t="s">
        <v>429</v>
      </c>
      <c r="J145" t="s">
        <v>423</v>
      </c>
      <c r="N145" t="s">
        <v>428</v>
      </c>
    </row>
    <row r="146" spans="1:14" ht="15" customHeight="1" x14ac:dyDescent="0.25">
      <c r="A146" s="82">
        <v>42421</v>
      </c>
      <c r="B146" t="s">
        <v>427</v>
      </c>
      <c r="C146" t="s">
        <v>425</v>
      </c>
      <c r="D146" t="s">
        <v>428</v>
      </c>
      <c r="E146" t="s">
        <v>421</v>
      </c>
      <c r="F146" t="s">
        <v>422</v>
      </c>
      <c r="G146" t="s">
        <v>424</v>
      </c>
      <c r="H146" t="s">
        <v>430</v>
      </c>
      <c r="I146" t="s">
        <v>429</v>
      </c>
      <c r="J146" t="s">
        <v>423</v>
      </c>
      <c r="N146" t="s">
        <v>428</v>
      </c>
    </row>
    <row r="147" spans="1:14" ht="15" customHeight="1" x14ac:dyDescent="0.25">
      <c r="A147" s="82">
        <v>42422</v>
      </c>
      <c r="B147" t="s">
        <v>424</v>
      </c>
      <c r="C147" t="s">
        <v>425</v>
      </c>
      <c r="D147" t="s">
        <v>428</v>
      </c>
      <c r="E147" t="s">
        <v>423</v>
      </c>
      <c r="F147" t="s">
        <v>422</v>
      </c>
      <c r="G147" t="s">
        <v>427</v>
      </c>
      <c r="H147" t="s">
        <v>430</v>
      </c>
      <c r="I147" t="s">
        <v>429</v>
      </c>
      <c r="J147" t="s">
        <v>421</v>
      </c>
      <c r="N147" t="s">
        <v>428</v>
      </c>
    </row>
    <row r="148" spans="1:14" ht="15" customHeight="1" x14ac:dyDescent="0.25">
      <c r="A148" s="82">
        <v>42423</v>
      </c>
      <c r="B148" t="s">
        <v>424</v>
      </c>
      <c r="C148" t="s">
        <v>425</v>
      </c>
      <c r="D148" t="s">
        <v>428</v>
      </c>
      <c r="E148" t="s">
        <v>423</v>
      </c>
      <c r="F148" t="s">
        <v>422</v>
      </c>
      <c r="G148" t="s">
        <v>429</v>
      </c>
      <c r="H148" t="s">
        <v>427</v>
      </c>
      <c r="I148" t="s">
        <v>421</v>
      </c>
      <c r="J148" t="s">
        <v>430</v>
      </c>
      <c r="N148" t="s">
        <v>428</v>
      </c>
    </row>
    <row r="149" spans="1:14" ht="15" customHeight="1" x14ac:dyDescent="0.25">
      <c r="A149" s="82">
        <v>42424</v>
      </c>
      <c r="B149" t="s">
        <v>424</v>
      </c>
      <c r="C149" t="s">
        <v>425</v>
      </c>
      <c r="D149" t="s">
        <v>428</v>
      </c>
      <c r="E149" t="s">
        <v>421</v>
      </c>
      <c r="F149" t="s">
        <v>422</v>
      </c>
      <c r="G149" t="s">
        <v>423</v>
      </c>
      <c r="H149" t="s">
        <v>429</v>
      </c>
      <c r="I149" t="s">
        <v>427</v>
      </c>
      <c r="J149" t="s">
        <v>430</v>
      </c>
      <c r="N149" t="s">
        <v>431</v>
      </c>
    </row>
    <row r="150" spans="1:14" ht="15" customHeight="1" x14ac:dyDescent="0.25">
      <c r="A150" s="82">
        <v>42425</v>
      </c>
      <c r="B150" t="s">
        <v>424</v>
      </c>
      <c r="C150" t="s">
        <v>425</v>
      </c>
      <c r="D150" t="s">
        <v>426</v>
      </c>
      <c r="E150" t="s">
        <v>427</v>
      </c>
      <c r="F150" t="s">
        <v>422</v>
      </c>
      <c r="G150" t="s">
        <v>421</v>
      </c>
      <c r="H150" t="s">
        <v>428</v>
      </c>
      <c r="I150" t="s">
        <v>423</v>
      </c>
      <c r="J150" t="s">
        <v>422</v>
      </c>
      <c r="N150" t="s">
        <v>431</v>
      </c>
    </row>
    <row r="151" spans="1:14" ht="15" customHeight="1" x14ac:dyDescent="0.25">
      <c r="A151" s="82">
        <v>42426</v>
      </c>
      <c r="B151" t="s">
        <v>424</v>
      </c>
      <c r="C151" t="s">
        <v>425</v>
      </c>
      <c r="D151" t="s">
        <v>429</v>
      </c>
      <c r="E151" t="s">
        <v>423</v>
      </c>
      <c r="F151" t="s">
        <v>428</v>
      </c>
      <c r="G151" t="s">
        <v>425</v>
      </c>
      <c r="H151" t="s">
        <v>428</v>
      </c>
      <c r="I151" t="s">
        <v>421</v>
      </c>
      <c r="J151" t="s">
        <v>422</v>
      </c>
      <c r="N151" t="s">
        <v>427</v>
      </c>
    </row>
    <row r="152" spans="1:14" ht="15" customHeight="1" x14ac:dyDescent="0.25">
      <c r="A152" s="82">
        <v>42427</v>
      </c>
      <c r="B152" t="s">
        <v>424</v>
      </c>
      <c r="C152" t="s">
        <v>430</v>
      </c>
      <c r="D152" t="s">
        <v>429</v>
      </c>
      <c r="E152" t="s">
        <v>423</v>
      </c>
      <c r="F152" t="s">
        <v>428</v>
      </c>
      <c r="G152" t="s">
        <v>425</v>
      </c>
      <c r="H152" t="s">
        <v>428</v>
      </c>
      <c r="I152" t="s">
        <v>427</v>
      </c>
      <c r="J152" t="s">
        <v>422</v>
      </c>
      <c r="N152" t="s">
        <v>421</v>
      </c>
    </row>
    <row r="153" spans="1:14" ht="15" customHeight="1" x14ac:dyDescent="0.25">
      <c r="A153" s="82">
        <v>42428</v>
      </c>
      <c r="B153" t="s">
        <v>424</v>
      </c>
      <c r="C153" t="s">
        <v>430</v>
      </c>
      <c r="D153" t="s">
        <v>429</v>
      </c>
      <c r="E153" t="s">
        <v>423</v>
      </c>
      <c r="F153" t="s">
        <v>428</v>
      </c>
      <c r="G153" t="s">
        <v>425</v>
      </c>
      <c r="H153" t="s">
        <v>428</v>
      </c>
      <c r="I153" t="s">
        <v>421</v>
      </c>
      <c r="J153" t="s">
        <v>422</v>
      </c>
      <c r="N153" t="s">
        <v>427</v>
      </c>
    </row>
    <row r="154" spans="1:14" ht="15" customHeight="1" x14ac:dyDescent="0.25">
      <c r="A154" s="82">
        <v>42429</v>
      </c>
      <c r="B154" t="s">
        <v>427</v>
      </c>
      <c r="C154" t="s">
        <v>430</v>
      </c>
      <c r="D154" t="s">
        <v>429</v>
      </c>
      <c r="E154" t="s">
        <v>421</v>
      </c>
      <c r="F154" t="s">
        <v>428</v>
      </c>
      <c r="G154" t="s">
        <v>425</v>
      </c>
      <c r="H154" t="s">
        <v>428</v>
      </c>
      <c r="I154" t="s">
        <v>423</v>
      </c>
      <c r="J154" t="s">
        <v>422</v>
      </c>
      <c r="N154" t="s">
        <v>424</v>
      </c>
    </row>
    <row r="155" spans="1:14" ht="15" customHeight="1" x14ac:dyDescent="0.25">
      <c r="A155" s="82">
        <v>42430</v>
      </c>
      <c r="B155" t="s">
        <v>429</v>
      </c>
      <c r="C155" t="s">
        <v>427</v>
      </c>
      <c r="D155" t="s">
        <v>421</v>
      </c>
      <c r="E155" t="s">
        <v>430</v>
      </c>
      <c r="F155" t="s">
        <v>428</v>
      </c>
      <c r="G155" t="s">
        <v>425</v>
      </c>
      <c r="H155" t="s">
        <v>428</v>
      </c>
      <c r="I155" t="s">
        <v>423</v>
      </c>
      <c r="J155" t="s">
        <v>422</v>
      </c>
      <c r="N155" t="s">
        <v>424</v>
      </c>
    </row>
    <row r="156" spans="1:14" ht="15" customHeight="1" x14ac:dyDescent="0.25">
      <c r="A156" s="82">
        <v>42431</v>
      </c>
      <c r="B156" t="s">
        <v>423</v>
      </c>
      <c r="C156" t="s">
        <v>429</v>
      </c>
      <c r="D156" t="s">
        <v>427</v>
      </c>
      <c r="E156" t="s">
        <v>430</v>
      </c>
      <c r="F156" t="s">
        <v>431</v>
      </c>
      <c r="G156" t="s">
        <v>425</v>
      </c>
      <c r="H156" t="s">
        <v>428</v>
      </c>
      <c r="I156" t="s">
        <v>421</v>
      </c>
      <c r="J156" t="s">
        <v>422</v>
      </c>
      <c r="N156" t="s">
        <v>424</v>
      </c>
    </row>
    <row r="157" spans="1:14" ht="15" customHeight="1" x14ac:dyDescent="0.25">
      <c r="A157" s="82">
        <v>42432</v>
      </c>
      <c r="B157" t="s">
        <v>421</v>
      </c>
      <c r="C157" t="s">
        <v>428</v>
      </c>
      <c r="D157" t="s">
        <v>423</v>
      </c>
      <c r="E157" t="s">
        <v>422</v>
      </c>
      <c r="F157" t="s">
        <v>431</v>
      </c>
      <c r="G157" t="s">
        <v>425</v>
      </c>
      <c r="H157" t="s">
        <v>426</v>
      </c>
      <c r="I157" t="s">
        <v>427</v>
      </c>
      <c r="J157" t="s">
        <v>422</v>
      </c>
      <c r="N157" t="s">
        <v>424</v>
      </c>
    </row>
    <row r="158" spans="1:14" ht="15" customHeight="1" x14ac:dyDescent="0.25">
      <c r="A158" s="82">
        <v>42433</v>
      </c>
      <c r="B158" t="s">
        <v>425</v>
      </c>
      <c r="C158" t="s">
        <v>428</v>
      </c>
      <c r="D158" t="s">
        <v>421</v>
      </c>
      <c r="E158" t="s">
        <v>422</v>
      </c>
      <c r="F158" t="s">
        <v>427</v>
      </c>
      <c r="G158" t="s">
        <v>425</v>
      </c>
      <c r="H158" t="s">
        <v>429</v>
      </c>
      <c r="I158" t="s">
        <v>423</v>
      </c>
      <c r="J158" t="s">
        <v>428</v>
      </c>
      <c r="N158" t="s">
        <v>424</v>
      </c>
    </row>
    <row r="159" spans="1:14" ht="15" customHeight="1" x14ac:dyDescent="0.25">
      <c r="A159" s="82">
        <v>42434</v>
      </c>
      <c r="B159" t="s">
        <v>425</v>
      </c>
      <c r="C159" t="s">
        <v>428</v>
      </c>
      <c r="D159" t="s">
        <v>427</v>
      </c>
      <c r="E159" t="s">
        <v>422</v>
      </c>
      <c r="F159" t="s">
        <v>421</v>
      </c>
      <c r="G159" t="s">
        <v>430</v>
      </c>
      <c r="H159" t="s">
        <v>429</v>
      </c>
      <c r="I159" t="s">
        <v>423</v>
      </c>
      <c r="J159" t="s">
        <v>428</v>
      </c>
      <c r="N159" t="s">
        <v>424</v>
      </c>
    </row>
    <row r="160" spans="1:14" ht="15" customHeight="1" x14ac:dyDescent="0.25">
      <c r="A160" s="82">
        <v>42435</v>
      </c>
      <c r="B160" t="s">
        <v>425</v>
      </c>
      <c r="C160" t="s">
        <v>428</v>
      </c>
      <c r="D160" t="s">
        <v>421</v>
      </c>
      <c r="E160" t="s">
        <v>422</v>
      </c>
      <c r="F160" t="s">
        <v>427</v>
      </c>
      <c r="G160" t="s">
        <v>430</v>
      </c>
      <c r="H160" t="s">
        <v>429</v>
      </c>
      <c r="I160" t="s">
        <v>423</v>
      </c>
      <c r="J160" t="s">
        <v>428</v>
      </c>
      <c r="N160" t="s">
        <v>424</v>
      </c>
    </row>
    <row r="161" spans="1:14" ht="15" customHeight="1" x14ac:dyDescent="0.25">
      <c r="A161" s="82">
        <v>42436</v>
      </c>
      <c r="B161" t="s">
        <v>425</v>
      </c>
      <c r="C161" t="s">
        <v>428</v>
      </c>
      <c r="D161" t="s">
        <v>423</v>
      </c>
      <c r="E161" t="s">
        <v>422</v>
      </c>
      <c r="F161" t="s">
        <v>424</v>
      </c>
      <c r="G161" t="s">
        <v>430</v>
      </c>
      <c r="H161" t="s">
        <v>429</v>
      </c>
      <c r="I161" t="s">
        <v>421</v>
      </c>
      <c r="J161" t="s">
        <v>428</v>
      </c>
      <c r="N161" t="s">
        <v>427</v>
      </c>
    </row>
    <row r="162" spans="1:14" ht="15" customHeight="1" x14ac:dyDescent="0.25">
      <c r="A162" s="82">
        <v>42437</v>
      </c>
      <c r="B162" t="s">
        <v>425</v>
      </c>
      <c r="C162" t="s">
        <v>428</v>
      </c>
      <c r="D162" t="s">
        <v>423</v>
      </c>
      <c r="E162" t="s">
        <v>422</v>
      </c>
      <c r="F162" t="s">
        <v>424</v>
      </c>
      <c r="G162" t="s">
        <v>427</v>
      </c>
      <c r="H162" t="s">
        <v>421</v>
      </c>
      <c r="I162" t="s">
        <v>430</v>
      </c>
      <c r="J162" t="s">
        <v>428</v>
      </c>
      <c r="N162" t="s">
        <v>429</v>
      </c>
    </row>
    <row r="163" spans="1:14" ht="15" customHeight="1" x14ac:dyDescent="0.25">
      <c r="A163" s="82">
        <v>42438</v>
      </c>
      <c r="B163" t="s">
        <v>425</v>
      </c>
      <c r="C163" t="s">
        <v>428</v>
      </c>
      <c r="D163" t="s">
        <v>421</v>
      </c>
      <c r="E163" t="s">
        <v>422</v>
      </c>
      <c r="F163" t="s">
        <v>424</v>
      </c>
      <c r="G163" t="s">
        <v>429</v>
      </c>
      <c r="H163" t="s">
        <v>427</v>
      </c>
      <c r="I163" t="s">
        <v>430</v>
      </c>
      <c r="J163" t="s">
        <v>431</v>
      </c>
      <c r="N163" t="s">
        <v>423</v>
      </c>
    </row>
    <row r="164" spans="1:14" ht="15" customHeight="1" x14ac:dyDescent="0.25">
      <c r="A164" s="82">
        <v>42439</v>
      </c>
      <c r="B164" t="s">
        <v>425</v>
      </c>
      <c r="C164" t="s">
        <v>426</v>
      </c>
      <c r="D164" t="s">
        <v>427</v>
      </c>
      <c r="E164" t="s">
        <v>422</v>
      </c>
      <c r="F164" t="s">
        <v>424</v>
      </c>
      <c r="G164" t="s">
        <v>428</v>
      </c>
      <c r="H164" t="s">
        <v>423</v>
      </c>
      <c r="I164" t="s">
        <v>422</v>
      </c>
      <c r="J164" t="s">
        <v>431</v>
      </c>
      <c r="N164" t="s">
        <v>421</v>
      </c>
    </row>
    <row r="165" spans="1:14" ht="15" customHeight="1" x14ac:dyDescent="0.25">
      <c r="A165" s="82">
        <v>42440</v>
      </c>
      <c r="B165" t="s">
        <v>425</v>
      </c>
      <c r="C165" t="s">
        <v>429</v>
      </c>
      <c r="D165" t="s">
        <v>423</v>
      </c>
      <c r="E165" t="s">
        <v>428</v>
      </c>
      <c r="F165" t="s">
        <v>424</v>
      </c>
      <c r="G165" t="s">
        <v>428</v>
      </c>
      <c r="H165" t="s">
        <v>421</v>
      </c>
      <c r="I165" t="s">
        <v>422</v>
      </c>
      <c r="J165" t="s">
        <v>427</v>
      </c>
      <c r="N165" t="s">
        <v>425</v>
      </c>
    </row>
    <row r="166" spans="1:14" ht="15" customHeight="1" x14ac:dyDescent="0.25">
      <c r="A166" s="82">
        <v>42441</v>
      </c>
      <c r="B166" t="s">
        <v>430</v>
      </c>
      <c r="C166" t="s">
        <v>429</v>
      </c>
      <c r="D166" t="s">
        <v>423</v>
      </c>
      <c r="E166" t="s">
        <v>428</v>
      </c>
      <c r="F166" t="s">
        <v>424</v>
      </c>
      <c r="G166" t="s">
        <v>428</v>
      </c>
      <c r="H166" t="s">
        <v>427</v>
      </c>
      <c r="I166" t="s">
        <v>422</v>
      </c>
      <c r="J166" t="s">
        <v>421</v>
      </c>
      <c r="N166" t="s">
        <v>425</v>
      </c>
    </row>
    <row r="167" spans="1:14" ht="15" customHeight="1" x14ac:dyDescent="0.25">
      <c r="A167" s="82">
        <v>42442</v>
      </c>
      <c r="B167" t="s">
        <v>430</v>
      </c>
      <c r="C167" t="s">
        <v>429</v>
      </c>
      <c r="D167" t="s">
        <v>423</v>
      </c>
      <c r="E167" t="s">
        <v>428</v>
      </c>
      <c r="F167" t="s">
        <v>424</v>
      </c>
      <c r="G167" t="s">
        <v>428</v>
      </c>
      <c r="H167" t="s">
        <v>421</v>
      </c>
      <c r="I167" t="s">
        <v>422</v>
      </c>
      <c r="J167" t="s">
        <v>427</v>
      </c>
      <c r="N167" t="s">
        <v>425</v>
      </c>
    </row>
    <row r="168" spans="1:14" ht="15" customHeight="1" x14ac:dyDescent="0.25">
      <c r="A168" s="82">
        <v>42443</v>
      </c>
      <c r="B168" t="s">
        <v>430</v>
      </c>
      <c r="C168" t="s">
        <v>429</v>
      </c>
      <c r="D168" t="s">
        <v>421</v>
      </c>
      <c r="E168" t="s">
        <v>428</v>
      </c>
      <c r="F168" t="s">
        <v>427</v>
      </c>
      <c r="G168" t="s">
        <v>428</v>
      </c>
      <c r="H168" t="s">
        <v>423</v>
      </c>
      <c r="I168" t="s">
        <v>422</v>
      </c>
      <c r="J168" t="s">
        <v>424</v>
      </c>
      <c r="N168" t="s">
        <v>425</v>
      </c>
    </row>
    <row r="169" spans="1:14" ht="15" customHeight="1" x14ac:dyDescent="0.25">
      <c r="A169" s="82">
        <v>42444</v>
      </c>
      <c r="B169" t="s">
        <v>427</v>
      </c>
      <c r="C169" t="s">
        <v>421</v>
      </c>
      <c r="D169" t="s">
        <v>430</v>
      </c>
      <c r="E169" t="s">
        <v>428</v>
      </c>
      <c r="F169" t="s">
        <v>429</v>
      </c>
      <c r="G169" t="s">
        <v>428</v>
      </c>
      <c r="H169" t="s">
        <v>423</v>
      </c>
      <c r="I169" t="s">
        <v>422</v>
      </c>
      <c r="J169" t="s">
        <v>424</v>
      </c>
      <c r="N169" t="s">
        <v>425</v>
      </c>
    </row>
    <row r="170" spans="1:14" ht="15" customHeight="1" x14ac:dyDescent="0.25">
      <c r="A170" s="82">
        <v>42445</v>
      </c>
      <c r="B170" t="s">
        <v>429</v>
      </c>
      <c r="C170" t="s">
        <v>427</v>
      </c>
      <c r="D170" t="s">
        <v>430</v>
      </c>
      <c r="E170" t="s">
        <v>431</v>
      </c>
      <c r="F170" t="s">
        <v>423</v>
      </c>
      <c r="G170" t="s">
        <v>428</v>
      </c>
      <c r="H170" t="s">
        <v>421</v>
      </c>
      <c r="I170" t="s">
        <v>422</v>
      </c>
      <c r="J170" t="s">
        <v>424</v>
      </c>
      <c r="N170" t="s">
        <v>425</v>
      </c>
    </row>
    <row r="171" spans="1:14" ht="15" customHeight="1" x14ac:dyDescent="0.25">
      <c r="A171" s="82">
        <v>42446</v>
      </c>
      <c r="B171" t="s">
        <v>428</v>
      </c>
      <c r="C171" t="s">
        <v>423</v>
      </c>
      <c r="D171" t="s">
        <v>422</v>
      </c>
      <c r="E171" t="s">
        <v>431</v>
      </c>
      <c r="F171" t="s">
        <v>421</v>
      </c>
      <c r="G171" t="s">
        <v>426</v>
      </c>
      <c r="H171" t="s">
        <v>427</v>
      </c>
      <c r="I171" t="s">
        <v>422</v>
      </c>
      <c r="J171" t="s">
        <v>424</v>
      </c>
      <c r="N171" t="s">
        <v>425</v>
      </c>
    </row>
    <row r="172" spans="1:14" ht="15" customHeight="1" x14ac:dyDescent="0.25">
      <c r="A172" s="82">
        <v>42447</v>
      </c>
      <c r="B172" t="s">
        <v>428</v>
      </c>
      <c r="C172" t="s">
        <v>421</v>
      </c>
      <c r="D172" t="s">
        <v>422</v>
      </c>
      <c r="E172" t="s">
        <v>427</v>
      </c>
      <c r="F172" t="s">
        <v>425</v>
      </c>
      <c r="G172" t="s">
        <v>429</v>
      </c>
      <c r="H172" t="s">
        <v>423</v>
      </c>
      <c r="I172" t="s">
        <v>428</v>
      </c>
      <c r="J172" t="s">
        <v>424</v>
      </c>
      <c r="N172" t="s">
        <v>425</v>
      </c>
    </row>
    <row r="173" spans="1:14" ht="15" customHeight="1" x14ac:dyDescent="0.25">
      <c r="A173" s="82">
        <v>42448</v>
      </c>
      <c r="B173" t="s">
        <v>428</v>
      </c>
      <c r="C173" t="s">
        <v>427</v>
      </c>
      <c r="D173" t="s">
        <v>422</v>
      </c>
      <c r="E173" t="s">
        <v>421</v>
      </c>
      <c r="F173" t="s">
        <v>425</v>
      </c>
      <c r="G173" t="s">
        <v>429</v>
      </c>
      <c r="H173" t="s">
        <v>423</v>
      </c>
      <c r="I173" t="s">
        <v>428</v>
      </c>
      <c r="J173" t="s">
        <v>424</v>
      </c>
      <c r="N173" t="s">
        <v>430</v>
      </c>
    </row>
    <row r="174" spans="1:14" ht="15" customHeight="1" x14ac:dyDescent="0.25">
      <c r="A174" s="82">
        <v>42449</v>
      </c>
      <c r="B174" t="s">
        <v>428</v>
      </c>
      <c r="C174" t="s">
        <v>421</v>
      </c>
      <c r="D174" t="s">
        <v>422</v>
      </c>
      <c r="E174" t="s">
        <v>427</v>
      </c>
      <c r="F174" t="s">
        <v>425</v>
      </c>
      <c r="G174" t="s">
        <v>429</v>
      </c>
      <c r="H174" t="s">
        <v>423</v>
      </c>
      <c r="I174" t="s">
        <v>428</v>
      </c>
      <c r="J174" t="s">
        <v>424</v>
      </c>
      <c r="N174" t="s">
        <v>430</v>
      </c>
    </row>
    <row r="175" spans="1:14" ht="15" customHeight="1" x14ac:dyDescent="0.25">
      <c r="A175" s="82">
        <v>42450</v>
      </c>
      <c r="B175" t="s">
        <v>428</v>
      </c>
      <c r="C175" t="s">
        <v>423</v>
      </c>
      <c r="D175" t="s">
        <v>422</v>
      </c>
      <c r="E175" t="s">
        <v>424</v>
      </c>
      <c r="F175" t="s">
        <v>425</v>
      </c>
      <c r="G175" t="s">
        <v>429</v>
      </c>
      <c r="H175" t="s">
        <v>421</v>
      </c>
      <c r="I175" t="s">
        <v>428</v>
      </c>
      <c r="J175" t="s">
        <v>427</v>
      </c>
      <c r="N175" t="s">
        <v>430</v>
      </c>
    </row>
    <row r="176" spans="1:14" ht="15" customHeight="1" x14ac:dyDescent="0.25">
      <c r="A176" s="82">
        <v>42451</v>
      </c>
      <c r="B176" t="s">
        <v>428</v>
      </c>
      <c r="C176" t="s">
        <v>423</v>
      </c>
      <c r="D176" t="s">
        <v>422</v>
      </c>
      <c r="E176" t="s">
        <v>424</v>
      </c>
      <c r="F176" t="s">
        <v>425</v>
      </c>
      <c r="G176" t="s">
        <v>421</v>
      </c>
      <c r="H176" t="s">
        <v>430</v>
      </c>
      <c r="I176" t="s">
        <v>428</v>
      </c>
      <c r="J176" t="s">
        <v>429</v>
      </c>
      <c r="N176" t="s">
        <v>427</v>
      </c>
    </row>
    <row r="177" spans="1:14" ht="15" customHeight="1" x14ac:dyDescent="0.25">
      <c r="A177" s="82">
        <v>42452</v>
      </c>
      <c r="B177" t="s">
        <v>428</v>
      </c>
      <c r="C177" t="s">
        <v>421</v>
      </c>
      <c r="D177" t="s">
        <v>422</v>
      </c>
      <c r="E177" t="s">
        <v>424</v>
      </c>
      <c r="F177" t="s">
        <v>425</v>
      </c>
      <c r="G177" t="s">
        <v>427</v>
      </c>
      <c r="H177" t="s">
        <v>430</v>
      </c>
      <c r="I177" t="s">
        <v>431</v>
      </c>
      <c r="J177" t="s">
        <v>423</v>
      </c>
      <c r="N177" t="s">
        <v>429</v>
      </c>
    </row>
    <row r="178" spans="1:14" ht="15" customHeight="1" x14ac:dyDescent="0.25">
      <c r="A178" s="82">
        <v>42453</v>
      </c>
      <c r="B178" t="s">
        <v>426</v>
      </c>
      <c r="C178" t="s">
        <v>427</v>
      </c>
      <c r="D178" t="s">
        <v>422</v>
      </c>
      <c r="E178" t="s">
        <v>424</v>
      </c>
      <c r="F178" t="s">
        <v>425</v>
      </c>
      <c r="G178" t="s">
        <v>423</v>
      </c>
      <c r="H178" t="s">
        <v>422</v>
      </c>
      <c r="I178" t="s">
        <v>431</v>
      </c>
      <c r="J178" t="s">
        <v>421</v>
      </c>
      <c r="N178" t="s">
        <v>428</v>
      </c>
    </row>
    <row r="179" spans="1:14" ht="15" customHeight="1" x14ac:dyDescent="0.25">
      <c r="A179" s="82">
        <v>42454</v>
      </c>
      <c r="B179" t="s">
        <v>429</v>
      </c>
      <c r="C179" t="s">
        <v>423</v>
      </c>
      <c r="D179" t="s">
        <v>428</v>
      </c>
      <c r="E179" t="s">
        <v>424</v>
      </c>
      <c r="F179" t="s">
        <v>425</v>
      </c>
      <c r="G179" t="s">
        <v>421</v>
      </c>
      <c r="H179" t="s">
        <v>422</v>
      </c>
      <c r="I179" t="s">
        <v>427</v>
      </c>
      <c r="J179" t="s">
        <v>425</v>
      </c>
      <c r="N179" t="s">
        <v>428</v>
      </c>
    </row>
    <row r="180" spans="1:14" ht="15" customHeight="1" x14ac:dyDescent="0.25">
      <c r="A180" s="82">
        <v>42455</v>
      </c>
      <c r="B180" t="s">
        <v>429</v>
      </c>
      <c r="C180" t="s">
        <v>423</v>
      </c>
      <c r="D180" t="s">
        <v>428</v>
      </c>
      <c r="E180" t="s">
        <v>424</v>
      </c>
      <c r="F180" t="s">
        <v>430</v>
      </c>
      <c r="G180" t="s">
        <v>427</v>
      </c>
      <c r="H180" t="s">
        <v>422</v>
      </c>
      <c r="I180" t="s">
        <v>421</v>
      </c>
      <c r="J180" t="s">
        <v>425</v>
      </c>
      <c r="N180" t="s">
        <v>428</v>
      </c>
    </row>
    <row r="181" spans="1:14" ht="15" customHeight="1" x14ac:dyDescent="0.25">
      <c r="A181" s="82">
        <v>42456</v>
      </c>
      <c r="B181" t="s">
        <v>429</v>
      </c>
      <c r="C181" t="s">
        <v>423</v>
      </c>
      <c r="D181" t="s">
        <v>428</v>
      </c>
      <c r="E181" t="s">
        <v>424</v>
      </c>
      <c r="F181" t="s">
        <v>430</v>
      </c>
      <c r="G181" t="s">
        <v>421</v>
      </c>
      <c r="H181" t="s">
        <v>422</v>
      </c>
      <c r="I181" t="s">
        <v>427</v>
      </c>
      <c r="J181" t="s">
        <v>425</v>
      </c>
      <c r="N181" t="s">
        <v>428</v>
      </c>
    </row>
    <row r="182" spans="1:14" ht="15" customHeight="1" x14ac:dyDescent="0.25">
      <c r="A182" s="82">
        <v>42457</v>
      </c>
      <c r="B182" t="s">
        <v>429</v>
      </c>
      <c r="C182" t="s">
        <v>421</v>
      </c>
      <c r="D182" t="s">
        <v>428</v>
      </c>
      <c r="E182" t="s">
        <v>427</v>
      </c>
      <c r="F182" t="s">
        <v>430</v>
      </c>
      <c r="G182" t="s">
        <v>423</v>
      </c>
      <c r="H182" t="s">
        <v>422</v>
      </c>
      <c r="I182" t="s">
        <v>424</v>
      </c>
      <c r="J182" t="s">
        <v>425</v>
      </c>
      <c r="N182" t="s">
        <v>428</v>
      </c>
    </row>
    <row r="183" spans="1:14" ht="15" customHeight="1" x14ac:dyDescent="0.25">
      <c r="A183" s="82">
        <v>42458</v>
      </c>
      <c r="B183" t="s">
        <v>421</v>
      </c>
      <c r="C183" t="s">
        <v>430</v>
      </c>
      <c r="D183" t="s">
        <v>428</v>
      </c>
      <c r="E183" t="s">
        <v>429</v>
      </c>
      <c r="F183" t="s">
        <v>427</v>
      </c>
      <c r="G183" t="s">
        <v>423</v>
      </c>
      <c r="H183" t="s">
        <v>422</v>
      </c>
      <c r="I183" t="s">
        <v>424</v>
      </c>
      <c r="J183" t="s">
        <v>425</v>
      </c>
      <c r="N183" t="s">
        <v>428</v>
      </c>
    </row>
    <row r="184" spans="1:14" ht="15" customHeight="1" x14ac:dyDescent="0.25">
      <c r="A184" s="82">
        <v>42459</v>
      </c>
      <c r="B184" t="s">
        <v>427</v>
      </c>
      <c r="C184" t="s">
        <v>430</v>
      </c>
      <c r="D184" t="s">
        <v>431</v>
      </c>
      <c r="E184" t="s">
        <v>423</v>
      </c>
      <c r="F184" t="s">
        <v>429</v>
      </c>
      <c r="G184" t="s">
        <v>421</v>
      </c>
      <c r="H184" t="s">
        <v>422</v>
      </c>
      <c r="I184" t="s">
        <v>424</v>
      </c>
      <c r="J184" t="s">
        <v>425</v>
      </c>
      <c r="N184" t="s">
        <v>428</v>
      </c>
    </row>
    <row r="185" spans="1:14" ht="15" customHeight="1" x14ac:dyDescent="0.25">
      <c r="A185" s="82">
        <v>42460</v>
      </c>
      <c r="B185" t="s">
        <v>423</v>
      </c>
      <c r="C185" t="s">
        <v>422</v>
      </c>
      <c r="D185" t="s">
        <v>431</v>
      </c>
      <c r="E185" t="s">
        <v>421</v>
      </c>
      <c r="F185" t="s">
        <v>428</v>
      </c>
      <c r="G185" t="s">
        <v>427</v>
      </c>
      <c r="H185" t="s">
        <v>422</v>
      </c>
      <c r="I185" t="s">
        <v>424</v>
      </c>
      <c r="J185" t="s">
        <v>425</v>
      </c>
      <c r="N185" t="s">
        <v>426</v>
      </c>
    </row>
    <row r="186" spans="1:14" ht="15" customHeight="1" x14ac:dyDescent="0.25">
      <c r="A186" s="82">
        <v>42461</v>
      </c>
      <c r="B186" t="s">
        <v>421</v>
      </c>
      <c r="C186" t="s">
        <v>422</v>
      </c>
      <c r="D186" t="s">
        <v>427</v>
      </c>
      <c r="E186" t="s">
        <v>425</v>
      </c>
      <c r="F186" t="s">
        <v>428</v>
      </c>
      <c r="G186" t="s">
        <v>423</v>
      </c>
      <c r="H186" t="s">
        <v>428</v>
      </c>
      <c r="I186" t="s">
        <v>424</v>
      </c>
      <c r="J186" t="s">
        <v>425</v>
      </c>
      <c r="N186" t="s">
        <v>429</v>
      </c>
    </row>
    <row r="187" spans="1:14" ht="15" customHeight="1" x14ac:dyDescent="0.25">
      <c r="A187" s="82">
        <v>42462</v>
      </c>
      <c r="B187" t="s">
        <v>427</v>
      </c>
      <c r="C187" t="s">
        <v>422</v>
      </c>
      <c r="D187" t="s">
        <v>421</v>
      </c>
      <c r="E187" t="s">
        <v>425</v>
      </c>
      <c r="F187" t="s">
        <v>428</v>
      </c>
      <c r="G187" t="s">
        <v>423</v>
      </c>
      <c r="H187" t="s">
        <v>428</v>
      </c>
      <c r="I187" t="s">
        <v>424</v>
      </c>
      <c r="J187" t="s">
        <v>430</v>
      </c>
      <c r="N187" t="s">
        <v>429</v>
      </c>
    </row>
    <row r="188" spans="1:14" ht="15" customHeight="1" x14ac:dyDescent="0.25">
      <c r="A188" s="82">
        <v>42463</v>
      </c>
      <c r="B188" t="s">
        <v>421</v>
      </c>
      <c r="C188" t="s">
        <v>422</v>
      </c>
      <c r="D188" t="s">
        <v>427</v>
      </c>
      <c r="E188" t="s">
        <v>425</v>
      </c>
      <c r="F188" t="s">
        <v>428</v>
      </c>
      <c r="G188" t="s">
        <v>423</v>
      </c>
      <c r="H188" t="s">
        <v>428</v>
      </c>
      <c r="I188" t="s">
        <v>424</v>
      </c>
      <c r="J188" t="s">
        <v>430</v>
      </c>
      <c r="N188" t="s">
        <v>429</v>
      </c>
    </row>
    <row r="189" spans="1:14" ht="15" customHeight="1" x14ac:dyDescent="0.25">
      <c r="A189" s="82">
        <v>42464</v>
      </c>
      <c r="B189" t="s">
        <v>423</v>
      </c>
      <c r="C189" t="s">
        <v>422</v>
      </c>
      <c r="D189" t="s">
        <v>424</v>
      </c>
      <c r="E189" t="s">
        <v>425</v>
      </c>
      <c r="F189" t="s">
        <v>428</v>
      </c>
      <c r="G189" t="s">
        <v>421</v>
      </c>
      <c r="H189" t="s">
        <v>428</v>
      </c>
      <c r="I189" t="s">
        <v>427</v>
      </c>
      <c r="J189" t="s">
        <v>430</v>
      </c>
      <c r="N189" t="s">
        <v>429</v>
      </c>
    </row>
    <row r="190" spans="1:14" ht="15" customHeight="1" x14ac:dyDescent="0.25">
      <c r="A190" s="82">
        <v>42465</v>
      </c>
      <c r="B190" t="s">
        <v>423</v>
      </c>
      <c r="C190" t="s">
        <v>422</v>
      </c>
      <c r="D190" t="s">
        <v>424</v>
      </c>
      <c r="E190" t="s">
        <v>425</v>
      </c>
      <c r="F190" t="s">
        <v>428</v>
      </c>
      <c r="G190" t="s">
        <v>430</v>
      </c>
      <c r="H190" t="s">
        <v>428</v>
      </c>
      <c r="I190" t="s">
        <v>429</v>
      </c>
      <c r="J190" t="s">
        <v>427</v>
      </c>
      <c r="N190" t="s">
        <v>421</v>
      </c>
    </row>
    <row r="191" spans="1:14" ht="15" customHeight="1" x14ac:dyDescent="0.25">
      <c r="A191" s="82">
        <v>42466</v>
      </c>
      <c r="B191" t="s">
        <v>421</v>
      </c>
      <c r="C191" t="s">
        <v>422</v>
      </c>
      <c r="D191" t="s">
        <v>424</v>
      </c>
      <c r="E191" t="s">
        <v>425</v>
      </c>
      <c r="F191" t="s">
        <v>428</v>
      </c>
      <c r="G191" t="s">
        <v>430</v>
      </c>
      <c r="H191" t="s">
        <v>431</v>
      </c>
      <c r="I191" t="s">
        <v>423</v>
      </c>
      <c r="J191" t="s">
        <v>429</v>
      </c>
      <c r="N191" t="s">
        <v>427</v>
      </c>
    </row>
    <row r="192" spans="1:14" ht="15" customHeight="1" x14ac:dyDescent="0.25">
      <c r="A192" s="82">
        <v>42467</v>
      </c>
      <c r="B192" t="s">
        <v>427</v>
      </c>
      <c r="C192" t="s">
        <v>422</v>
      </c>
      <c r="D192" t="s">
        <v>424</v>
      </c>
      <c r="E192" t="s">
        <v>425</v>
      </c>
      <c r="F192" t="s">
        <v>426</v>
      </c>
      <c r="G192" t="s">
        <v>422</v>
      </c>
      <c r="H192" t="s">
        <v>431</v>
      </c>
      <c r="I192" t="s">
        <v>421</v>
      </c>
      <c r="J192" t="s">
        <v>428</v>
      </c>
      <c r="N192" t="s">
        <v>423</v>
      </c>
    </row>
    <row r="193" spans="1:14" ht="15" customHeight="1" x14ac:dyDescent="0.25">
      <c r="A193" s="82">
        <v>42468</v>
      </c>
      <c r="B193" t="s">
        <v>423</v>
      </c>
      <c r="C193" t="s">
        <v>428</v>
      </c>
      <c r="D193" t="s">
        <v>424</v>
      </c>
      <c r="E193" t="s">
        <v>425</v>
      </c>
      <c r="F193" t="s">
        <v>429</v>
      </c>
      <c r="G193" t="s">
        <v>422</v>
      </c>
      <c r="H193" t="s">
        <v>427</v>
      </c>
      <c r="I193" t="s">
        <v>425</v>
      </c>
      <c r="J193" t="s">
        <v>428</v>
      </c>
      <c r="N193" t="s">
        <v>421</v>
      </c>
    </row>
    <row r="194" spans="1:14" ht="15" customHeight="1" x14ac:dyDescent="0.25">
      <c r="A194" s="82">
        <v>42469</v>
      </c>
      <c r="B194" t="s">
        <v>423</v>
      </c>
      <c r="C194" t="s">
        <v>428</v>
      </c>
      <c r="D194" t="s">
        <v>424</v>
      </c>
      <c r="E194" t="s">
        <v>430</v>
      </c>
      <c r="F194" t="s">
        <v>429</v>
      </c>
      <c r="G194" t="s">
        <v>422</v>
      </c>
      <c r="H194" t="s">
        <v>421</v>
      </c>
      <c r="I194" t="s">
        <v>425</v>
      </c>
      <c r="J194" t="s">
        <v>428</v>
      </c>
      <c r="N194" t="s">
        <v>427</v>
      </c>
    </row>
    <row r="195" spans="1:14" ht="15" customHeight="1" x14ac:dyDescent="0.25">
      <c r="A195" s="82">
        <v>42470</v>
      </c>
      <c r="B195" t="s">
        <v>423</v>
      </c>
      <c r="C195" t="s">
        <v>428</v>
      </c>
      <c r="D195" t="s">
        <v>424</v>
      </c>
      <c r="E195" t="s">
        <v>430</v>
      </c>
      <c r="F195" t="s">
        <v>429</v>
      </c>
      <c r="G195" t="s">
        <v>422</v>
      </c>
      <c r="H195" t="s">
        <v>427</v>
      </c>
      <c r="I195" t="s">
        <v>425</v>
      </c>
      <c r="J195" t="s">
        <v>428</v>
      </c>
      <c r="N195" t="s">
        <v>421</v>
      </c>
    </row>
    <row r="196" spans="1:14" ht="15" customHeight="1" x14ac:dyDescent="0.25">
      <c r="A196" s="82">
        <v>42471</v>
      </c>
      <c r="B196" t="s">
        <v>421</v>
      </c>
      <c r="C196" t="s">
        <v>428</v>
      </c>
      <c r="D196" t="s">
        <v>427</v>
      </c>
      <c r="E196" t="s">
        <v>430</v>
      </c>
      <c r="F196" t="s">
        <v>429</v>
      </c>
      <c r="G196" t="s">
        <v>422</v>
      </c>
      <c r="H196" t="s">
        <v>424</v>
      </c>
      <c r="I196" t="s">
        <v>425</v>
      </c>
      <c r="J196" t="s">
        <v>428</v>
      </c>
      <c r="N196" t="s">
        <v>423</v>
      </c>
    </row>
    <row r="197" spans="1:14" ht="15" customHeight="1" x14ac:dyDescent="0.25">
      <c r="A197" s="82">
        <v>42472</v>
      </c>
      <c r="B197" t="s">
        <v>430</v>
      </c>
      <c r="C197" t="s">
        <v>428</v>
      </c>
      <c r="D197" t="s">
        <v>429</v>
      </c>
      <c r="E197" t="s">
        <v>427</v>
      </c>
      <c r="F197" t="s">
        <v>421</v>
      </c>
      <c r="G197" t="s">
        <v>422</v>
      </c>
      <c r="H197" t="s">
        <v>424</v>
      </c>
      <c r="I197" t="s">
        <v>425</v>
      </c>
      <c r="J197" t="s">
        <v>428</v>
      </c>
      <c r="N197" t="s">
        <v>423</v>
      </c>
    </row>
    <row r="198" spans="1:14" ht="15" customHeight="1" x14ac:dyDescent="0.25">
      <c r="A198" s="82">
        <v>42473</v>
      </c>
      <c r="B198" t="s">
        <v>430</v>
      </c>
      <c r="C198" t="s">
        <v>431</v>
      </c>
      <c r="D198" t="s">
        <v>423</v>
      </c>
      <c r="E198" t="s">
        <v>429</v>
      </c>
      <c r="F198" t="s">
        <v>427</v>
      </c>
      <c r="G198" t="s">
        <v>422</v>
      </c>
      <c r="H198" t="s">
        <v>424</v>
      </c>
      <c r="I198" t="s">
        <v>425</v>
      </c>
      <c r="J198" t="s">
        <v>428</v>
      </c>
      <c r="N198" t="s">
        <v>421</v>
      </c>
    </row>
    <row r="199" spans="1:14" ht="15" customHeight="1" x14ac:dyDescent="0.25">
      <c r="A199" s="82">
        <v>42474</v>
      </c>
      <c r="B199" t="s">
        <v>422</v>
      </c>
      <c r="C199" t="s">
        <v>431</v>
      </c>
      <c r="D199" t="s">
        <v>421</v>
      </c>
      <c r="E199" t="s">
        <v>428</v>
      </c>
      <c r="F199" t="s">
        <v>423</v>
      </c>
      <c r="G199" t="s">
        <v>422</v>
      </c>
      <c r="H199" t="s">
        <v>424</v>
      </c>
      <c r="I199" t="s">
        <v>425</v>
      </c>
      <c r="J199" t="s">
        <v>426</v>
      </c>
      <c r="N199" t="s">
        <v>427</v>
      </c>
    </row>
    <row r="200" spans="1:14" ht="15" customHeight="1" x14ac:dyDescent="0.25">
      <c r="A200" s="82">
        <v>42475</v>
      </c>
      <c r="B200" t="s">
        <v>422</v>
      </c>
      <c r="C200" t="s">
        <v>427</v>
      </c>
      <c r="D200" t="s">
        <v>425</v>
      </c>
      <c r="E200" t="s">
        <v>428</v>
      </c>
      <c r="F200" t="s">
        <v>421</v>
      </c>
      <c r="G200" t="s">
        <v>428</v>
      </c>
      <c r="H200" t="s">
        <v>424</v>
      </c>
      <c r="I200" t="s">
        <v>425</v>
      </c>
      <c r="J200" t="s">
        <v>429</v>
      </c>
      <c r="N200" t="s">
        <v>423</v>
      </c>
    </row>
    <row r="201" spans="1:14" ht="15" customHeight="1" x14ac:dyDescent="0.25">
      <c r="A201" s="82">
        <v>42476</v>
      </c>
      <c r="B201" t="s">
        <v>422</v>
      </c>
      <c r="C201" t="s">
        <v>421</v>
      </c>
      <c r="D201" t="s">
        <v>425</v>
      </c>
      <c r="E201" t="s">
        <v>428</v>
      </c>
      <c r="F201" t="s">
        <v>427</v>
      </c>
      <c r="G201" t="s">
        <v>428</v>
      </c>
      <c r="H201" t="s">
        <v>424</v>
      </c>
      <c r="I201" t="s">
        <v>430</v>
      </c>
      <c r="J201" t="s">
        <v>429</v>
      </c>
      <c r="N201" t="s">
        <v>423</v>
      </c>
    </row>
    <row r="202" spans="1:14" ht="15" customHeight="1" x14ac:dyDescent="0.25">
      <c r="A202" s="82">
        <v>42477</v>
      </c>
      <c r="B202" t="s">
        <v>422</v>
      </c>
      <c r="C202" t="s">
        <v>427</v>
      </c>
      <c r="D202" t="s">
        <v>425</v>
      </c>
      <c r="E202" t="s">
        <v>428</v>
      </c>
      <c r="F202" t="s">
        <v>421</v>
      </c>
      <c r="G202" t="s">
        <v>428</v>
      </c>
      <c r="H202" t="s">
        <v>424</v>
      </c>
      <c r="I202" t="s">
        <v>430</v>
      </c>
      <c r="J202" t="s">
        <v>429</v>
      </c>
      <c r="N202" t="s">
        <v>423</v>
      </c>
    </row>
    <row r="203" spans="1:14" ht="15" customHeight="1" x14ac:dyDescent="0.25">
      <c r="A203" s="82">
        <v>42478</v>
      </c>
      <c r="B203" t="s">
        <v>422</v>
      </c>
      <c r="C203" t="s">
        <v>424</v>
      </c>
      <c r="D203" t="s">
        <v>425</v>
      </c>
      <c r="E203" t="s">
        <v>428</v>
      </c>
      <c r="F203" t="s">
        <v>423</v>
      </c>
      <c r="G203" t="s">
        <v>428</v>
      </c>
      <c r="H203" t="s">
        <v>427</v>
      </c>
      <c r="I203" t="s">
        <v>430</v>
      </c>
      <c r="J203" t="s">
        <v>429</v>
      </c>
      <c r="N203" t="s">
        <v>421</v>
      </c>
    </row>
    <row r="204" spans="1:14" ht="15" customHeight="1" x14ac:dyDescent="0.25">
      <c r="A204" s="82">
        <v>42479</v>
      </c>
      <c r="B204" t="s">
        <v>422</v>
      </c>
      <c r="C204" t="s">
        <v>424</v>
      </c>
      <c r="D204" t="s">
        <v>425</v>
      </c>
      <c r="E204" t="s">
        <v>428</v>
      </c>
      <c r="F204" t="s">
        <v>423</v>
      </c>
      <c r="G204" t="s">
        <v>428</v>
      </c>
      <c r="H204" t="s">
        <v>429</v>
      </c>
      <c r="I204" t="s">
        <v>427</v>
      </c>
      <c r="J204" t="s">
        <v>421</v>
      </c>
      <c r="N204" t="s">
        <v>430</v>
      </c>
    </row>
    <row r="205" spans="1:14" ht="15" customHeight="1" x14ac:dyDescent="0.25">
      <c r="A205" s="82">
        <v>42480</v>
      </c>
      <c r="B205" t="s">
        <v>422</v>
      </c>
      <c r="C205" t="s">
        <v>424</v>
      </c>
      <c r="D205" t="s">
        <v>425</v>
      </c>
      <c r="E205" t="s">
        <v>428</v>
      </c>
      <c r="F205" t="s">
        <v>421</v>
      </c>
      <c r="G205" t="s">
        <v>431</v>
      </c>
      <c r="H205" t="s">
        <v>423</v>
      </c>
      <c r="I205" t="s">
        <v>429</v>
      </c>
      <c r="J205" t="s">
        <v>427</v>
      </c>
      <c r="N205" t="s">
        <v>430</v>
      </c>
    </row>
    <row r="206" spans="1:14" ht="15" customHeight="1" x14ac:dyDescent="0.25">
      <c r="A206" s="82">
        <v>42481</v>
      </c>
      <c r="B206" t="s">
        <v>422</v>
      </c>
      <c r="C206" t="s">
        <v>424</v>
      </c>
      <c r="D206" t="s">
        <v>425</v>
      </c>
      <c r="E206" t="s">
        <v>426</v>
      </c>
      <c r="F206" t="s">
        <v>427</v>
      </c>
      <c r="G206" t="s">
        <v>431</v>
      </c>
      <c r="H206" t="s">
        <v>421</v>
      </c>
      <c r="I206" t="s">
        <v>426</v>
      </c>
      <c r="J206" t="s">
        <v>423</v>
      </c>
      <c r="N206" t="s">
        <v>422</v>
      </c>
    </row>
    <row r="207" spans="1:14" ht="15" customHeight="1" x14ac:dyDescent="0.25">
      <c r="A207" s="82">
        <v>42482</v>
      </c>
      <c r="B207" t="s">
        <v>428</v>
      </c>
      <c r="C207" t="s">
        <v>424</v>
      </c>
      <c r="D207" t="s">
        <v>425</v>
      </c>
      <c r="E207" t="s">
        <v>429</v>
      </c>
      <c r="F207" t="s">
        <v>423</v>
      </c>
      <c r="G207" t="s">
        <v>427</v>
      </c>
      <c r="H207" t="s">
        <v>425</v>
      </c>
      <c r="I207" t="s">
        <v>428</v>
      </c>
      <c r="J207" t="s">
        <v>421</v>
      </c>
      <c r="N207" t="s">
        <v>422</v>
      </c>
    </row>
    <row r="208" spans="1:14" ht="15" customHeight="1" x14ac:dyDescent="0.25">
      <c r="A208" s="82">
        <v>42483</v>
      </c>
      <c r="B208" t="s">
        <v>428</v>
      </c>
      <c r="C208" t="s">
        <v>424</v>
      </c>
      <c r="D208" t="s">
        <v>430</v>
      </c>
      <c r="E208" t="s">
        <v>429</v>
      </c>
      <c r="F208" t="s">
        <v>423</v>
      </c>
      <c r="G208" t="s">
        <v>421</v>
      </c>
      <c r="H208" t="s">
        <v>425</v>
      </c>
      <c r="I208" t="s">
        <v>428</v>
      </c>
      <c r="J208" t="s">
        <v>427</v>
      </c>
      <c r="N208" t="s">
        <v>422</v>
      </c>
    </row>
    <row r="209" spans="1:14" ht="15" customHeight="1" x14ac:dyDescent="0.25">
      <c r="A209" s="82">
        <v>42484</v>
      </c>
      <c r="B209" t="s">
        <v>428</v>
      </c>
      <c r="C209" t="s">
        <v>424</v>
      </c>
      <c r="D209" t="s">
        <v>430</v>
      </c>
      <c r="E209" t="s">
        <v>429</v>
      </c>
      <c r="F209" t="s">
        <v>423</v>
      </c>
      <c r="G209" t="s">
        <v>427</v>
      </c>
      <c r="H209" t="s">
        <v>425</v>
      </c>
      <c r="I209" t="s">
        <v>428</v>
      </c>
      <c r="J209" t="s">
        <v>421</v>
      </c>
      <c r="N209" t="s">
        <v>422</v>
      </c>
    </row>
    <row r="210" spans="1:14" ht="15" customHeight="1" x14ac:dyDescent="0.25">
      <c r="A210" s="82">
        <v>42485</v>
      </c>
      <c r="B210" t="s">
        <v>428</v>
      </c>
      <c r="C210" t="s">
        <v>427</v>
      </c>
      <c r="D210" t="s">
        <v>430</v>
      </c>
      <c r="E210" t="s">
        <v>429</v>
      </c>
      <c r="F210" t="s">
        <v>421</v>
      </c>
      <c r="G210" t="s">
        <v>424</v>
      </c>
      <c r="H210" t="s">
        <v>425</v>
      </c>
      <c r="I210" t="s">
        <v>428</v>
      </c>
      <c r="J210" t="s">
        <v>423</v>
      </c>
      <c r="N210" t="s">
        <v>422</v>
      </c>
    </row>
    <row r="211" spans="1:14" ht="15" customHeight="1" x14ac:dyDescent="0.25">
      <c r="A211" s="82">
        <v>42486</v>
      </c>
      <c r="B211" t="s">
        <v>428</v>
      </c>
      <c r="C211" t="s">
        <v>429</v>
      </c>
      <c r="D211" t="s">
        <v>427</v>
      </c>
      <c r="E211" t="s">
        <v>421</v>
      </c>
      <c r="F211" t="s">
        <v>430</v>
      </c>
      <c r="G211" t="s">
        <v>424</v>
      </c>
      <c r="H211" t="s">
        <v>425</v>
      </c>
      <c r="I211" t="s">
        <v>428</v>
      </c>
      <c r="J211" t="s">
        <v>423</v>
      </c>
      <c r="N211" t="s">
        <v>422</v>
      </c>
    </row>
    <row r="212" spans="1:14" ht="15" customHeight="1" x14ac:dyDescent="0.25">
      <c r="A212" s="82">
        <v>42487</v>
      </c>
      <c r="B212" t="s">
        <v>431</v>
      </c>
      <c r="C212" t="s">
        <v>423</v>
      </c>
      <c r="D212" t="s">
        <v>429</v>
      </c>
      <c r="E212" t="s">
        <v>427</v>
      </c>
      <c r="F212" t="s">
        <v>430</v>
      </c>
      <c r="G212" t="s">
        <v>424</v>
      </c>
      <c r="H212" t="s">
        <v>425</v>
      </c>
      <c r="I212" t="s">
        <v>426</v>
      </c>
      <c r="J212" t="s">
        <v>421</v>
      </c>
      <c r="N212" t="s">
        <v>422</v>
      </c>
    </row>
    <row r="213" spans="1:14" ht="15" customHeight="1" x14ac:dyDescent="0.25">
      <c r="A213" s="82">
        <v>42488</v>
      </c>
      <c r="B213" t="s">
        <v>431</v>
      </c>
      <c r="C213" t="s">
        <v>421</v>
      </c>
      <c r="D213" t="s">
        <v>426</v>
      </c>
      <c r="E213" t="s">
        <v>423</v>
      </c>
      <c r="F213" t="s">
        <v>422</v>
      </c>
      <c r="G213" t="s">
        <v>424</v>
      </c>
      <c r="H213" t="s">
        <v>425</v>
      </c>
      <c r="I213" t="s">
        <v>426</v>
      </c>
      <c r="J213" t="s">
        <v>427</v>
      </c>
      <c r="N213" t="s">
        <v>422</v>
      </c>
    </row>
    <row r="214" spans="1:14" ht="15" customHeight="1" x14ac:dyDescent="0.25">
      <c r="A214" s="82">
        <v>42489</v>
      </c>
      <c r="B214" t="s">
        <v>427</v>
      </c>
      <c r="C214" t="s">
        <v>425</v>
      </c>
      <c r="D214" t="s">
        <v>428</v>
      </c>
      <c r="E214" t="s">
        <v>421</v>
      </c>
      <c r="F214" t="s">
        <v>422</v>
      </c>
      <c r="G214" t="s">
        <v>424</v>
      </c>
      <c r="H214" t="s">
        <v>425</v>
      </c>
      <c r="I214" t="s">
        <v>429</v>
      </c>
      <c r="J214" t="s">
        <v>423</v>
      </c>
      <c r="N214" t="s">
        <v>428</v>
      </c>
    </row>
    <row r="215" spans="1:14" ht="15" customHeight="1" x14ac:dyDescent="0.25">
      <c r="A215" s="82">
        <v>42490</v>
      </c>
      <c r="B215" t="s">
        <v>421</v>
      </c>
      <c r="C215" t="s">
        <v>425</v>
      </c>
      <c r="D215" t="s">
        <v>428</v>
      </c>
      <c r="E215" t="s">
        <v>427</v>
      </c>
      <c r="F215" t="s">
        <v>422</v>
      </c>
      <c r="G215" t="s">
        <v>424</v>
      </c>
      <c r="H215" t="s">
        <v>430</v>
      </c>
      <c r="I215" t="s">
        <v>429</v>
      </c>
      <c r="J215" t="s">
        <v>423</v>
      </c>
      <c r="N215" t="s">
        <v>428</v>
      </c>
    </row>
    <row r="216" spans="1:14" ht="15" customHeight="1" x14ac:dyDescent="0.25">
      <c r="A216" s="82">
        <v>42491</v>
      </c>
      <c r="B216" t="s">
        <v>427</v>
      </c>
      <c r="C216" t="s">
        <v>425</v>
      </c>
      <c r="D216" t="s">
        <v>428</v>
      </c>
      <c r="E216" t="s">
        <v>421</v>
      </c>
      <c r="F216" t="s">
        <v>422</v>
      </c>
      <c r="G216" t="s">
        <v>424</v>
      </c>
      <c r="H216" t="s">
        <v>430</v>
      </c>
      <c r="I216" t="s">
        <v>429</v>
      </c>
      <c r="J216" t="s">
        <v>423</v>
      </c>
      <c r="N216" t="s">
        <v>428</v>
      </c>
    </row>
    <row r="217" spans="1:14" ht="15" customHeight="1" x14ac:dyDescent="0.25">
      <c r="A217" s="82">
        <v>42492</v>
      </c>
      <c r="B217" t="s">
        <v>424</v>
      </c>
      <c r="C217" t="s">
        <v>425</v>
      </c>
      <c r="D217" t="s">
        <v>428</v>
      </c>
      <c r="E217" t="s">
        <v>423</v>
      </c>
      <c r="F217" t="s">
        <v>422</v>
      </c>
      <c r="G217" t="s">
        <v>427</v>
      </c>
      <c r="H217" t="s">
        <v>430</v>
      </c>
      <c r="I217" t="s">
        <v>429</v>
      </c>
      <c r="J217" t="s">
        <v>421</v>
      </c>
      <c r="N217" t="s">
        <v>428</v>
      </c>
    </row>
    <row r="218" spans="1:14" ht="15" customHeight="1" x14ac:dyDescent="0.25">
      <c r="A218" s="82">
        <v>42493</v>
      </c>
      <c r="B218" t="s">
        <v>424</v>
      </c>
      <c r="C218" t="s">
        <v>425</v>
      </c>
      <c r="D218" t="s">
        <v>428</v>
      </c>
      <c r="E218" t="s">
        <v>423</v>
      </c>
      <c r="F218" t="s">
        <v>422</v>
      </c>
      <c r="G218" t="s">
        <v>429</v>
      </c>
      <c r="H218" t="s">
        <v>427</v>
      </c>
      <c r="I218" t="s">
        <v>421</v>
      </c>
      <c r="J218" t="s">
        <v>430</v>
      </c>
      <c r="N218" t="s">
        <v>428</v>
      </c>
    </row>
    <row r="219" spans="1:14" ht="15" customHeight="1" x14ac:dyDescent="0.25">
      <c r="A219" s="82">
        <v>42494</v>
      </c>
      <c r="B219" t="s">
        <v>424</v>
      </c>
      <c r="C219" t="s">
        <v>425</v>
      </c>
      <c r="D219" t="s">
        <v>426</v>
      </c>
      <c r="E219" t="s">
        <v>421</v>
      </c>
      <c r="F219" t="s">
        <v>422</v>
      </c>
      <c r="G219" t="s">
        <v>423</v>
      </c>
      <c r="H219" t="s">
        <v>429</v>
      </c>
      <c r="I219" t="s">
        <v>427</v>
      </c>
      <c r="J219" t="s">
        <v>430</v>
      </c>
      <c r="N219" t="s">
        <v>431</v>
      </c>
    </row>
    <row r="220" spans="1:14" ht="15" customHeight="1" x14ac:dyDescent="0.25">
      <c r="A220" s="82">
        <v>42495</v>
      </c>
      <c r="B220" t="s">
        <v>424</v>
      </c>
      <c r="C220" t="s">
        <v>425</v>
      </c>
      <c r="D220" t="s">
        <v>426</v>
      </c>
      <c r="E220" t="s">
        <v>427</v>
      </c>
      <c r="F220" t="s">
        <v>422</v>
      </c>
      <c r="G220" t="s">
        <v>421</v>
      </c>
      <c r="H220" t="s">
        <v>426</v>
      </c>
      <c r="I220" t="s">
        <v>423</v>
      </c>
      <c r="J220" t="s">
        <v>422</v>
      </c>
      <c r="N220" t="s">
        <v>431</v>
      </c>
    </row>
    <row r="221" spans="1:14" ht="15" customHeight="1" x14ac:dyDescent="0.25">
      <c r="A221" s="82">
        <v>42496</v>
      </c>
      <c r="B221" t="s">
        <v>424</v>
      </c>
      <c r="C221" t="s">
        <v>425</v>
      </c>
      <c r="D221" t="s">
        <v>429</v>
      </c>
      <c r="E221" t="s">
        <v>423</v>
      </c>
      <c r="F221" t="s">
        <v>428</v>
      </c>
      <c r="G221" t="s">
        <v>425</v>
      </c>
      <c r="H221" t="s">
        <v>428</v>
      </c>
      <c r="I221" t="s">
        <v>421</v>
      </c>
      <c r="J221" t="s">
        <v>422</v>
      </c>
      <c r="N221" t="s">
        <v>427</v>
      </c>
    </row>
    <row r="222" spans="1:14" ht="15" customHeight="1" x14ac:dyDescent="0.25">
      <c r="A222" s="82">
        <v>42497</v>
      </c>
      <c r="B222" t="s">
        <v>424</v>
      </c>
      <c r="C222" t="s">
        <v>430</v>
      </c>
      <c r="D222" t="s">
        <v>429</v>
      </c>
      <c r="E222" t="s">
        <v>423</v>
      </c>
      <c r="F222" t="s">
        <v>428</v>
      </c>
      <c r="G222" t="s">
        <v>425</v>
      </c>
      <c r="H222" t="s">
        <v>428</v>
      </c>
      <c r="I222" t="s">
        <v>427</v>
      </c>
      <c r="J222" t="s">
        <v>422</v>
      </c>
      <c r="N222" t="s">
        <v>421</v>
      </c>
    </row>
    <row r="223" spans="1:14" ht="15" customHeight="1" x14ac:dyDescent="0.25">
      <c r="A223" s="82">
        <v>42498</v>
      </c>
      <c r="B223" t="s">
        <v>424</v>
      </c>
      <c r="C223" t="s">
        <v>430</v>
      </c>
      <c r="D223" t="s">
        <v>429</v>
      </c>
      <c r="E223" t="s">
        <v>423</v>
      </c>
      <c r="F223" t="s">
        <v>428</v>
      </c>
      <c r="G223" t="s">
        <v>425</v>
      </c>
      <c r="H223" t="s">
        <v>428</v>
      </c>
      <c r="I223" t="s">
        <v>421</v>
      </c>
      <c r="J223" t="s">
        <v>422</v>
      </c>
      <c r="N223" t="s">
        <v>427</v>
      </c>
    </row>
    <row r="224" spans="1:14" ht="15" customHeight="1" x14ac:dyDescent="0.25">
      <c r="A224" s="82">
        <v>42499</v>
      </c>
      <c r="B224" t="s">
        <v>427</v>
      </c>
      <c r="C224" t="s">
        <v>430</v>
      </c>
      <c r="D224" t="s">
        <v>429</v>
      </c>
      <c r="E224" t="s">
        <v>421</v>
      </c>
      <c r="F224" t="s">
        <v>428</v>
      </c>
      <c r="G224" t="s">
        <v>425</v>
      </c>
      <c r="H224" t="s">
        <v>428</v>
      </c>
      <c r="I224" t="s">
        <v>423</v>
      </c>
      <c r="J224" t="s">
        <v>422</v>
      </c>
      <c r="N224" t="s">
        <v>424</v>
      </c>
    </row>
    <row r="225" spans="1:14" ht="15" customHeight="1" x14ac:dyDescent="0.25">
      <c r="A225" s="82">
        <v>42500</v>
      </c>
      <c r="B225" t="s">
        <v>429</v>
      </c>
      <c r="C225" t="s">
        <v>427</v>
      </c>
      <c r="D225" t="s">
        <v>421</v>
      </c>
      <c r="E225" t="s">
        <v>430</v>
      </c>
      <c r="F225" t="s">
        <v>428</v>
      </c>
      <c r="G225" t="s">
        <v>425</v>
      </c>
      <c r="H225" t="s">
        <v>428</v>
      </c>
      <c r="I225" t="s">
        <v>423</v>
      </c>
      <c r="J225" t="s">
        <v>422</v>
      </c>
      <c r="N225" t="s">
        <v>424</v>
      </c>
    </row>
    <row r="226" spans="1:14" ht="15" customHeight="1" x14ac:dyDescent="0.25">
      <c r="A226" s="82">
        <v>42501</v>
      </c>
      <c r="B226" t="s">
        <v>423</v>
      </c>
      <c r="C226" t="s">
        <v>429</v>
      </c>
      <c r="D226" t="s">
        <v>427</v>
      </c>
      <c r="E226" t="s">
        <v>430</v>
      </c>
      <c r="F226" t="s">
        <v>431</v>
      </c>
      <c r="G226" t="s">
        <v>425</v>
      </c>
      <c r="H226" t="s">
        <v>426</v>
      </c>
      <c r="I226" t="s">
        <v>421</v>
      </c>
      <c r="J226" t="s">
        <v>422</v>
      </c>
      <c r="N226" t="s">
        <v>424</v>
      </c>
    </row>
    <row r="227" spans="1:14" ht="15" customHeight="1" x14ac:dyDescent="0.25">
      <c r="A227" s="82">
        <v>42502</v>
      </c>
      <c r="B227" t="s">
        <v>421</v>
      </c>
      <c r="C227" t="s">
        <v>426</v>
      </c>
      <c r="D227" t="s">
        <v>423</v>
      </c>
      <c r="E227" t="s">
        <v>422</v>
      </c>
      <c r="F227" t="s">
        <v>431</v>
      </c>
      <c r="G227" t="s">
        <v>425</v>
      </c>
      <c r="H227" t="s">
        <v>426</v>
      </c>
      <c r="I227" t="s">
        <v>427</v>
      </c>
      <c r="J227" t="s">
        <v>422</v>
      </c>
      <c r="N227" t="s">
        <v>424</v>
      </c>
    </row>
    <row r="228" spans="1:14" ht="15" customHeight="1" x14ac:dyDescent="0.25">
      <c r="A228" s="82">
        <v>42503</v>
      </c>
      <c r="B228" t="s">
        <v>425</v>
      </c>
      <c r="C228" t="s">
        <v>428</v>
      </c>
      <c r="D228" t="s">
        <v>421</v>
      </c>
      <c r="E228" t="s">
        <v>422</v>
      </c>
      <c r="F228" t="s">
        <v>427</v>
      </c>
      <c r="G228" t="s">
        <v>425</v>
      </c>
      <c r="H228" t="s">
        <v>429</v>
      </c>
      <c r="I228" t="s">
        <v>423</v>
      </c>
      <c r="J228" t="s">
        <v>428</v>
      </c>
      <c r="N228" t="s">
        <v>424</v>
      </c>
    </row>
    <row r="229" spans="1:14" ht="15" customHeight="1" x14ac:dyDescent="0.25">
      <c r="A229" s="82">
        <v>42504</v>
      </c>
      <c r="B229" t="s">
        <v>425</v>
      </c>
      <c r="C229" t="s">
        <v>428</v>
      </c>
      <c r="D229" t="s">
        <v>427</v>
      </c>
      <c r="E229" t="s">
        <v>422</v>
      </c>
      <c r="F229" t="s">
        <v>421</v>
      </c>
      <c r="G229" t="s">
        <v>430</v>
      </c>
      <c r="H229" t="s">
        <v>429</v>
      </c>
      <c r="I229" t="s">
        <v>423</v>
      </c>
      <c r="J229" t="s">
        <v>428</v>
      </c>
      <c r="N229" t="s">
        <v>424</v>
      </c>
    </row>
    <row r="230" spans="1:14" ht="15" customHeight="1" x14ac:dyDescent="0.25">
      <c r="A230" s="82">
        <v>42505</v>
      </c>
      <c r="B230" t="s">
        <v>425</v>
      </c>
      <c r="C230" t="s">
        <v>428</v>
      </c>
      <c r="D230" t="s">
        <v>421</v>
      </c>
      <c r="E230" t="s">
        <v>422</v>
      </c>
      <c r="F230" t="s">
        <v>427</v>
      </c>
      <c r="G230" t="s">
        <v>430</v>
      </c>
      <c r="H230" t="s">
        <v>429</v>
      </c>
      <c r="I230" t="s">
        <v>423</v>
      </c>
      <c r="J230" t="s">
        <v>428</v>
      </c>
      <c r="N230" t="s">
        <v>424</v>
      </c>
    </row>
    <row r="231" spans="1:14" ht="15" customHeight="1" x14ac:dyDescent="0.25">
      <c r="A231" s="82">
        <v>42506</v>
      </c>
      <c r="B231" t="s">
        <v>425</v>
      </c>
      <c r="C231" t="s">
        <v>428</v>
      </c>
      <c r="D231" t="s">
        <v>423</v>
      </c>
      <c r="E231" t="s">
        <v>422</v>
      </c>
      <c r="F231" t="s">
        <v>424</v>
      </c>
      <c r="G231" t="s">
        <v>430</v>
      </c>
      <c r="H231" t="s">
        <v>429</v>
      </c>
      <c r="I231" t="s">
        <v>421</v>
      </c>
      <c r="J231" t="s">
        <v>428</v>
      </c>
      <c r="N231" t="s">
        <v>427</v>
      </c>
    </row>
    <row r="232" spans="1:14" ht="15" customHeight="1" x14ac:dyDescent="0.25">
      <c r="A232" s="82">
        <v>42507</v>
      </c>
      <c r="B232" t="s">
        <v>425</v>
      </c>
      <c r="C232" t="s">
        <v>428</v>
      </c>
      <c r="D232" t="s">
        <v>423</v>
      </c>
      <c r="E232" t="s">
        <v>422</v>
      </c>
      <c r="F232" t="s">
        <v>424</v>
      </c>
      <c r="G232" t="s">
        <v>427</v>
      </c>
      <c r="H232" t="s">
        <v>421</v>
      </c>
      <c r="I232" t="s">
        <v>430</v>
      </c>
      <c r="J232" t="s">
        <v>428</v>
      </c>
      <c r="N232" t="s">
        <v>429</v>
      </c>
    </row>
    <row r="233" spans="1:14" ht="15" customHeight="1" x14ac:dyDescent="0.25">
      <c r="A233" s="82">
        <v>42508</v>
      </c>
      <c r="B233" t="s">
        <v>425</v>
      </c>
      <c r="C233" t="s">
        <v>426</v>
      </c>
      <c r="D233" t="s">
        <v>421</v>
      </c>
      <c r="E233" t="s">
        <v>422</v>
      </c>
      <c r="F233" t="s">
        <v>424</v>
      </c>
      <c r="G233" t="s">
        <v>429</v>
      </c>
      <c r="H233" t="s">
        <v>427</v>
      </c>
      <c r="I233" t="s">
        <v>430</v>
      </c>
      <c r="J233" t="s">
        <v>431</v>
      </c>
      <c r="N233" t="s">
        <v>423</v>
      </c>
    </row>
    <row r="234" spans="1:14" ht="15" customHeight="1" x14ac:dyDescent="0.25">
      <c r="A234" s="82">
        <v>42509</v>
      </c>
      <c r="B234" t="s">
        <v>425</v>
      </c>
      <c r="C234" t="s">
        <v>426</v>
      </c>
      <c r="D234" t="s">
        <v>427</v>
      </c>
      <c r="E234" t="s">
        <v>422</v>
      </c>
      <c r="F234" t="s">
        <v>424</v>
      </c>
      <c r="G234" t="s">
        <v>426</v>
      </c>
      <c r="H234" t="s">
        <v>423</v>
      </c>
      <c r="I234" t="s">
        <v>422</v>
      </c>
      <c r="J234" t="s">
        <v>431</v>
      </c>
      <c r="N234" t="s">
        <v>421</v>
      </c>
    </row>
    <row r="235" spans="1:14" ht="15" customHeight="1" x14ac:dyDescent="0.25">
      <c r="A235" s="82">
        <v>42510</v>
      </c>
      <c r="B235" t="s">
        <v>425</v>
      </c>
      <c r="C235" t="s">
        <v>429</v>
      </c>
      <c r="D235" t="s">
        <v>423</v>
      </c>
      <c r="E235" t="s">
        <v>428</v>
      </c>
      <c r="F235" t="s">
        <v>424</v>
      </c>
      <c r="G235" t="s">
        <v>428</v>
      </c>
      <c r="H235" t="s">
        <v>421</v>
      </c>
      <c r="I235" t="s">
        <v>422</v>
      </c>
      <c r="J235" t="s">
        <v>427</v>
      </c>
      <c r="N235" t="s">
        <v>425</v>
      </c>
    </row>
    <row r="236" spans="1:14" ht="15" customHeight="1" x14ac:dyDescent="0.25">
      <c r="A236" s="82">
        <v>42511</v>
      </c>
      <c r="B236" t="s">
        <v>430</v>
      </c>
      <c r="C236" t="s">
        <v>429</v>
      </c>
      <c r="D236" t="s">
        <v>423</v>
      </c>
      <c r="E236" t="s">
        <v>428</v>
      </c>
      <c r="F236" t="s">
        <v>424</v>
      </c>
      <c r="G236" t="s">
        <v>428</v>
      </c>
      <c r="H236" t="s">
        <v>427</v>
      </c>
      <c r="I236" t="s">
        <v>422</v>
      </c>
      <c r="J236" t="s">
        <v>421</v>
      </c>
      <c r="N236" t="s">
        <v>425</v>
      </c>
    </row>
    <row r="237" spans="1:14" ht="15" customHeight="1" x14ac:dyDescent="0.25">
      <c r="A237" s="82">
        <v>42512</v>
      </c>
      <c r="B237" t="s">
        <v>430</v>
      </c>
      <c r="C237" t="s">
        <v>429</v>
      </c>
      <c r="D237" t="s">
        <v>423</v>
      </c>
      <c r="E237" t="s">
        <v>428</v>
      </c>
      <c r="F237" t="s">
        <v>424</v>
      </c>
      <c r="G237" t="s">
        <v>428</v>
      </c>
      <c r="H237" t="s">
        <v>421</v>
      </c>
      <c r="I237" t="s">
        <v>422</v>
      </c>
      <c r="J237" t="s">
        <v>427</v>
      </c>
      <c r="N237" t="s">
        <v>425</v>
      </c>
    </row>
    <row r="238" spans="1:14" ht="15" customHeight="1" x14ac:dyDescent="0.25">
      <c r="A238" s="82">
        <v>42513</v>
      </c>
      <c r="B238" t="s">
        <v>430</v>
      </c>
      <c r="C238" t="s">
        <v>429</v>
      </c>
      <c r="D238" t="s">
        <v>421</v>
      </c>
      <c r="E238" t="s">
        <v>428</v>
      </c>
      <c r="F238" t="s">
        <v>427</v>
      </c>
      <c r="G238" t="s">
        <v>428</v>
      </c>
      <c r="H238" t="s">
        <v>423</v>
      </c>
      <c r="I238" t="s">
        <v>422</v>
      </c>
      <c r="J238" t="s">
        <v>424</v>
      </c>
      <c r="N238" t="s">
        <v>425</v>
      </c>
    </row>
    <row r="239" spans="1:14" ht="15" customHeight="1" x14ac:dyDescent="0.25">
      <c r="A239" s="82">
        <v>42514</v>
      </c>
      <c r="B239" t="s">
        <v>427</v>
      </c>
      <c r="C239" t="s">
        <v>421</v>
      </c>
      <c r="D239" t="s">
        <v>430</v>
      </c>
      <c r="E239" t="s">
        <v>428</v>
      </c>
      <c r="F239" t="s">
        <v>429</v>
      </c>
      <c r="G239" t="s">
        <v>428</v>
      </c>
      <c r="H239" t="s">
        <v>423</v>
      </c>
      <c r="I239" t="s">
        <v>422</v>
      </c>
      <c r="J239" t="s">
        <v>424</v>
      </c>
      <c r="N239" t="s">
        <v>425</v>
      </c>
    </row>
    <row r="240" spans="1:14" ht="15" customHeight="1" x14ac:dyDescent="0.25">
      <c r="A240" s="82">
        <v>42515</v>
      </c>
      <c r="B240" t="s">
        <v>429</v>
      </c>
      <c r="C240" t="s">
        <v>427</v>
      </c>
      <c r="D240" t="s">
        <v>430</v>
      </c>
      <c r="E240" t="s">
        <v>431</v>
      </c>
      <c r="F240" t="s">
        <v>423</v>
      </c>
      <c r="G240" t="s">
        <v>426</v>
      </c>
      <c r="H240" t="s">
        <v>421</v>
      </c>
      <c r="I240" t="s">
        <v>422</v>
      </c>
      <c r="J240" t="s">
        <v>424</v>
      </c>
      <c r="N240" t="s">
        <v>425</v>
      </c>
    </row>
    <row r="241" spans="1:14" ht="15" customHeight="1" x14ac:dyDescent="0.25">
      <c r="A241" s="82">
        <v>42516</v>
      </c>
      <c r="B241" t="s">
        <v>426</v>
      </c>
      <c r="C241" t="s">
        <v>423</v>
      </c>
      <c r="D241" t="s">
        <v>422</v>
      </c>
      <c r="E241" t="s">
        <v>431</v>
      </c>
      <c r="F241" t="s">
        <v>421</v>
      </c>
      <c r="G241" t="s">
        <v>426</v>
      </c>
      <c r="H241" t="s">
        <v>427</v>
      </c>
      <c r="I241" t="s">
        <v>422</v>
      </c>
      <c r="J241" t="s">
        <v>424</v>
      </c>
      <c r="N241" t="s">
        <v>425</v>
      </c>
    </row>
    <row r="242" spans="1:14" ht="15" customHeight="1" x14ac:dyDescent="0.25">
      <c r="A242" s="82">
        <v>42517</v>
      </c>
      <c r="B242" t="s">
        <v>428</v>
      </c>
      <c r="C242" t="s">
        <v>421</v>
      </c>
      <c r="D242" t="s">
        <v>422</v>
      </c>
      <c r="E242" t="s">
        <v>427</v>
      </c>
      <c r="F242" t="s">
        <v>425</v>
      </c>
      <c r="G242" t="s">
        <v>429</v>
      </c>
      <c r="H242" t="s">
        <v>423</v>
      </c>
      <c r="I242" t="s">
        <v>428</v>
      </c>
      <c r="J242" t="s">
        <v>424</v>
      </c>
      <c r="N242" t="s">
        <v>425</v>
      </c>
    </row>
    <row r="243" spans="1:14" ht="15" customHeight="1" x14ac:dyDescent="0.25">
      <c r="A243" s="82">
        <v>42518</v>
      </c>
      <c r="B243" t="s">
        <v>428</v>
      </c>
      <c r="C243" t="s">
        <v>427</v>
      </c>
      <c r="D243" t="s">
        <v>422</v>
      </c>
      <c r="E243" t="s">
        <v>421</v>
      </c>
      <c r="F243" t="s">
        <v>425</v>
      </c>
      <c r="G243" t="s">
        <v>429</v>
      </c>
      <c r="H243" t="s">
        <v>423</v>
      </c>
      <c r="I243" t="s">
        <v>428</v>
      </c>
      <c r="J243" t="s">
        <v>424</v>
      </c>
      <c r="N243" t="s">
        <v>430</v>
      </c>
    </row>
    <row r="244" spans="1:14" ht="15" customHeight="1" x14ac:dyDescent="0.25">
      <c r="A244" s="82">
        <v>42519</v>
      </c>
      <c r="B244" t="s">
        <v>428</v>
      </c>
      <c r="C244" t="s">
        <v>421</v>
      </c>
      <c r="D244" t="s">
        <v>422</v>
      </c>
      <c r="E244" t="s">
        <v>427</v>
      </c>
      <c r="F244" t="s">
        <v>425</v>
      </c>
      <c r="G244" t="s">
        <v>429</v>
      </c>
      <c r="H244" t="s">
        <v>423</v>
      </c>
      <c r="I244" t="s">
        <v>428</v>
      </c>
      <c r="J244" t="s">
        <v>424</v>
      </c>
      <c r="N244" t="s">
        <v>430</v>
      </c>
    </row>
    <row r="245" spans="1:14" ht="15" customHeight="1" x14ac:dyDescent="0.25">
      <c r="A245" s="82">
        <v>42520</v>
      </c>
      <c r="B245" t="s">
        <v>428</v>
      </c>
      <c r="C245" t="s">
        <v>423</v>
      </c>
      <c r="D245" t="s">
        <v>422</v>
      </c>
      <c r="E245" t="s">
        <v>424</v>
      </c>
      <c r="F245" t="s">
        <v>425</v>
      </c>
      <c r="G245" t="s">
        <v>429</v>
      </c>
      <c r="H245" t="s">
        <v>421</v>
      </c>
      <c r="I245" t="s">
        <v>428</v>
      </c>
      <c r="J245" t="s">
        <v>427</v>
      </c>
      <c r="N245" t="s">
        <v>430</v>
      </c>
    </row>
    <row r="246" spans="1:14" ht="15" customHeight="1" x14ac:dyDescent="0.25">
      <c r="A246" s="82">
        <v>42521</v>
      </c>
      <c r="B246" t="s">
        <v>428</v>
      </c>
      <c r="C246" t="s">
        <v>423</v>
      </c>
      <c r="D246" t="s">
        <v>422</v>
      </c>
      <c r="E246" t="s">
        <v>424</v>
      </c>
      <c r="F246" t="s">
        <v>425</v>
      </c>
      <c r="G246" t="s">
        <v>421</v>
      </c>
      <c r="H246" t="s">
        <v>430</v>
      </c>
      <c r="I246" t="s">
        <v>428</v>
      </c>
      <c r="J246" t="s">
        <v>429</v>
      </c>
      <c r="N246" t="s">
        <v>427</v>
      </c>
    </row>
    <row r="247" spans="1:14" ht="15" customHeight="1" x14ac:dyDescent="0.25">
      <c r="A247" s="82">
        <v>42522</v>
      </c>
      <c r="B247" t="s">
        <v>426</v>
      </c>
      <c r="C247" t="s">
        <v>421</v>
      </c>
      <c r="D247" t="s">
        <v>422</v>
      </c>
      <c r="E247" t="s">
        <v>424</v>
      </c>
      <c r="F247" t="s">
        <v>425</v>
      </c>
      <c r="G247" t="s">
        <v>427</v>
      </c>
      <c r="H247" t="s">
        <v>432</v>
      </c>
      <c r="I247" t="s">
        <v>431</v>
      </c>
      <c r="J247" t="s">
        <v>423</v>
      </c>
      <c r="N247" t="s">
        <v>429</v>
      </c>
    </row>
    <row r="248" spans="1:14" ht="15" customHeight="1" x14ac:dyDescent="0.25">
      <c r="A248" s="82">
        <v>42523</v>
      </c>
      <c r="B248" t="s">
        <v>426</v>
      </c>
      <c r="C248" t="s">
        <v>427</v>
      </c>
      <c r="D248" t="s">
        <v>422</v>
      </c>
      <c r="E248" t="s">
        <v>424</v>
      </c>
      <c r="F248" t="s">
        <v>425</v>
      </c>
      <c r="G248" t="s">
        <v>423</v>
      </c>
      <c r="H248" t="s">
        <v>432</v>
      </c>
      <c r="I248" t="s">
        <v>431</v>
      </c>
      <c r="J248" t="s">
        <v>421</v>
      </c>
      <c r="N248" t="s">
        <v>426</v>
      </c>
    </row>
    <row r="249" spans="1:14" ht="15" customHeight="1" x14ac:dyDescent="0.25">
      <c r="A249" s="82">
        <v>42524</v>
      </c>
      <c r="B249" t="s">
        <v>429</v>
      </c>
      <c r="C249" t="s">
        <v>423</v>
      </c>
      <c r="D249" t="s">
        <v>428</v>
      </c>
      <c r="E249" t="s">
        <v>424</v>
      </c>
      <c r="F249" t="s">
        <v>425</v>
      </c>
      <c r="G249" t="s">
        <v>421</v>
      </c>
      <c r="H249" t="s">
        <v>432</v>
      </c>
      <c r="I249" t="s">
        <v>427</v>
      </c>
      <c r="J249" t="s">
        <v>425</v>
      </c>
      <c r="N249" t="s">
        <v>428</v>
      </c>
    </row>
    <row r="250" spans="1:14" ht="15" customHeight="1" x14ac:dyDescent="0.25">
      <c r="A250" s="82">
        <v>42525</v>
      </c>
      <c r="B250" t="s">
        <v>429</v>
      </c>
      <c r="C250" t="s">
        <v>423</v>
      </c>
      <c r="D250" t="s">
        <v>428</v>
      </c>
      <c r="E250" t="s">
        <v>424</v>
      </c>
      <c r="F250" t="s">
        <v>430</v>
      </c>
      <c r="G250" t="s">
        <v>427</v>
      </c>
      <c r="H250" t="s">
        <v>432</v>
      </c>
      <c r="I250" t="s">
        <v>421</v>
      </c>
      <c r="J250" t="s">
        <v>425</v>
      </c>
      <c r="N250" t="s">
        <v>428</v>
      </c>
    </row>
    <row r="251" spans="1:14" ht="15" customHeight="1" x14ac:dyDescent="0.25">
      <c r="A251" s="82">
        <v>42526</v>
      </c>
      <c r="B251" t="s">
        <v>429</v>
      </c>
      <c r="C251" t="s">
        <v>423</v>
      </c>
      <c r="D251" t="s">
        <v>428</v>
      </c>
      <c r="E251" t="s">
        <v>424</v>
      </c>
      <c r="F251" t="s">
        <v>430</v>
      </c>
      <c r="G251" t="s">
        <v>421</v>
      </c>
      <c r="H251" t="s">
        <v>432</v>
      </c>
      <c r="I251" t="s">
        <v>427</v>
      </c>
      <c r="J251" t="s">
        <v>425</v>
      </c>
      <c r="N251" t="s">
        <v>428</v>
      </c>
    </row>
    <row r="252" spans="1:14" ht="15" customHeight="1" x14ac:dyDescent="0.25">
      <c r="A252" s="82">
        <v>42527</v>
      </c>
      <c r="B252" t="s">
        <v>429</v>
      </c>
      <c r="C252" t="s">
        <v>421</v>
      </c>
      <c r="D252" t="s">
        <v>428</v>
      </c>
      <c r="E252" t="s">
        <v>427</v>
      </c>
      <c r="F252" t="s">
        <v>430</v>
      </c>
      <c r="G252" t="s">
        <v>423</v>
      </c>
      <c r="H252" t="s">
        <v>432</v>
      </c>
      <c r="I252" t="s">
        <v>424</v>
      </c>
      <c r="J252" t="s">
        <v>425</v>
      </c>
      <c r="N252" t="s">
        <v>428</v>
      </c>
    </row>
    <row r="253" spans="1:14" ht="15" customHeight="1" x14ac:dyDescent="0.25">
      <c r="A253" s="82">
        <v>42528</v>
      </c>
      <c r="B253" t="s">
        <v>421</v>
      </c>
      <c r="C253" t="s">
        <v>430</v>
      </c>
      <c r="D253" t="s">
        <v>428</v>
      </c>
      <c r="E253" t="s">
        <v>429</v>
      </c>
      <c r="F253" t="s">
        <v>427</v>
      </c>
      <c r="G253" t="s">
        <v>423</v>
      </c>
      <c r="H253" t="s">
        <v>432</v>
      </c>
      <c r="I253" t="s">
        <v>424</v>
      </c>
      <c r="J253" t="s">
        <v>425</v>
      </c>
      <c r="N253" t="s">
        <v>428</v>
      </c>
    </row>
    <row r="254" spans="1:14" ht="15" customHeight="1" x14ac:dyDescent="0.25">
      <c r="A254" s="82">
        <v>42529</v>
      </c>
      <c r="B254" t="s">
        <v>427</v>
      </c>
      <c r="C254" t="s">
        <v>430</v>
      </c>
      <c r="D254" t="s">
        <v>431</v>
      </c>
      <c r="E254" t="s">
        <v>423</v>
      </c>
      <c r="F254" t="s">
        <v>429</v>
      </c>
      <c r="G254" t="s">
        <v>421</v>
      </c>
      <c r="H254" t="s">
        <v>432</v>
      </c>
      <c r="I254" t="s">
        <v>424</v>
      </c>
      <c r="J254" t="s">
        <v>425</v>
      </c>
      <c r="N254" t="s">
        <v>426</v>
      </c>
    </row>
    <row r="255" spans="1:14" ht="15" customHeight="1" x14ac:dyDescent="0.25">
      <c r="A255" s="82">
        <v>42530</v>
      </c>
      <c r="B255" t="s">
        <v>423</v>
      </c>
      <c r="C255" t="s">
        <v>432</v>
      </c>
      <c r="D255" t="s">
        <v>431</v>
      </c>
      <c r="E255" t="s">
        <v>421</v>
      </c>
      <c r="F255" t="s">
        <v>426</v>
      </c>
      <c r="G255" t="s">
        <v>427</v>
      </c>
      <c r="H255" t="s">
        <v>432</v>
      </c>
      <c r="I255" t="s">
        <v>424</v>
      </c>
      <c r="J255" t="s">
        <v>425</v>
      </c>
      <c r="N255" t="s">
        <v>426</v>
      </c>
    </row>
    <row r="256" spans="1:14" ht="15" customHeight="1" x14ac:dyDescent="0.25">
      <c r="A256" s="82">
        <v>42531</v>
      </c>
      <c r="B256" t="s">
        <v>421</v>
      </c>
      <c r="C256" t="s">
        <v>432</v>
      </c>
      <c r="D256" t="s">
        <v>427</v>
      </c>
      <c r="E256" t="s">
        <v>425</v>
      </c>
      <c r="F256" t="s">
        <v>428</v>
      </c>
      <c r="G256" t="s">
        <v>423</v>
      </c>
      <c r="H256" t="s">
        <v>428</v>
      </c>
      <c r="I256" t="s">
        <v>424</v>
      </c>
      <c r="J256" t="s">
        <v>425</v>
      </c>
      <c r="N256" t="s">
        <v>429</v>
      </c>
    </row>
    <row r="257" spans="1:14" ht="15" customHeight="1" x14ac:dyDescent="0.25">
      <c r="A257" s="82">
        <v>42532</v>
      </c>
      <c r="B257" t="s">
        <v>427</v>
      </c>
      <c r="C257" t="s">
        <v>432</v>
      </c>
      <c r="D257" t="s">
        <v>421</v>
      </c>
      <c r="E257" t="s">
        <v>425</v>
      </c>
      <c r="F257" t="s">
        <v>428</v>
      </c>
      <c r="G257" t="s">
        <v>423</v>
      </c>
      <c r="H257" t="s">
        <v>428</v>
      </c>
      <c r="I257" t="s">
        <v>424</v>
      </c>
      <c r="J257" t="s">
        <v>430</v>
      </c>
      <c r="N257" t="s">
        <v>429</v>
      </c>
    </row>
    <row r="258" spans="1:14" ht="15" customHeight="1" x14ac:dyDescent="0.25">
      <c r="A258" s="82">
        <v>42533</v>
      </c>
      <c r="B258" t="s">
        <v>421</v>
      </c>
      <c r="C258" t="s">
        <v>432</v>
      </c>
      <c r="D258" t="s">
        <v>427</v>
      </c>
      <c r="E258" t="s">
        <v>425</v>
      </c>
      <c r="F258" t="s">
        <v>428</v>
      </c>
      <c r="G258" t="s">
        <v>423</v>
      </c>
      <c r="H258" t="s">
        <v>428</v>
      </c>
      <c r="I258" t="s">
        <v>424</v>
      </c>
      <c r="J258" t="s">
        <v>430</v>
      </c>
      <c r="N258" t="s">
        <v>429</v>
      </c>
    </row>
    <row r="259" spans="1:14" ht="15" customHeight="1" x14ac:dyDescent="0.25">
      <c r="A259" s="82">
        <v>42534</v>
      </c>
      <c r="B259" t="s">
        <v>423</v>
      </c>
      <c r="C259" t="s">
        <v>432</v>
      </c>
      <c r="D259" t="s">
        <v>424</v>
      </c>
      <c r="E259" t="s">
        <v>425</v>
      </c>
      <c r="F259" t="s">
        <v>428</v>
      </c>
      <c r="G259" t="s">
        <v>421</v>
      </c>
      <c r="H259" t="s">
        <v>428</v>
      </c>
      <c r="I259" t="s">
        <v>427</v>
      </c>
      <c r="J259" t="s">
        <v>430</v>
      </c>
      <c r="N259" t="s">
        <v>429</v>
      </c>
    </row>
    <row r="260" spans="1:14" ht="15" customHeight="1" x14ac:dyDescent="0.25">
      <c r="A260" s="82">
        <v>42535</v>
      </c>
      <c r="B260" t="s">
        <v>423</v>
      </c>
      <c r="C260" t="s">
        <v>432</v>
      </c>
      <c r="D260" t="s">
        <v>424</v>
      </c>
      <c r="E260" t="s">
        <v>425</v>
      </c>
      <c r="F260" t="s">
        <v>428</v>
      </c>
      <c r="G260" t="s">
        <v>430</v>
      </c>
      <c r="H260" t="s">
        <v>428</v>
      </c>
      <c r="I260" t="s">
        <v>429</v>
      </c>
      <c r="J260" t="s">
        <v>427</v>
      </c>
      <c r="N260" t="s">
        <v>421</v>
      </c>
    </row>
    <row r="261" spans="1:14" ht="15" customHeight="1" x14ac:dyDescent="0.25">
      <c r="A261" s="82">
        <v>42536</v>
      </c>
      <c r="B261" t="s">
        <v>421</v>
      </c>
      <c r="C261" t="s">
        <v>432</v>
      </c>
      <c r="D261" t="s">
        <v>424</v>
      </c>
      <c r="E261" t="s">
        <v>425</v>
      </c>
      <c r="F261" t="s">
        <v>426</v>
      </c>
      <c r="G261" t="s">
        <v>430</v>
      </c>
      <c r="H261" t="s">
        <v>431</v>
      </c>
      <c r="I261" t="s">
        <v>423</v>
      </c>
      <c r="J261" t="s">
        <v>429</v>
      </c>
      <c r="N261" t="s">
        <v>427</v>
      </c>
    </row>
    <row r="262" spans="1:14" ht="15" customHeight="1" x14ac:dyDescent="0.25">
      <c r="A262" s="82">
        <v>42537</v>
      </c>
      <c r="B262" t="s">
        <v>427</v>
      </c>
      <c r="C262" t="s">
        <v>432</v>
      </c>
      <c r="D262" t="s">
        <v>424</v>
      </c>
      <c r="E262" t="s">
        <v>425</v>
      </c>
      <c r="F262" t="s">
        <v>426</v>
      </c>
      <c r="G262" t="s">
        <v>432</v>
      </c>
      <c r="H262" t="s">
        <v>431</v>
      </c>
      <c r="I262" t="s">
        <v>421</v>
      </c>
      <c r="J262" t="s">
        <v>426</v>
      </c>
      <c r="N262" t="s">
        <v>423</v>
      </c>
    </row>
    <row r="263" spans="1:14" ht="15" customHeight="1" x14ac:dyDescent="0.25">
      <c r="A263" s="82">
        <v>42538</v>
      </c>
      <c r="B263" t="s">
        <v>423</v>
      </c>
      <c r="C263" t="s">
        <v>428</v>
      </c>
      <c r="D263" t="s">
        <v>424</v>
      </c>
      <c r="E263" t="s">
        <v>425</v>
      </c>
      <c r="F263" t="s">
        <v>429</v>
      </c>
      <c r="G263" t="s">
        <v>432</v>
      </c>
      <c r="H263" t="s">
        <v>427</v>
      </c>
      <c r="I263" t="s">
        <v>425</v>
      </c>
      <c r="J263" t="s">
        <v>428</v>
      </c>
      <c r="N263" t="s">
        <v>421</v>
      </c>
    </row>
    <row r="264" spans="1:14" ht="15" customHeight="1" x14ac:dyDescent="0.25">
      <c r="A264" s="82">
        <v>42539</v>
      </c>
      <c r="B264" t="s">
        <v>423</v>
      </c>
      <c r="C264" t="s">
        <v>428</v>
      </c>
      <c r="D264" t="s">
        <v>424</v>
      </c>
      <c r="E264" t="s">
        <v>430</v>
      </c>
      <c r="F264" t="s">
        <v>429</v>
      </c>
      <c r="G264" t="s">
        <v>432</v>
      </c>
      <c r="H264" t="s">
        <v>421</v>
      </c>
      <c r="I264" t="s">
        <v>425</v>
      </c>
      <c r="J264" t="s">
        <v>428</v>
      </c>
      <c r="N264" t="s">
        <v>427</v>
      </c>
    </row>
    <row r="265" spans="1:14" ht="15" customHeight="1" x14ac:dyDescent="0.25">
      <c r="A265" s="82">
        <v>42540</v>
      </c>
      <c r="B265" t="s">
        <v>423</v>
      </c>
      <c r="C265" t="s">
        <v>428</v>
      </c>
      <c r="D265" t="s">
        <v>424</v>
      </c>
      <c r="E265" t="s">
        <v>430</v>
      </c>
      <c r="F265" t="s">
        <v>429</v>
      </c>
      <c r="G265" t="s">
        <v>432</v>
      </c>
      <c r="H265" t="s">
        <v>427</v>
      </c>
      <c r="I265" t="s">
        <v>425</v>
      </c>
      <c r="J265" t="s">
        <v>428</v>
      </c>
      <c r="N265" t="s">
        <v>421</v>
      </c>
    </row>
    <row r="266" spans="1:14" ht="15" customHeight="1" x14ac:dyDescent="0.25">
      <c r="A266" s="82">
        <v>42541</v>
      </c>
      <c r="B266" t="s">
        <v>421</v>
      </c>
      <c r="C266" t="s">
        <v>428</v>
      </c>
      <c r="D266" t="s">
        <v>427</v>
      </c>
      <c r="E266" t="s">
        <v>430</v>
      </c>
      <c r="F266" t="s">
        <v>429</v>
      </c>
      <c r="G266" t="s">
        <v>432</v>
      </c>
      <c r="H266" t="s">
        <v>424</v>
      </c>
      <c r="I266" t="s">
        <v>425</v>
      </c>
      <c r="J266" t="s">
        <v>428</v>
      </c>
      <c r="N266" t="s">
        <v>423</v>
      </c>
    </row>
    <row r="267" spans="1:14" ht="15" customHeight="1" x14ac:dyDescent="0.25">
      <c r="A267" s="82">
        <v>42542</v>
      </c>
      <c r="B267" t="s">
        <v>430</v>
      </c>
      <c r="C267" t="s">
        <v>428</v>
      </c>
      <c r="D267" t="s">
        <v>429</v>
      </c>
      <c r="E267" t="s">
        <v>427</v>
      </c>
      <c r="F267" t="s">
        <v>421</v>
      </c>
      <c r="G267" t="s">
        <v>432</v>
      </c>
      <c r="H267" t="s">
        <v>424</v>
      </c>
      <c r="I267" t="s">
        <v>425</v>
      </c>
      <c r="J267" t="s">
        <v>428</v>
      </c>
      <c r="N267" t="s">
        <v>423</v>
      </c>
    </row>
    <row r="268" spans="1:14" ht="15" customHeight="1" x14ac:dyDescent="0.25">
      <c r="A268" s="82">
        <v>42543</v>
      </c>
      <c r="B268" t="s">
        <v>430</v>
      </c>
      <c r="C268" t="s">
        <v>431</v>
      </c>
      <c r="D268" t="s">
        <v>423</v>
      </c>
      <c r="E268" t="s">
        <v>429</v>
      </c>
      <c r="F268" t="s">
        <v>427</v>
      </c>
      <c r="G268" t="s">
        <v>432</v>
      </c>
      <c r="H268" t="s">
        <v>424</v>
      </c>
      <c r="I268" t="s">
        <v>425</v>
      </c>
      <c r="J268" t="s">
        <v>426</v>
      </c>
      <c r="N268" t="s">
        <v>421</v>
      </c>
    </row>
    <row r="269" spans="1:14" ht="15" customHeight="1" x14ac:dyDescent="0.25">
      <c r="A269" s="82">
        <v>42544</v>
      </c>
      <c r="B269" t="s">
        <v>432</v>
      </c>
      <c r="C269" t="s">
        <v>431</v>
      </c>
      <c r="D269" t="s">
        <v>421</v>
      </c>
      <c r="E269" t="s">
        <v>426</v>
      </c>
      <c r="F269" t="s">
        <v>423</v>
      </c>
      <c r="G269" t="s">
        <v>432</v>
      </c>
      <c r="H269" t="s">
        <v>424</v>
      </c>
      <c r="I269" t="s">
        <v>425</v>
      </c>
      <c r="J269" t="s">
        <v>426</v>
      </c>
      <c r="N269" t="s">
        <v>427</v>
      </c>
    </row>
    <row r="270" spans="1:14" ht="15" customHeight="1" x14ac:dyDescent="0.25">
      <c r="A270" s="82">
        <v>42545</v>
      </c>
      <c r="B270" t="s">
        <v>432</v>
      </c>
      <c r="C270" t="s">
        <v>427</v>
      </c>
      <c r="D270" t="s">
        <v>425</v>
      </c>
      <c r="E270" t="s">
        <v>428</v>
      </c>
      <c r="F270" t="s">
        <v>421</v>
      </c>
      <c r="G270" t="s">
        <v>428</v>
      </c>
      <c r="H270" t="s">
        <v>424</v>
      </c>
      <c r="I270" t="s">
        <v>425</v>
      </c>
      <c r="J270" t="s">
        <v>429</v>
      </c>
      <c r="N270" t="s">
        <v>423</v>
      </c>
    </row>
    <row r="271" spans="1:14" ht="15" customHeight="1" x14ac:dyDescent="0.25">
      <c r="A271" s="82">
        <v>42546</v>
      </c>
      <c r="B271" t="s">
        <v>432</v>
      </c>
      <c r="C271" t="s">
        <v>421</v>
      </c>
      <c r="D271" t="s">
        <v>425</v>
      </c>
      <c r="E271" t="s">
        <v>428</v>
      </c>
      <c r="F271" t="s">
        <v>427</v>
      </c>
      <c r="G271" t="s">
        <v>428</v>
      </c>
      <c r="H271" t="s">
        <v>424</v>
      </c>
      <c r="I271" t="s">
        <v>430</v>
      </c>
      <c r="J271" t="s">
        <v>429</v>
      </c>
      <c r="N271" t="s">
        <v>423</v>
      </c>
    </row>
    <row r="272" spans="1:14" ht="15" customHeight="1" x14ac:dyDescent="0.25">
      <c r="A272" s="82">
        <v>42547</v>
      </c>
      <c r="B272" t="s">
        <v>432</v>
      </c>
      <c r="C272" t="s">
        <v>427</v>
      </c>
      <c r="D272" t="s">
        <v>425</v>
      </c>
      <c r="E272" t="s">
        <v>428</v>
      </c>
      <c r="F272" t="s">
        <v>421</v>
      </c>
      <c r="G272" t="s">
        <v>428</v>
      </c>
      <c r="H272" t="s">
        <v>424</v>
      </c>
      <c r="I272" t="s">
        <v>430</v>
      </c>
      <c r="J272" t="s">
        <v>429</v>
      </c>
      <c r="N272" t="s">
        <v>423</v>
      </c>
    </row>
    <row r="273" spans="1:14" ht="15" customHeight="1" x14ac:dyDescent="0.25">
      <c r="A273" s="82">
        <v>42548</v>
      </c>
      <c r="B273" t="s">
        <v>432</v>
      </c>
      <c r="C273" t="s">
        <v>424</v>
      </c>
      <c r="D273" t="s">
        <v>425</v>
      </c>
      <c r="E273" t="s">
        <v>428</v>
      </c>
      <c r="F273" t="s">
        <v>423</v>
      </c>
      <c r="G273" t="s">
        <v>428</v>
      </c>
      <c r="H273" t="s">
        <v>427</v>
      </c>
      <c r="I273" t="s">
        <v>430</v>
      </c>
      <c r="J273" t="s">
        <v>429</v>
      </c>
      <c r="N273" t="s">
        <v>421</v>
      </c>
    </row>
    <row r="274" spans="1:14" ht="15" customHeight="1" x14ac:dyDescent="0.25">
      <c r="A274" s="82">
        <v>42549</v>
      </c>
      <c r="B274" t="s">
        <v>432</v>
      </c>
      <c r="C274" t="s">
        <v>424</v>
      </c>
      <c r="D274" t="s">
        <v>425</v>
      </c>
      <c r="E274" t="s">
        <v>428</v>
      </c>
      <c r="F274" t="s">
        <v>423</v>
      </c>
      <c r="G274" t="s">
        <v>428</v>
      </c>
      <c r="H274" t="s">
        <v>429</v>
      </c>
      <c r="I274" t="s">
        <v>427</v>
      </c>
      <c r="J274" t="s">
        <v>421</v>
      </c>
      <c r="N274" t="s">
        <v>430</v>
      </c>
    </row>
    <row r="275" spans="1:14" ht="15" customHeight="1" x14ac:dyDescent="0.25">
      <c r="A275" s="82">
        <v>42550</v>
      </c>
      <c r="B275" t="s">
        <v>432</v>
      </c>
      <c r="C275" t="s">
        <v>424</v>
      </c>
      <c r="D275" t="s">
        <v>425</v>
      </c>
      <c r="E275" t="s">
        <v>426</v>
      </c>
      <c r="F275" t="s">
        <v>421</v>
      </c>
      <c r="G275" t="s">
        <v>431</v>
      </c>
      <c r="H275" t="s">
        <v>423</v>
      </c>
      <c r="I275" t="s">
        <v>429</v>
      </c>
      <c r="J275" t="s">
        <v>427</v>
      </c>
      <c r="N275" t="s">
        <v>430</v>
      </c>
    </row>
    <row r="276" spans="1:14" ht="15" customHeight="1" x14ac:dyDescent="0.25">
      <c r="A276" s="82">
        <v>42551</v>
      </c>
      <c r="B276" t="s">
        <v>432</v>
      </c>
      <c r="C276" t="s">
        <v>424</v>
      </c>
      <c r="D276" t="s">
        <v>425</v>
      </c>
      <c r="E276" t="s">
        <v>426</v>
      </c>
      <c r="F276" t="s">
        <v>427</v>
      </c>
      <c r="G276" t="s">
        <v>431</v>
      </c>
      <c r="H276" t="s">
        <v>421</v>
      </c>
      <c r="I276" t="s">
        <v>429</v>
      </c>
      <c r="J276" t="s">
        <v>423</v>
      </c>
      <c r="N276" t="s">
        <v>432</v>
      </c>
    </row>
    <row r="277" spans="1:14" ht="15" customHeight="1" x14ac:dyDescent="0.25">
      <c r="A277" s="82">
        <v>42552</v>
      </c>
      <c r="B277" t="s">
        <v>428</v>
      </c>
      <c r="C277" t="s">
        <v>424</v>
      </c>
      <c r="D277" t="s">
        <v>425</v>
      </c>
      <c r="E277" t="s">
        <v>429</v>
      </c>
      <c r="F277" t="s">
        <v>423</v>
      </c>
      <c r="G277" t="s">
        <v>427</v>
      </c>
      <c r="H277" t="s">
        <v>425</v>
      </c>
      <c r="I277" t="s">
        <v>433</v>
      </c>
      <c r="J277" t="s">
        <v>421</v>
      </c>
      <c r="N277" t="s">
        <v>432</v>
      </c>
    </row>
    <row r="278" spans="1:14" ht="15" customHeight="1" x14ac:dyDescent="0.25">
      <c r="A278" s="82">
        <v>42553</v>
      </c>
      <c r="B278" t="s">
        <v>428</v>
      </c>
      <c r="C278" t="s">
        <v>424</v>
      </c>
      <c r="D278" t="s">
        <v>430</v>
      </c>
      <c r="E278" t="s">
        <v>429</v>
      </c>
      <c r="F278" t="s">
        <v>423</v>
      </c>
      <c r="G278" t="s">
        <v>421</v>
      </c>
      <c r="H278" t="s">
        <v>425</v>
      </c>
      <c r="I278" t="s">
        <v>433</v>
      </c>
      <c r="J278" t="s">
        <v>427</v>
      </c>
      <c r="N278" t="s">
        <v>432</v>
      </c>
    </row>
    <row r="279" spans="1:14" ht="15" customHeight="1" x14ac:dyDescent="0.25">
      <c r="A279" s="82">
        <v>42554</v>
      </c>
      <c r="B279" t="s">
        <v>428</v>
      </c>
      <c r="C279" t="s">
        <v>424</v>
      </c>
      <c r="D279" t="s">
        <v>430</v>
      </c>
      <c r="E279" t="s">
        <v>429</v>
      </c>
      <c r="F279" t="s">
        <v>423</v>
      </c>
      <c r="G279" t="s">
        <v>427</v>
      </c>
      <c r="H279" t="s">
        <v>425</v>
      </c>
      <c r="I279" t="s">
        <v>433</v>
      </c>
      <c r="J279" t="s">
        <v>421</v>
      </c>
      <c r="N279" t="s">
        <v>432</v>
      </c>
    </row>
    <row r="280" spans="1:14" ht="15" customHeight="1" x14ac:dyDescent="0.25">
      <c r="A280" s="82">
        <v>42555</v>
      </c>
      <c r="B280" t="s">
        <v>428</v>
      </c>
      <c r="C280" t="s">
        <v>427</v>
      </c>
      <c r="D280" t="s">
        <v>430</v>
      </c>
      <c r="E280" t="s">
        <v>429</v>
      </c>
      <c r="F280" t="s">
        <v>421</v>
      </c>
      <c r="G280" t="s">
        <v>424</v>
      </c>
      <c r="H280" t="s">
        <v>425</v>
      </c>
      <c r="I280" t="s">
        <v>433</v>
      </c>
      <c r="J280" t="s">
        <v>423</v>
      </c>
      <c r="N280" t="s">
        <v>432</v>
      </c>
    </row>
    <row r="281" spans="1:14" ht="15" customHeight="1" x14ac:dyDescent="0.25">
      <c r="A281" s="82">
        <v>42556</v>
      </c>
      <c r="B281" t="s">
        <v>428</v>
      </c>
      <c r="C281" t="s">
        <v>429</v>
      </c>
      <c r="D281" t="s">
        <v>427</v>
      </c>
      <c r="E281" t="s">
        <v>421</v>
      </c>
      <c r="F281" t="s">
        <v>430</v>
      </c>
      <c r="G281" t="s">
        <v>424</v>
      </c>
      <c r="H281" t="s">
        <v>425</v>
      </c>
      <c r="I281" t="s">
        <v>433</v>
      </c>
      <c r="J281" t="s">
        <v>423</v>
      </c>
      <c r="N281" t="s">
        <v>432</v>
      </c>
    </row>
    <row r="282" spans="1:14" ht="15" customHeight="1" x14ac:dyDescent="0.25">
      <c r="A282" s="82">
        <v>42557</v>
      </c>
      <c r="B282" t="s">
        <v>428</v>
      </c>
      <c r="C282" t="s">
        <v>423</v>
      </c>
      <c r="D282" t="s">
        <v>429</v>
      </c>
      <c r="E282" t="s">
        <v>427</v>
      </c>
      <c r="F282" t="s">
        <v>430</v>
      </c>
      <c r="G282" t="s">
        <v>424</v>
      </c>
      <c r="H282" t="s">
        <v>425</v>
      </c>
      <c r="I282" t="s">
        <v>433</v>
      </c>
      <c r="J282" t="s">
        <v>421</v>
      </c>
      <c r="N282" t="s">
        <v>432</v>
      </c>
    </row>
    <row r="283" spans="1:14" ht="15" customHeight="1" x14ac:dyDescent="0.25">
      <c r="A283" s="82">
        <v>42558</v>
      </c>
      <c r="B283" t="s">
        <v>428</v>
      </c>
      <c r="C283" t="s">
        <v>421</v>
      </c>
      <c r="D283" t="s">
        <v>429</v>
      </c>
      <c r="E283" t="s">
        <v>423</v>
      </c>
      <c r="F283" t="s">
        <v>432</v>
      </c>
      <c r="G283" t="s">
        <v>424</v>
      </c>
      <c r="H283" t="s">
        <v>425</v>
      </c>
      <c r="I283" t="s">
        <v>433</v>
      </c>
      <c r="J283" t="s">
        <v>427</v>
      </c>
      <c r="N283" t="s">
        <v>432</v>
      </c>
    </row>
    <row r="284" spans="1:14" ht="15" customHeight="1" x14ac:dyDescent="0.25">
      <c r="A284" s="82">
        <v>42559</v>
      </c>
      <c r="B284" t="s">
        <v>427</v>
      </c>
      <c r="C284" t="s">
        <v>425</v>
      </c>
      <c r="D284" t="s">
        <v>433</v>
      </c>
      <c r="E284" t="s">
        <v>421</v>
      </c>
      <c r="F284" t="s">
        <v>432</v>
      </c>
      <c r="G284" t="s">
        <v>424</v>
      </c>
      <c r="H284" t="s">
        <v>425</v>
      </c>
      <c r="I284" t="s">
        <v>433</v>
      </c>
      <c r="J284" t="s">
        <v>423</v>
      </c>
      <c r="N284" t="s">
        <v>428</v>
      </c>
    </row>
    <row r="285" spans="1:14" ht="15" customHeight="1" x14ac:dyDescent="0.25">
      <c r="A285" s="82">
        <v>42560</v>
      </c>
      <c r="B285" t="s">
        <v>421</v>
      </c>
      <c r="C285" t="s">
        <v>425</v>
      </c>
      <c r="D285" t="s">
        <v>433</v>
      </c>
      <c r="E285" t="s">
        <v>427</v>
      </c>
      <c r="F285" t="s">
        <v>432</v>
      </c>
      <c r="G285" t="s">
        <v>424</v>
      </c>
      <c r="H285" t="s">
        <v>430</v>
      </c>
      <c r="I285" t="s">
        <v>429</v>
      </c>
      <c r="J285" t="s">
        <v>423</v>
      </c>
      <c r="N285" t="s">
        <v>428</v>
      </c>
    </row>
    <row r="286" spans="1:14" ht="15" customHeight="1" x14ac:dyDescent="0.25">
      <c r="A286" s="82">
        <v>42561</v>
      </c>
      <c r="B286" t="s">
        <v>427</v>
      </c>
      <c r="C286" t="s">
        <v>425</v>
      </c>
      <c r="D286" t="s">
        <v>433</v>
      </c>
      <c r="E286" t="s">
        <v>421</v>
      </c>
      <c r="F286" t="s">
        <v>432</v>
      </c>
      <c r="G286" t="s">
        <v>424</v>
      </c>
      <c r="H286" t="s">
        <v>430</v>
      </c>
      <c r="I286" t="s">
        <v>429</v>
      </c>
      <c r="J286" t="s">
        <v>423</v>
      </c>
      <c r="N286" t="s">
        <v>428</v>
      </c>
    </row>
    <row r="287" spans="1:14" ht="15" customHeight="1" x14ac:dyDescent="0.25">
      <c r="A287" s="82">
        <v>42562</v>
      </c>
      <c r="B287" t="s">
        <v>424</v>
      </c>
      <c r="C287" t="s">
        <v>425</v>
      </c>
      <c r="D287" t="s">
        <v>433</v>
      </c>
      <c r="E287" t="s">
        <v>423</v>
      </c>
      <c r="F287" t="s">
        <v>432</v>
      </c>
      <c r="G287" t="s">
        <v>427</v>
      </c>
      <c r="H287" t="s">
        <v>430</v>
      </c>
      <c r="I287" t="s">
        <v>429</v>
      </c>
      <c r="J287" t="s">
        <v>421</v>
      </c>
      <c r="N287" t="s">
        <v>428</v>
      </c>
    </row>
    <row r="288" spans="1:14" ht="15" customHeight="1" x14ac:dyDescent="0.25">
      <c r="A288" s="82">
        <v>42563</v>
      </c>
      <c r="B288" t="s">
        <v>424</v>
      </c>
      <c r="C288" t="s">
        <v>425</v>
      </c>
      <c r="D288" t="s">
        <v>433</v>
      </c>
      <c r="E288" t="s">
        <v>423</v>
      </c>
      <c r="F288" t="s">
        <v>432</v>
      </c>
      <c r="G288" t="s">
        <v>429</v>
      </c>
      <c r="H288" t="s">
        <v>427</v>
      </c>
      <c r="I288" t="s">
        <v>421</v>
      </c>
      <c r="J288" t="s">
        <v>430</v>
      </c>
      <c r="N288" t="s">
        <v>428</v>
      </c>
    </row>
    <row r="289" spans="1:14" ht="15" customHeight="1" x14ac:dyDescent="0.25">
      <c r="A289" s="82">
        <v>42564</v>
      </c>
      <c r="B289" t="s">
        <v>424</v>
      </c>
      <c r="C289" t="s">
        <v>425</v>
      </c>
      <c r="D289" t="s">
        <v>433</v>
      </c>
      <c r="E289" t="s">
        <v>421</v>
      </c>
      <c r="F289" t="s">
        <v>432</v>
      </c>
      <c r="G289" t="s">
        <v>423</v>
      </c>
      <c r="H289" t="s">
        <v>429</v>
      </c>
      <c r="I289" t="s">
        <v>427</v>
      </c>
      <c r="J289" t="s">
        <v>430</v>
      </c>
      <c r="N289" t="s">
        <v>428</v>
      </c>
    </row>
    <row r="290" spans="1:14" ht="15" customHeight="1" x14ac:dyDescent="0.25">
      <c r="A290" s="82">
        <v>42565</v>
      </c>
      <c r="B290" t="s">
        <v>424</v>
      </c>
      <c r="C290" t="s">
        <v>425</v>
      </c>
      <c r="D290" t="s">
        <v>433</v>
      </c>
      <c r="E290" t="s">
        <v>427</v>
      </c>
      <c r="F290" t="s">
        <v>432</v>
      </c>
      <c r="G290" t="s">
        <v>421</v>
      </c>
      <c r="H290" t="s">
        <v>429</v>
      </c>
      <c r="I290" t="s">
        <v>423</v>
      </c>
      <c r="J290" t="s">
        <v>432</v>
      </c>
      <c r="N290" t="s">
        <v>428</v>
      </c>
    </row>
    <row r="291" spans="1:14" ht="15" customHeight="1" x14ac:dyDescent="0.25">
      <c r="A291" s="82">
        <v>42566</v>
      </c>
      <c r="B291" t="s">
        <v>424</v>
      </c>
      <c r="C291" t="s">
        <v>425</v>
      </c>
      <c r="D291" t="s">
        <v>433</v>
      </c>
      <c r="E291" t="s">
        <v>423</v>
      </c>
      <c r="F291" t="s">
        <v>428</v>
      </c>
      <c r="G291" t="s">
        <v>425</v>
      </c>
      <c r="H291" t="s">
        <v>433</v>
      </c>
      <c r="I291" t="s">
        <v>421</v>
      </c>
      <c r="J291" t="s">
        <v>432</v>
      </c>
      <c r="N291" t="s">
        <v>427</v>
      </c>
    </row>
    <row r="292" spans="1:14" ht="15" customHeight="1" x14ac:dyDescent="0.25">
      <c r="A292" s="82">
        <v>42567</v>
      </c>
      <c r="B292" t="s">
        <v>424</v>
      </c>
      <c r="C292" t="s">
        <v>430</v>
      </c>
      <c r="D292" t="s">
        <v>434</v>
      </c>
      <c r="E292" t="s">
        <v>423</v>
      </c>
      <c r="F292" t="s">
        <v>428</v>
      </c>
      <c r="G292" t="s">
        <v>425</v>
      </c>
      <c r="H292" t="s">
        <v>433</v>
      </c>
      <c r="I292" t="s">
        <v>427</v>
      </c>
      <c r="J292" t="s">
        <v>432</v>
      </c>
      <c r="N292" t="s">
        <v>421</v>
      </c>
    </row>
    <row r="293" spans="1:14" ht="15" customHeight="1" x14ac:dyDescent="0.25">
      <c r="A293" s="82">
        <v>42568</v>
      </c>
      <c r="B293" t="s">
        <v>424</v>
      </c>
      <c r="C293" t="s">
        <v>430</v>
      </c>
      <c r="D293" t="s">
        <v>434</v>
      </c>
      <c r="E293" t="s">
        <v>423</v>
      </c>
      <c r="F293" t="s">
        <v>428</v>
      </c>
      <c r="G293" t="s">
        <v>425</v>
      </c>
      <c r="H293" t="s">
        <v>433</v>
      </c>
      <c r="I293" t="s">
        <v>421</v>
      </c>
      <c r="J293" t="s">
        <v>432</v>
      </c>
      <c r="N293" t="s">
        <v>427</v>
      </c>
    </row>
    <row r="294" spans="1:14" ht="15" customHeight="1" x14ac:dyDescent="0.25">
      <c r="A294" s="82">
        <v>42569</v>
      </c>
      <c r="B294" t="s">
        <v>427</v>
      </c>
      <c r="C294" t="s">
        <v>430</v>
      </c>
      <c r="D294" t="s">
        <v>434</v>
      </c>
      <c r="E294" t="s">
        <v>421</v>
      </c>
      <c r="F294" t="s">
        <v>428</v>
      </c>
      <c r="G294" t="s">
        <v>425</v>
      </c>
      <c r="H294" t="s">
        <v>433</v>
      </c>
      <c r="I294" t="s">
        <v>423</v>
      </c>
      <c r="J294" t="s">
        <v>432</v>
      </c>
      <c r="N294" t="s">
        <v>424</v>
      </c>
    </row>
    <row r="295" spans="1:14" ht="15" customHeight="1" x14ac:dyDescent="0.25">
      <c r="A295" s="82">
        <v>42570</v>
      </c>
      <c r="B295" t="s">
        <v>429</v>
      </c>
      <c r="C295" t="s">
        <v>427</v>
      </c>
      <c r="D295" t="s">
        <v>434</v>
      </c>
      <c r="E295" t="s">
        <v>430</v>
      </c>
      <c r="F295" t="s">
        <v>428</v>
      </c>
      <c r="G295" t="s">
        <v>425</v>
      </c>
      <c r="H295" t="s">
        <v>433</v>
      </c>
      <c r="I295" t="s">
        <v>423</v>
      </c>
      <c r="J295" t="s">
        <v>432</v>
      </c>
      <c r="N295" t="s">
        <v>424</v>
      </c>
    </row>
    <row r="296" spans="1:14" ht="15" customHeight="1" x14ac:dyDescent="0.25">
      <c r="A296" s="82">
        <v>42571</v>
      </c>
      <c r="B296" t="s">
        <v>423</v>
      </c>
      <c r="C296" t="s">
        <v>429</v>
      </c>
      <c r="D296" t="s">
        <v>427</v>
      </c>
      <c r="E296" t="s">
        <v>430</v>
      </c>
      <c r="F296" t="s">
        <v>428</v>
      </c>
      <c r="G296" t="s">
        <v>425</v>
      </c>
      <c r="H296" t="s">
        <v>433</v>
      </c>
      <c r="I296" t="s">
        <v>421</v>
      </c>
      <c r="J296" t="s">
        <v>432</v>
      </c>
      <c r="N296" t="s">
        <v>424</v>
      </c>
    </row>
    <row r="297" spans="1:14" ht="15" customHeight="1" x14ac:dyDescent="0.25">
      <c r="A297" s="82">
        <v>42572</v>
      </c>
      <c r="B297" t="s">
        <v>421</v>
      </c>
      <c r="C297" t="s">
        <v>429</v>
      </c>
      <c r="D297" t="s">
        <v>423</v>
      </c>
      <c r="E297" t="s">
        <v>432</v>
      </c>
      <c r="F297" t="s">
        <v>428</v>
      </c>
      <c r="G297" t="s">
        <v>425</v>
      </c>
      <c r="H297" t="s">
        <v>433</v>
      </c>
      <c r="I297" t="s">
        <v>427</v>
      </c>
      <c r="J297" t="s">
        <v>432</v>
      </c>
      <c r="N297" t="s">
        <v>424</v>
      </c>
    </row>
    <row r="298" spans="1:14" ht="15" customHeight="1" x14ac:dyDescent="0.25">
      <c r="A298" s="82">
        <v>42573</v>
      </c>
      <c r="B298" t="s">
        <v>425</v>
      </c>
      <c r="C298" t="s">
        <v>433</v>
      </c>
      <c r="D298" t="s">
        <v>421</v>
      </c>
      <c r="E298" t="s">
        <v>432</v>
      </c>
      <c r="F298" t="s">
        <v>427</v>
      </c>
      <c r="G298" t="s">
        <v>425</v>
      </c>
      <c r="H298" t="s">
        <v>433</v>
      </c>
      <c r="I298" t="s">
        <v>423</v>
      </c>
      <c r="J298" t="s">
        <v>428</v>
      </c>
      <c r="N298" t="s">
        <v>424</v>
      </c>
    </row>
    <row r="299" spans="1:14" ht="15" customHeight="1" x14ac:dyDescent="0.25">
      <c r="A299" s="82">
        <v>42574</v>
      </c>
      <c r="B299" t="s">
        <v>425</v>
      </c>
      <c r="C299" t="s">
        <v>433</v>
      </c>
      <c r="D299" t="s">
        <v>427</v>
      </c>
      <c r="E299" t="s">
        <v>432</v>
      </c>
      <c r="F299" t="s">
        <v>421</v>
      </c>
      <c r="G299" t="s">
        <v>430</v>
      </c>
      <c r="H299" t="s">
        <v>434</v>
      </c>
      <c r="I299" t="s">
        <v>423</v>
      </c>
      <c r="J299" t="s">
        <v>428</v>
      </c>
      <c r="N299" t="s">
        <v>424</v>
      </c>
    </row>
    <row r="300" spans="1:14" ht="15" customHeight="1" x14ac:dyDescent="0.25">
      <c r="A300" s="82">
        <v>42575</v>
      </c>
      <c r="B300" t="s">
        <v>425</v>
      </c>
      <c r="C300" t="s">
        <v>433</v>
      </c>
      <c r="D300" t="s">
        <v>421</v>
      </c>
      <c r="E300" t="s">
        <v>432</v>
      </c>
      <c r="F300" t="s">
        <v>427</v>
      </c>
      <c r="G300" t="s">
        <v>430</v>
      </c>
      <c r="H300" t="s">
        <v>434</v>
      </c>
      <c r="I300" t="s">
        <v>423</v>
      </c>
      <c r="J300" t="s">
        <v>428</v>
      </c>
      <c r="N300" t="s">
        <v>424</v>
      </c>
    </row>
    <row r="301" spans="1:14" ht="15" customHeight="1" x14ac:dyDescent="0.25">
      <c r="A301" s="82">
        <v>42576</v>
      </c>
      <c r="B301" t="s">
        <v>425</v>
      </c>
      <c r="C301" t="s">
        <v>433</v>
      </c>
      <c r="D301" t="s">
        <v>423</v>
      </c>
      <c r="E301" t="s">
        <v>432</v>
      </c>
      <c r="F301" t="s">
        <v>424</v>
      </c>
      <c r="G301" t="s">
        <v>430</v>
      </c>
      <c r="H301" t="s">
        <v>434</v>
      </c>
      <c r="I301" t="s">
        <v>421</v>
      </c>
      <c r="J301" t="s">
        <v>428</v>
      </c>
      <c r="N301" t="s">
        <v>427</v>
      </c>
    </row>
    <row r="302" spans="1:14" ht="15" customHeight="1" x14ac:dyDescent="0.25">
      <c r="A302" s="82">
        <v>42577</v>
      </c>
      <c r="B302" t="s">
        <v>425</v>
      </c>
      <c r="C302" t="s">
        <v>433</v>
      </c>
      <c r="D302" t="s">
        <v>423</v>
      </c>
      <c r="E302" t="s">
        <v>432</v>
      </c>
      <c r="F302" t="s">
        <v>424</v>
      </c>
      <c r="G302" t="s">
        <v>427</v>
      </c>
      <c r="H302" t="s">
        <v>434</v>
      </c>
      <c r="I302" t="s">
        <v>430</v>
      </c>
      <c r="J302" t="s">
        <v>428</v>
      </c>
      <c r="N302" t="s">
        <v>429</v>
      </c>
    </row>
    <row r="303" spans="1:14" ht="15" customHeight="1" x14ac:dyDescent="0.25">
      <c r="A303" s="82">
        <v>42578</v>
      </c>
      <c r="B303" t="s">
        <v>425</v>
      </c>
      <c r="C303" t="s">
        <v>433</v>
      </c>
      <c r="D303" t="s">
        <v>421</v>
      </c>
      <c r="E303" t="s">
        <v>432</v>
      </c>
      <c r="F303" t="s">
        <v>424</v>
      </c>
      <c r="G303" t="s">
        <v>429</v>
      </c>
      <c r="H303" t="s">
        <v>427</v>
      </c>
      <c r="I303" t="s">
        <v>430</v>
      </c>
      <c r="J303" t="s">
        <v>428</v>
      </c>
      <c r="N303" t="s">
        <v>423</v>
      </c>
    </row>
    <row r="304" spans="1:14" ht="15" customHeight="1" x14ac:dyDescent="0.25">
      <c r="A304" s="82">
        <v>42579</v>
      </c>
      <c r="B304" t="s">
        <v>425</v>
      </c>
      <c r="C304" t="s">
        <v>433</v>
      </c>
      <c r="D304" t="s">
        <v>427</v>
      </c>
      <c r="E304" t="s">
        <v>432</v>
      </c>
      <c r="F304" t="s">
        <v>424</v>
      </c>
      <c r="G304" t="s">
        <v>429</v>
      </c>
      <c r="H304" t="s">
        <v>423</v>
      </c>
      <c r="I304" t="s">
        <v>432</v>
      </c>
      <c r="J304" t="s">
        <v>428</v>
      </c>
      <c r="N304" t="s">
        <v>421</v>
      </c>
    </row>
    <row r="305" spans="1:14" ht="15" customHeight="1" x14ac:dyDescent="0.25">
      <c r="A305" s="82">
        <v>42580</v>
      </c>
      <c r="B305" t="s">
        <v>425</v>
      </c>
      <c r="C305" t="s">
        <v>433</v>
      </c>
      <c r="D305" t="s">
        <v>423</v>
      </c>
      <c r="E305" t="s">
        <v>428</v>
      </c>
      <c r="F305" t="s">
        <v>424</v>
      </c>
      <c r="G305" t="s">
        <v>433</v>
      </c>
      <c r="H305" t="s">
        <v>421</v>
      </c>
      <c r="I305" t="s">
        <v>432</v>
      </c>
      <c r="J305" t="s">
        <v>427</v>
      </c>
      <c r="N305" t="s">
        <v>425</v>
      </c>
    </row>
    <row r="306" spans="1:14" ht="15" customHeight="1" x14ac:dyDescent="0.25">
      <c r="A306" s="82">
        <v>42581</v>
      </c>
      <c r="B306" t="s">
        <v>430</v>
      </c>
      <c r="C306" t="s">
        <v>434</v>
      </c>
      <c r="D306" t="s">
        <v>423</v>
      </c>
      <c r="E306" t="s">
        <v>428</v>
      </c>
      <c r="F306" t="s">
        <v>424</v>
      </c>
      <c r="G306" t="s">
        <v>433</v>
      </c>
      <c r="H306" t="s">
        <v>427</v>
      </c>
      <c r="I306" t="s">
        <v>432</v>
      </c>
      <c r="J306" t="s">
        <v>421</v>
      </c>
      <c r="N306" t="s">
        <v>425</v>
      </c>
    </row>
    <row r="307" spans="1:14" ht="15" customHeight="1" x14ac:dyDescent="0.25">
      <c r="A307" s="82">
        <v>42582</v>
      </c>
      <c r="B307" t="s">
        <v>430</v>
      </c>
      <c r="C307" t="s">
        <v>434</v>
      </c>
      <c r="D307" t="s">
        <v>423</v>
      </c>
      <c r="E307" t="s">
        <v>428</v>
      </c>
      <c r="F307" t="s">
        <v>424</v>
      </c>
      <c r="G307" t="s">
        <v>433</v>
      </c>
      <c r="H307" t="s">
        <v>421</v>
      </c>
      <c r="I307" t="s">
        <v>432</v>
      </c>
      <c r="J307" t="s">
        <v>427</v>
      </c>
      <c r="N307" t="s">
        <v>425</v>
      </c>
    </row>
    <row r="308" spans="1:14" ht="15" customHeight="1" x14ac:dyDescent="0.25">
      <c r="A308" s="82">
        <v>42583</v>
      </c>
      <c r="B308" t="s">
        <v>430</v>
      </c>
      <c r="C308" t="s">
        <v>434</v>
      </c>
      <c r="D308" t="s">
        <v>421</v>
      </c>
      <c r="E308" t="s">
        <v>428</v>
      </c>
      <c r="F308" t="s">
        <v>427</v>
      </c>
      <c r="G308" t="s">
        <v>433</v>
      </c>
      <c r="H308" t="s">
        <v>423</v>
      </c>
      <c r="I308" t="s">
        <v>432</v>
      </c>
      <c r="J308" t="s">
        <v>424</v>
      </c>
      <c r="N308" t="s">
        <v>425</v>
      </c>
    </row>
    <row r="309" spans="1:14" ht="15" customHeight="1" x14ac:dyDescent="0.25">
      <c r="A309" s="82">
        <v>42584</v>
      </c>
      <c r="B309" t="s">
        <v>427</v>
      </c>
      <c r="C309" t="s">
        <v>434</v>
      </c>
      <c r="D309" t="s">
        <v>430</v>
      </c>
      <c r="E309" t="s">
        <v>428</v>
      </c>
      <c r="F309" t="s">
        <v>429</v>
      </c>
      <c r="G309" t="s">
        <v>433</v>
      </c>
      <c r="H309" t="s">
        <v>423</v>
      </c>
      <c r="I309" t="s">
        <v>432</v>
      </c>
      <c r="J309" t="s">
        <v>424</v>
      </c>
      <c r="N309" t="s">
        <v>425</v>
      </c>
    </row>
    <row r="310" spans="1:14" ht="15" customHeight="1" x14ac:dyDescent="0.25">
      <c r="A310" s="82">
        <v>42585</v>
      </c>
      <c r="B310" t="s">
        <v>429</v>
      </c>
      <c r="C310" t="s">
        <v>427</v>
      </c>
      <c r="D310" t="s">
        <v>430</v>
      </c>
      <c r="E310" t="s">
        <v>428</v>
      </c>
      <c r="F310" t="s">
        <v>423</v>
      </c>
      <c r="G310" t="s">
        <v>433</v>
      </c>
      <c r="H310" t="s">
        <v>421</v>
      </c>
      <c r="I310" t="s">
        <v>432</v>
      </c>
      <c r="J310" t="s">
        <v>424</v>
      </c>
      <c r="N310" t="s">
        <v>425</v>
      </c>
    </row>
    <row r="311" spans="1:14" ht="15" customHeight="1" x14ac:dyDescent="0.25">
      <c r="A311" s="82">
        <v>42586</v>
      </c>
      <c r="B311" t="s">
        <v>429</v>
      </c>
      <c r="C311" t="s">
        <v>423</v>
      </c>
      <c r="D311" t="s">
        <v>432</v>
      </c>
      <c r="E311" t="s">
        <v>428</v>
      </c>
      <c r="F311" t="s">
        <v>421</v>
      </c>
      <c r="G311" t="s">
        <v>433</v>
      </c>
      <c r="H311" t="s">
        <v>427</v>
      </c>
      <c r="I311" t="s">
        <v>432</v>
      </c>
      <c r="J311" t="s">
        <v>424</v>
      </c>
      <c r="N311" t="s">
        <v>425</v>
      </c>
    </row>
    <row r="312" spans="1:14" ht="15" customHeight="1" x14ac:dyDescent="0.25">
      <c r="A312" s="82">
        <v>42587</v>
      </c>
      <c r="B312" t="s">
        <v>433</v>
      </c>
      <c r="C312" t="s">
        <v>421</v>
      </c>
      <c r="D312" t="s">
        <v>432</v>
      </c>
      <c r="E312" t="s">
        <v>427</v>
      </c>
      <c r="F312" t="s">
        <v>425</v>
      </c>
      <c r="G312" t="s">
        <v>433</v>
      </c>
      <c r="H312" t="s">
        <v>423</v>
      </c>
      <c r="I312" t="s">
        <v>428</v>
      </c>
      <c r="J312" t="s">
        <v>424</v>
      </c>
      <c r="N312" t="s">
        <v>425</v>
      </c>
    </row>
    <row r="313" spans="1:14" ht="15" customHeight="1" x14ac:dyDescent="0.25">
      <c r="A313" s="82">
        <v>42588</v>
      </c>
      <c r="B313" t="s">
        <v>433</v>
      </c>
      <c r="C313" t="s">
        <v>427</v>
      </c>
      <c r="D313" t="s">
        <v>432</v>
      </c>
      <c r="E313" t="s">
        <v>421</v>
      </c>
      <c r="F313" t="s">
        <v>425</v>
      </c>
      <c r="G313" t="s">
        <v>434</v>
      </c>
      <c r="H313" t="s">
        <v>423</v>
      </c>
      <c r="I313" t="s">
        <v>428</v>
      </c>
      <c r="J313" t="s">
        <v>424</v>
      </c>
      <c r="N313" t="s">
        <v>430</v>
      </c>
    </row>
    <row r="314" spans="1:14" ht="15" customHeight="1" x14ac:dyDescent="0.25">
      <c r="A314" s="82">
        <v>42589</v>
      </c>
      <c r="B314" t="s">
        <v>433</v>
      </c>
      <c r="C314" t="s">
        <v>421</v>
      </c>
      <c r="D314" t="s">
        <v>432</v>
      </c>
      <c r="E314" t="s">
        <v>427</v>
      </c>
      <c r="F314" t="s">
        <v>425</v>
      </c>
      <c r="G314" t="s">
        <v>434</v>
      </c>
      <c r="H314" t="s">
        <v>423</v>
      </c>
      <c r="I314" t="s">
        <v>428</v>
      </c>
      <c r="J314" t="s">
        <v>424</v>
      </c>
      <c r="N314" t="s">
        <v>430</v>
      </c>
    </row>
    <row r="315" spans="1:14" ht="15" customHeight="1" x14ac:dyDescent="0.25">
      <c r="A315" s="82">
        <v>42590</v>
      </c>
      <c r="B315" t="s">
        <v>433</v>
      </c>
      <c r="C315" t="s">
        <v>423</v>
      </c>
      <c r="D315" t="s">
        <v>432</v>
      </c>
      <c r="E315" t="s">
        <v>424</v>
      </c>
      <c r="F315" t="s">
        <v>425</v>
      </c>
      <c r="G315" t="s">
        <v>434</v>
      </c>
      <c r="H315" t="s">
        <v>421</v>
      </c>
      <c r="I315" t="s">
        <v>428</v>
      </c>
      <c r="J315" t="s">
        <v>427</v>
      </c>
      <c r="N315" t="s">
        <v>430</v>
      </c>
    </row>
    <row r="316" spans="1:14" ht="15" customHeight="1" x14ac:dyDescent="0.25">
      <c r="A316" s="82">
        <v>42591</v>
      </c>
      <c r="B316" t="s">
        <v>433</v>
      </c>
      <c r="C316" t="s">
        <v>423</v>
      </c>
      <c r="D316" t="s">
        <v>432</v>
      </c>
      <c r="E316" t="s">
        <v>424</v>
      </c>
      <c r="F316" t="s">
        <v>425</v>
      </c>
      <c r="G316" t="s">
        <v>434</v>
      </c>
      <c r="H316" t="s">
        <v>430</v>
      </c>
      <c r="I316" t="s">
        <v>428</v>
      </c>
      <c r="J316" t="s">
        <v>429</v>
      </c>
      <c r="N316" t="s">
        <v>427</v>
      </c>
    </row>
    <row r="317" spans="1:14" ht="15" customHeight="1" x14ac:dyDescent="0.25">
      <c r="A317" s="82">
        <v>42592</v>
      </c>
      <c r="B317" t="s">
        <v>433</v>
      </c>
      <c r="C317" t="s">
        <v>421</v>
      </c>
      <c r="D317" t="s">
        <v>432</v>
      </c>
      <c r="E317" t="s">
        <v>424</v>
      </c>
      <c r="F317" t="s">
        <v>425</v>
      </c>
      <c r="G317" t="s">
        <v>427</v>
      </c>
      <c r="H317" t="s">
        <v>430</v>
      </c>
      <c r="I317" t="s">
        <v>428</v>
      </c>
      <c r="J317" t="s">
        <v>423</v>
      </c>
      <c r="N317" t="s">
        <v>429</v>
      </c>
    </row>
    <row r="318" spans="1:14" ht="15" customHeight="1" x14ac:dyDescent="0.25">
      <c r="A318" s="82">
        <v>42593</v>
      </c>
      <c r="B318" t="s">
        <v>433</v>
      </c>
      <c r="C318" t="s">
        <v>427</v>
      </c>
      <c r="D318" t="s">
        <v>432</v>
      </c>
      <c r="E318" t="s">
        <v>424</v>
      </c>
      <c r="F318" t="s">
        <v>425</v>
      </c>
      <c r="G318" t="s">
        <v>423</v>
      </c>
      <c r="H318" t="s">
        <v>432</v>
      </c>
      <c r="I318" t="s">
        <v>428</v>
      </c>
      <c r="J318" t="s">
        <v>421</v>
      </c>
      <c r="N318" t="s">
        <v>429</v>
      </c>
    </row>
    <row r="319" spans="1:14" ht="15" customHeight="1" x14ac:dyDescent="0.25">
      <c r="A319" s="82">
        <v>42594</v>
      </c>
      <c r="B319" t="s">
        <v>433</v>
      </c>
      <c r="C319" t="s">
        <v>423</v>
      </c>
      <c r="D319" t="s">
        <v>428</v>
      </c>
      <c r="E319" t="s">
        <v>424</v>
      </c>
      <c r="F319" t="s">
        <v>425</v>
      </c>
      <c r="G319" t="s">
        <v>421</v>
      </c>
      <c r="H319" t="s">
        <v>432</v>
      </c>
      <c r="I319" t="s">
        <v>427</v>
      </c>
      <c r="J319" t="s">
        <v>425</v>
      </c>
      <c r="N319" t="s">
        <v>433</v>
      </c>
    </row>
    <row r="320" spans="1:14" ht="15" customHeight="1" x14ac:dyDescent="0.25">
      <c r="A320" s="82">
        <v>42595</v>
      </c>
      <c r="B320" t="s">
        <v>429</v>
      </c>
      <c r="C320" t="s">
        <v>423</v>
      </c>
      <c r="D320" t="s">
        <v>428</v>
      </c>
      <c r="E320" t="s">
        <v>424</v>
      </c>
      <c r="F320" t="s">
        <v>430</v>
      </c>
      <c r="G320" t="s">
        <v>427</v>
      </c>
      <c r="H320" t="s">
        <v>432</v>
      </c>
      <c r="I320" t="s">
        <v>421</v>
      </c>
      <c r="J320" t="s">
        <v>425</v>
      </c>
      <c r="N320" t="s">
        <v>433</v>
      </c>
    </row>
    <row r="321" spans="1:14" ht="15" customHeight="1" x14ac:dyDescent="0.25">
      <c r="A321" s="82">
        <v>42596</v>
      </c>
      <c r="B321" t="s">
        <v>434</v>
      </c>
      <c r="C321" t="s">
        <v>423</v>
      </c>
      <c r="D321" t="s">
        <v>428</v>
      </c>
      <c r="E321" t="s">
        <v>424</v>
      </c>
      <c r="F321" t="s">
        <v>430</v>
      </c>
      <c r="G321" t="s">
        <v>421</v>
      </c>
      <c r="H321" t="s">
        <v>432</v>
      </c>
      <c r="I321" t="s">
        <v>427</v>
      </c>
      <c r="J321" t="s">
        <v>425</v>
      </c>
      <c r="N321" t="s">
        <v>433</v>
      </c>
    </row>
    <row r="322" spans="1:14" ht="15" customHeight="1" x14ac:dyDescent="0.25">
      <c r="A322" s="82">
        <v>42597</v>
      </c>
      <c r="B322" t="s">
        <v>434</v>
      </c>
      <c r="C322" t="s">
        <v>421</v>
      </c>
      <c r="D322" t="s">
        <v>428</v>
      </c>
      <c r="E322" t="s">
        <v>427</v>
      </c>
      <c r="F322" t="s">
        <v>430</v>
      </c>
      <c r="G322" t="s">
        <v>423</v>
      </c>
      <c r="H322" t="s">
        <v>432</v>
      </c>
      <c r="I322" t="s">
        <v>424</v>
      </c>
      <c r="J322" t="s">
        <v>425</v>
      </c>
      <c r="N322" t="s">
        <v>433</v>
      </c>
    </row>
    <row r="323" spans="1:14" ht="15" customHeight="1" x14ac:dyDescent="0.25">
      <c r="A323" s="82">
        <v>42598</v>
      </c>
      <c r="B323" t="s">
        <v>434</v>
      </c>
      <c r="C323" t="s">
        <v>430</v>
      </c>
      <c r="D323" t="s">
        <v>428</v>
      </c>
      <c r="E323" t="s">
        <v>429</v>
      </c>
      <c r="F323" t="s">
        <v>427</v>
      </c>
      <c r="G323" t="s">
        <v>423</v>
      </c>
      <c r="H323" t="s">
        <v>432</v>
      </c>
      <c r="I323" t="s">
        <v>424</v>
      </c>
      <c r="J323" t="s">
        <v>425</v>
      </c>
      <c r="N323" t="s">
        <v>433</v>
      </c>
    </row>
    <row r="324" spans="1:14" ht="15" customHeight="1" x14ac:dyDescent="0.25">
      <c r="A324" s="82">
        <v>42599</v>
      </c>
      <c r="B324" t="s">
        <v>427</v>
      </c>
      <c r="C324" t="s">
        <v>430</v>
      </c>
      <c r="D324" t="s">
        <v>428</v>
      </c>
      <c r="E324" t="s">
        <v>423</v>
      </c>
      <c r="F324" t="s">
        <v>429</v>
      </c>
      <c r="G324" t="s">
        <v>421</v>
      </c>
      <c r="H324" t="s">
        <v>432</v>
      </c>
      <c r="I324" t="s">
        <v>424</v>
      </c>
      <c r="J324" t="s">
        <v>425</v>
      </c>
      <c r="N324" t="s">
        <v>433</v>
      </c>
    </row>
    <row r="325" spans="1:14" ht="15" customHeight="1" x14ac:dyDescent="0.25">
      <c r="A325" s="82">
        <v>42600</v>
      </c>
      <c r="B325" t="s">
        <v>423</v>
      </c>
      <c r="C325" t="s">
        <v>432</v>
      </c>
      <c r="D325" t="s">
        <v>428</v>
      </c>
      <c r="E325" t="s">
        <v>421</v>
      </c>
      <c r="F325" t="s">
        <v>429</v>
      </c>
      <c r="G325" t="s">
        <v>427</v>
      </c>
      <c r="H325" t="s">
        <v>432</v>
      </c>
      <c r="I325" t="s">
        <v>424</v>
      </c>
      <c r="J325" t="s">
        <v>425</v>
      </c>
      <c r="N325" t="s">
        <v>433</v>
      </c>
    </row>
    <row r="326" spans="1:14" ht="15" customHeight="1" x14ac:dyDescent="0.25">
      <c r="A326" s="82">
        <v>42601</v>
      </c>
      <c r="B326" t="s">
        <v>421</v>
      </c>
      <c r="C326" t="s">
        <v>432</v>
      </c>
      <c r="D326" t="s">
        <v>427</v>
      </c>
      <c r="E326" t="s">
        <v>425</v>
      </c>
      <c r="F326" t="s">
        <v>433</v>
      </c>
      <c r="G326" t="s">
        <v>423</v>
      </c>
      <c r="H326" t="s">
        <v>428</v>
      </c>
      <c r="I326" t="s">
        <v>435</v>
      </c>
      <c r="J326" t="s">
        <v>425</v>
      </c>
      <c r="N326" t="s">
        <v>433</v>
      </c>
    </row>
    <row r="327" spans="1:14" ht="15" customHeight="1" x14ac:dyDescent="0.25">
      <c r="A327" s="82">
        <v>42602</v>
      </c>
      <c r="B327" t="s">
        <v>427</v>
      </c>
      <c r="C327" t="s">
        <v>432</v>
      </c>
      <c r="D327" t="s">
        <v>421</v>
      </c>
      <c r="E327" t="s">
        <v>425</v>
      </c>
      <c r="F327" t="s">
        <v>433</v>
      </c>
      <c r="G327" t="s">
        <v>423</v>
      </c>
      <c r="H327" t="s">
        <v>428</v>
      </c>
      <c r="I327" t="s">
        <v>435</v>
      </c>
      <c r="J327" t="s">
        <v>430</v>
      </c>
      <c r="N327" t="s">
        <v>434</v>
      </c>
    </row>
    <row r="328" spans="1:14" ht="15" customHeight="1" x14ac:dyDescent="0.25">
      <c r="A328" s="82">
        <v>42603</v>
      </c>
      <c r="B328" t="s">
        <v>421</v>
      </c>
      <c r="C328" t="s">
        <v>432</v>
      </c>
      <c r="D328" t="s">
        <v>427</v>
      </c>
      <c r="E328" t="s">
        <v>425</v>
      </c>
      <c r="F328" t="s">
        <v>433</v>
      </c>
      <c r="G328" t="s">
        <v>423</v>
      </c>
      <c r="H328" t="s">
        <v>428</v>
      </c>
      <c r="I328" t="s">
        <v>424</v>
      </c>
      <c r="J328" t="s">
        <v>430</v>
      </c>
      <c r="N328" t="s">
        <v>434</v>
      </c>
    </row>
    <row r="329" spans="1:14" ht="15" customHeight="1" x14ac:dyDescent="0.25">
      <c r="A329" s="82">
        <v>42604</v>
      </c>
      <c r="B329" t="s">
        <v>423</v>
      </c>
      <c r="C329" t="s">
        <v>432</v>
      </c>
      <c r="D329" t="s">
        <v>424</v>
      </c>
      <c r="E329" t="s">
        <v>425</v>
      </c>
      <c r="F329" t="s">
        <v>433</v>
      </c>
      <c r="G329" t="s">
        <v>421</v>
      </c>
      <c r="H329" t="s">
        <v>428</v>
      </c>
      <c r="I329" t="s">
        <v>427</v>
      </c>
      <c r="J329" t="s">
        <v>430</v>
      </c>
      <c r="N329" t="s">
        <v>434</v>
      </c>
    </row>
    <row r="330" spans="1:14" ht="15" customHeight="1" x14ac:dyDescent="0.25">
      <c r="A330" s="82">
        <v>42605</v>
      </c>
      <c r="B330" t="s">
        <v>423</v>
      </c>
      <c r="C330" t="s">
        <v>432</v>
      </c>
      <c r="D330" t="s">
        <v>424</v>
      </c>
      <c r="E330" t="s">
        <v>425</v>
      </c>
      <c r="F330" t="s">
        <v>433</v>
      </c>
      <c r="G330" t="s">
        <v>430</v>
      </c>
      <c r="H330" t="s">
        <v>428</v>
      </c>
      <c r="I330" t="s">
        <v>429</v>
      </c>
      <c r="J330" t="s">
        <v>427</v>
      </c>
      <c r="N330" t="s">
        <v>434</v>
      </c>
    </row>
    <row r="331" spans="1:14" ht="15" customHeight="1" x14ac:dyDescent="0.25">
      <c r="A331" s="82">
        <v>42606</v>
      </c>
      <c r="B331" t="s">
        <v>421</v>
      </c>
      <c r="C331" t="s">
        <v>432</v>
      </c>
      <c r="D331" t="s">
        <v>424</v>
      </c>
      <c r="E331" t="s">
        <v>425</v>
      </c>
      <c r="F331" t="s">
        <v>433</v>
      </c>
      <c r="G331" t="s">
        <v>430</v>
      </c>
      <c r="H331" t="s">
        <v>428</v>
      </c>
      <c r="I331" t="s">
        <v>423</v>
      </c>
      <c r="J331" t="s">
        <v>429</v>
      </c>
      <c r="N331" t="s">
        <v>427</v>
      </c>
    </row>
    <row r="332" spans="1:14" ht="15" customHeight="1" x14ac:dyDescent="0.25">
      <c r="A332" s="82">
        <v>42607</v>
      </c>
      <c r="B332" t="s">
        <v>427</v>
      </c>
      <c r="C332" t="s">
        <v>432</v>
      </c>
      <c r="D332" t="s">
        <v>424</v>
      </c>
      <c r="E332" t="s">
        <v>425</v>
      </c>
      <c r="F332" t="s">
        <v>433</v>
      </c>
      <c r="G332" t="s">
        <v>432</v>
      </c>
      <c r="H332" t="s">
        <v>428</v>
      </c>
      <c r="I332" t="s">
        <v>421</v>
      </c>
      <c r="J332" t="s">
        <v>429</v>
      </c>
      <c r="N332" t="s">
        <v>423</v>
      </c>
    </row>
    <row r="333" spans="1:14" ht="15" customHeight="1" x14ac:dyDescent="0.25">
      <c r="A333" s="82">
        <v>42608</v>
      </c>
      <c r="B333" t="s">
        <v>423</v>
      </c>
      <c r="C333" t="s">
        <v>428</v>
      </c>
      <c r="D333" t="s">
        <v>424</v>
      </c>
      <c r="E333" t="s">
        <v>425</v>
      </c>
      <c r="F333" t="s">
        <v>433</v>
      </c>
      <c r="G333" t="s">
        <v>432</v>
      </c>
      <c r="H333" t="s">
        <v>427</v>
      </c>
      <c r="I333" t="s">
        <v>425</v>
      </c>
      <c r="J333" t="s">
        <v>433</v>
      </c>
      <c r="N333" t="s">
        <v>421</v>
      </c>
    </row>
    <row r="334" spans="1:14" ht="15" customHeight="1" x14ac:dyDescent="0.25">
      <c r="A334" s="82">
        <v>42609</v>
      </c>
      <c r="B334" t="s">
        <v>423</v>
      </c>
      <c r="C334" t="s">
        <v>428</v>
      </c>
      <c r="D334" t="s">
        <v>424</v>
      </c>
      <c r="E334" t="s">
        <v>430</v>
      </c>
      <c r="F334" t="s">
        <v>434</v>
      </c>
      <c r="G334" t="s">
        <v>432</v>
      </c>
      <c r="H334" t="s">
        <v>421</v>
      </c>
      <c r="I334" t="s">
        <v>425</v>
      </c>
      <c r="J334" t="s">
        <v>433</v>
      </c>
      <c r="N334" t="s">
        <v>427</v>
      </c>
    </row>
    <row r="335" spans="1:14" ht="15" customHeight="1" x14ac:dyDescent="0.25">
      <c r="A335" s="82">
        <v>42610</v>
      </c>
      <c r="B335" t="s">
        <v>423</v>
      </c>
      <c r="C335" t="s">
        <v>428</v>
      </c>
      <c r="D335" t="s">
        <v>424</v>
      </c>
      <c r="E335" t="s">
        <v>430</v>
      </c>
      <c r="F335" t="s">
        <v>434</v>
      </c>
      <c r="G335" t="s">
        <v>432</v>
      </c>
      <c r="H335" t="s">
        <v>427</v>
      </c>
      <c r="I335" t="s">
        <v>425</v>
      </c>
      <c r="J335" t="s">
        <v>433</v>
      </c>
      <c r="N335" t="s">
        <v>421</v>
      </c>
    </row>
    <row r="336" spans="1:14" ht="15" customHeight="1" x14ac:dyDescent="0.25">
      <c r="A336" s="82">
        <v>42611</v>
      </c>
      <c r="B336" t="s">
        <v>421</v>
      </c>
      <c r="C336" t="s">
        <v>428</v>
      </c>
      <c r="D336" t="s">
        <v>427</v>
      </c>
      <c r="E336" t="s">
        <v>430</v>
      </c>
      <c r="F336" t="s">
        <v>434</v>
      </c>
      <c r="G336" t="s">
        <v>432</v>
      </c>
      <c r="H336" t="s">
        <v>424</v>
      </c>
      <c r="I336" t="s">
        <v>425</v>
      </c>
      <c r="J336" t="s">
        <v>433</v>
      </c>
      <c r="N336" t="s">
        <v>423</v>
      </c>
    </row>
    <row r="337" spans="1:14" ht="15" customHeight="1" x14ac:dyDescent="0.25">
      <c r="A337" s="82">
        <v>42612</v>
      </c>
      <c r="B337" t="s">
        <v>430</v>
      </c>
      <c r="C337" t="s">
        <v>428</v>
      </c>
      <c r="D337" t="s">
        <v>429</v>
      </c>
      <c r="E337" t="s">
        <v>427</v>
      </c>
      <c r="F337" t="s">
        <v>434</v>
      </c>
      <c r="G337" t="s">
        <v>432</v>
      </c>
      <c r="H337" t="s">
        <v>424</v>
      </c>
      <c r="I337" t="s">
        <v>425</v>
      </c>
      <c r="J337" t="s">
        <v>433</v>
      </c>
      <c r="N337" t="s">
        <v>423</v>
      </c>
    </row>
    <row r="338" spans="1:14" ht="15" customHeight="1" x14ac:dyDescent="0.25">
      <c r="A338" s="82">
        <v>42613</v>
      </c>
      <c r="B338" t="s">
        <v>430</v>
      </c>
      <c r="C338" t="s">
        <v>428</v>
      </c>
      <c r="D338" t="s">
        <v>423</v>
      </c>
      <c r="E338" t="s">
        <v>429</v>
      </c>
      <c r="F338" t="s">
        <v>427</v>
      </c>
      <c r="G338" t="s">
        <v>432</v>
      </c>
      <c r="H338" t="s">
        <v>424</v>
      </c>
      <c r="I338" t="s">
        <v>425</v>
      </c>
      <c r="J338" t="s">
        <v>433</v>
      </c>
      <c r="N338" t="s">
        <v>421</v>
      </c>
    </row>
    <row r="339" spans="1:14" ht="15" customHeight="1" x14ac:dyDescent="0.25">
      <c r="A339" s="82">
        <v>42614</v>
      </c>
      <c r="B339" t="s">
        <v>432</v>
      </c>
      <c r="C339" t="s">
        <v>428</v>
      </c>
      <c r="D339" t="s">
        <v>421</v>
      </c>
      <c r="E339" t="s">
        <v>426</v>
      </c>
      <c r="F339" t="s">
        <v>423</v>
      </c>
      <c r="G339" t="s">
        <v>432</v>
      </c>
      <c r="H339" t="s">
        <v>436</v>
      </c>
      <c r="I339" t="s">
        <v>425</v>
      </c>
      <c r="J339" t="s">
        <v>433</v>
      </c>
      <c r="N339" t="s">
        <v>427</v>
      </c>
    </row>
    <row r="340" spans="1:14" ht="15" customHeight="1" x14ac:dyDescent="0.25">
      <c r="A340" s="82">
        <v>42615</v>
      </c>
      <c r="B340" t="s">
        <v>432</v>
      </c>
      <c r="C340" t="s">
        <v>427</v>
      </c>
      <c r="D340" t="s">
        <v>425</v>
      </c>
      <c r="E340" t="s">
        <v>428</v>
      </c>
      <c r="F340" t="s">
        <v>421</v>
      </c>
      <c r="G340" t="s">
        <v>428</v>
      </c>
      <c r="H340" t="s">
        <v>436</v>
      </c>
      <c r="I340" t="s">
        <v>425</v>
      </c>
      <c r="J340" t="s">
        <v>429</v>
      </c>
      <c r="N340" t="s">
        <v>423</v>
      </c>
    </row>
    <row r="341" spans="1:14" ht="15" customHeight="1" x14ac:dyDescent="0.25">
      <c r="A341" s="82">
        <v>42616</v>
      </c>
      <c r="B341" t="s">
        <v>432</v>
      </c>
      <c r="C341" t="s">
        <v>421</v>
      </c>
      <c r="D341" t="s">
        <v>425</v>
      </c>
      <c r="E341" t="s">
        <v>428</v>
      </c>
      <c r="F341" t="s">
        <v>427</v>
      </c>
      <c r="G341" t="s">
        <v>428</v>
      </c>
      <c r="H341" t="s">
        <v>436</v>
      </c>
      <c r="I341" t="s">
        <v>430</v>
      </c>
      <c r="J341" t="s">
        <v>429</v>
      </c>
      <c r="N341" t="s">
        <v>423</v>
      </c>
    </row>
    <row r="342" spans="1:14" ht="15" customHeight="1" x14ac:dyDescent="0.25">
      <c r="A342" s="82">
        <v>42617</v>
      </c>
      <c r="B342" t="s">
        <v>432</v>
      </c>
      <c r="C342" t="s">
        <v>427</v>
      </c>
      <c r="D342" t="s">
        <v>425</v>
      </c>
      <c r="E342" t="s">
        <v>428</v>
      </c>
      <c r="F342" t="s">
        <v>421</v>
      </c>
      <c r="G342" t="s">
        <v>428</v>
      </c>
      <c r="H342" t="s">
        <v>424</v>
      </c>
      <c r="I342" t="s">
        <v>430</v>
      </c>
      <c r="J342" t="s">
        <v>429</v>
      </c>
      <c r="N342" t="s">
        <v>437</v>
      </c>
    </row>
    <row r="343" spans="1:14" ht="15" customHeight="1" x14ac:dyDescent="0.25">
      <c r="A343" s="82">
        <v>42618</v>
      </c>
      <c r="B343" t="s">
        <v>432</v>
      </c>
      <c r="C343" t="s">
        <v>424</v>
      </c>
      <c r="D343" t="s">
        <v>425</v>
      </c>
      <c r="E343" t="s">
        <v>428</v>
      </c>
      <c r="F343" t="s">
        <v>423</v>
      </c>
      <c r="G343" t="s">
        <v>428</v>
      </c>
      <c r="H343" t="s">
        <v>427</v>
      </c>
      <c r="I343" t="s">
        <v>430</v>
      </c>
      <c r="J343" t="s">
        <v>429</v>
      </c>
      <c r="N343" t="s">
        <v>438</v>
      </c>
    </row>
    <row r="344" spans="1:14" ht="15" customHeight="1" x14ac:dyDescent="0.25">
      <c r="A344" s="82">
        <v>42619</v>
      </c>
      <c r="B344" t="s">
        <v>432</v>
      </c>
      <c r="C344" t="s">
        <v>439</v>
      </c>
      <c r="D344" t="s">
        <v>425</v>
      </c>
      <c r="E344" t="s">
        <v>428</v>
      </c>
      <c r="F344" t="s">
        <v>423</v>
      </c>
      <c r="G344" t="s">
        <v>428</v>
      </c>
      <c r="H344" t="s">
        <v>429</v>
      </c>
      <c r="I344" t="s">
        <v>427</v>
      </c>
      <c r="J344" t="s">
        <v>421</v>
      </c>
      <c r="N344" t="s">
        <v>440</v>
      </c>
    </row>
    <row r="345" spans="1:14" ht="15" customHeight="1" x14ac:dyDescent="0.25">
      <c r="A345" s="82">
        <v>42620</v>
      </c>
      <c r="B345" t="s">
        <v>432</v>
      </c>
      <c r="C345" t="s">
        <v>439</v>
      </c>
      <c r="D345" t="s">
        <v>425</v>
      </c>
      <c r="E345" t="s">
        <v>426</v>
      </c>
      <c r="F345" t="s">
        <v>421</v>
      </c>
      <c r="G345" t="s">
        <v>431</v>
      </c>
      <c r="H345" t="s">
        <v>423</v>
      </c>
      <c r="I345" t="s">
        <v>429</v>
      </c>
      <c r="J345" t="s">
        <v>427</v>
      </c>
      <c r="N345" t="s">
        <v>430</v>
      </c>
    </row>
    <row r="346" spans="1:14" ht="15" customHeight="1" x14ac:dyDescent="0.25">
      <c r="A346" s="82">
        <v>42621</v>
      </c>
      <c r="B346" t="s">
        <v>432</v>
      </c>
      <c r="C346" t="s">
        <v>424</v>
      </c>
      <c r="D346" t="s">
        <v>425</v>
      </c>
      <c r="E346" t="s">
        <v>426</v>
      </c>
      <c r="F346" t="s">
        <v>427</v>
      </c>
      <c r="G346" t="s">
        <v>431</v>
      </c>
      <c r="H346" t="s">
        <v>421</v>
      </c>
      <c r="I346" t="s">
        <v>426</v>
      </c>
      <c r="J346" t="s">
        <v>423</v>
      </c>
      <c r="N346" t="s">
        <v>432</v>
      </c>
    </row>
    <row r="347" spans="1:14" ht="15" customHeight="1" x14ac:dyDescent="0.25">
      <c r="A347" s="82">
        <v>42622</v>
      </c>
      <c r="B347" t="s">
        <v>428</v>
      </c>
      <c r="C347" t="s">
        <v>424</v>
      </c>
      <c r="D347" t="s">
        <v>425</v>
      </c>
      <c r="E347" t="s">
        <v>441</v>
      </c>
      <c r="F347" t="s">
        <v>423</v>
      </c>
      <c r="G347" t="s">
        <v>427</v>
      </c>
      <c r="H347" t="s">
        <v>425</v>
      </c>
      <c r="I347" t="s">
        <v>428</v>
      </c>
      <c r="J347" t="s">
        <v>421</v>
      </c>
      <c r="N347" t="s">
        <v>432</v>
      </c>
    </row>
    <row r="348" spans="1:14" ht="15" customHeight="1" x14ac:dyDescent="0.25">
      <c r="A348" s="82">
        <v>42623</v>
      </c>
      <c r="B348" t="s">
        <v>428</v>
      </c>
      <c r="C348" t="s">
        <v>424</v>
      </c>
      <c r="D348" t="s">
        <v>430</v>
      </c>
      <c r="E348" t="s">
        <v>441</v>
      </c>
      <c r="F348" t="s">
        <v>423</v>
      </c>
      <c r="G348" t="s">
        <v>421</v>
      </c>
      <c r="H348" t="s">
        <v>425</v>
      </c>
      <c r="I348" t="s">
        <v>428</v>
      </c>
      <c r="J348" t="s">
        <v>427</v>
      </c>
      <c r="N348" t="s">
        <v>432</v>
      </c>
    </row>
    <row r="349" spans="1:14" ht="15" customHeight="1" x14ac:dyDescent="0.25">
      <c r="A349" s="82">
        <v>42624</v>
      </c>
      <c r="B349" t="s">
        <v>428</v>
      </c>
      <c r="C349" t="s">
        <v>424</v>
      </c>
      <c r="D349" t="s">
        <v>430</v>
      </c>
      <c r="E349" t="s">
        <v>441</v>
      </c>
      <c r="F349" t="s">
        <v>423</v>
      </c>
      <c r="G349" t="s">
        <v>427</v>
      </c>
      <c r="H349" t="s">
        <v>425</v>
      </c>
      <c r="I349" t="s">
        <v>428</v>
      </c>
      <c r="J349" t="s">
        <v>421</v>
      </c>
      <c r="N349" t="s">
        <v>432</v>
      </c>
    </row>
    <row r="350" spans="1:14" ht="15" customHeight="1" x14ac:dyDescent="0.25">
      <c r="A350" s="82">
        <v>42625</v>
      </c>
      <c r="B350" t="s">
        <v>428</v>
      </c>
      <c r="C350" t="s">
        <v>427</v>
      </c>
      <c r="D350" t="s">
        <v>430</v>
      </c>
      <c r="E350" t="s">
        <v>441</v>
      </c>
      <c r="F350" t="s">
        <v>421</v>
      </c>
      <c r="G350" t="s">
        <v>424</v>
      </c>
      <c r="H350" t="s">
        <v>425</v>
      </c>
      <c r="I350" t="s">
        <v>428</v>
      </c>
      <c r="J350" t="s">
        <v>423</v>
      </c>
      <c r="N350" t="s">
        <v>432</v>
      </c>
    </row>
    <row r="351" spans="1:14" ht="15" customHeight="1" x14ac:dyDescent="0.25">
      <c r="A351" s="82">
        <v>42626</v>
      </c>
      <c r="B351" t="s">
        <v>428</v>
      </c>
      <c r="C351" t="s">
        <v>429</v>
      </c>
      <c r="D351" t="s">
        <v>427</v>
      </c>
      <c r="E351" t="s">
        <v>421</v>
      </c>
      <c r="F351" t="s">
        <v>442</v>
      </c>
      <c r="G351" t="s">
        <v>424</v>
      </c>
      <c r="H351" t="s">
        <v>425</v>
      </c>
      <c r="I351" t="s">
        <v>428</v>
      </c>
      <c r="J351" t="s">
        <v>423</v>
      </c>
      <c r="N351" t="s">
        <v>432</v>
      </c>
    </row>
    <row r="352" spans="1:14" ht="15" customHeight="1" x14ac:dyDescent="0.25">
      <c r="A352" s="82">
        <v>42627</v>
      </c>
      <c r="B352" t="s">
        <v>431</v>
      </c>
      <c r="C352" t="s">
        <v>423</v>
      </c>
      <c r="D352" t="s">
        <v>429</v>
      </c>
      <c r="E352" t="s">
        <v>427</v>
      </c>
      <c r="F352" t="s">
        <v>430</v>
      </c>
      <c r="G352" t="s">
        <v>424</v>
      </c>
      <c r="H352" t="s">
        <v>425</v>
      </c>
      <c r="I352" t="s">
        <v>443</v>
      </c>
      <c r="J352" t="s">
        <v>421</v>
      </c>
      <c r="N352" t="s">
        <v>432</v>
      </c>
    </row>
    <row r="353" spans="1:14" ht="15" customHeight="1" x14ac:dyDescent="0.25">
      <c r="A353" s="82">
        <v>42628</v>
      </c>
      <c r="B353" t="s">
        <v>431</v>
      </c>
      <c r="C353" t="s">
        <v>421</v>
      </c>
      <c r="D353" t="s">
        <v>426</v>
      </c>
      <c r="E353" t="s">
        <v>423</v>
      </c>
      <c r="F353" t="s">
        <v>422</v>
      </c>
      <c r="G353" t="s">
        <v>424</v>
      </c>
      <c r="H353" t="s">
        <v>425</v>
      </c>
      <c r="I353" t="s">
        <v>443</v>
      </c>
      <c r="J353" t="s">
        <v>427</v>
      </c>
      <c r="N353" t="s">
        <v>432</v>
      </c>
    </row>
    <row r="354" spans="1:14" ht="15" customHeight="1" x14ac:dyDescent="0.25">
      <c r="A354" s="82">
        <v>42629</v>
      </c>
      <c r="B354" t="s">
        <v>427</v>
      </c>
      <c r="C354" t="s">
        <v>425</v>
      </c>
      <c r="D354" t="s">
        <v>428</v>
      </c>
      <c r="E354" t="s">
        <v>421</v>
      </c>
      <c r="F354" t="s">
        <v>422</v>
      </c>
      <c r="G354" t="s">
        <v>444</v>
      </c>
      <c r="H354" t="s">
        <v>425</v>
      </c>
      <c r="I354" t="s">
        <v>441</v>
      </c>
      <c r="J354" t="s">
        <v>423</v>
      </c>
      <c r="N354" t="s">
        <v>428</v>
      </c>
    </row>
    <row r="355" spans="1:14" ht="15" customHeight="1" x14ac:dyDescent="0.25">
      <c r="A355" s="82">
        <v>42630</v>
      </c>
      <c r="B355" t="s">
        <v>421</v>
      </c>
      <c r="C355" t="s">
        <v>425</v>
      </c>
      <c r="D355" t="s">
        <v>428</v>
      </c>
      <c r="E355" t="s">
        <v>427</v>
      </c>
      <c r="F355" t="s">
        <v>422</v>
      </c>
      <c r="G355" t="s">
        <v>424</v>
      </c>
      <c r="H355" t="s">
        <v>430</v>
      </c>
      <c r="I355" t="s">
        <v>441</v>
      </c>
      <c r="J355" t="s">
        <v>423</v>
      </c>
      <c r="N355" t="s">
        <v>428</v>
      </c>
    </row>
    <row r="356" spans="1:14" ht="15" customHeight="1" x14ac:dyDescent="0.25">
      <c r="A356" s="82">
        <v>42631</v>
      </c>
      <c r="B356" t="s">
        <v>427</v>
      </c>
      <c r="C356" t="s">
        <v>425</v>
      </c>
      <c r="D356" t="s">
        <v>428</v>
      </c>
      <c r="E356" t="s">
        <v>421</v>
      </c>
      <c r="F356" t="s">
        <v>422</v>
      </c>
      <c r="G356" t="s">
        <v>424</v>
      </c>
      <c r="H356" t="s">
        <v>430</v>
      </c>
      <c r="I356" t="s">
        <v>429</v>
      </c>
      <c r="J356" t="s">
        <v>423</v>
      </c>
      <c r="N356" t="s">
        <v>428</v>
      </c>
    </row>
    <row r="357" spans="1:14" ht="15" customHeight="1" x14ac:dyDescent="0.25">
      <c r="A357" s="82">
        <v>42632</v>
      </c>
      <c r="B357" t="s">
        <v>424</v>
      </c>
      <c r="C357" t="s">
        <v>425</v>
      </c>
      <c r="D357" t="s">
        <v>428</v>
      </c>
      <c r="E357" t="s">
        <v>423</v>
      </c>
      <c r="F357" t="s">
        <v>422</v>
      </c>
      <c r="G357" t="s">
        <v>427</v>
      </c>
      <c r="H357" t="s">
        <v>430</v>
      </c>
      <c r="I357" t="s">
        <v>429</v>
      </c>
      <c r="J357" t="s">
        <v>421</v>
      </c>
      <c r="N357" t="s">
        <v>428</v>
      </c>
    </row>
    <row r="358" spans="1:14" ht="15" customHeight="1" x14ac:dyDescent="0.25">
      <c r="A358" s="82">
        <v>42633</v>
      </c>
      <c r="B358" t="s">
        <v>424</v>
      </c>
      <c r="C358" t="s">
        <v>425</v>
      </c>
      <c r="D358" t="s">
        <v>428</v>
      </c>
      <c r="E358" t="s">
        <v>423</v>
      </c>
      <c r="F358" t="s">
        <v>422</v>
      </c>
      <c r="G358" t="s">
        <v>429</v>
      </c>
      <c r="H358" t="s">
        <v>427</v>
      </c>
      <c r="I358" t="s">
        <v>421</v>
      </c>
      <c r="J358" t="s">
        <v>430</v>
      </c>
      <c r="N358" t="s">
        <v>428</v>
      </c>
    </row>
    <row r="359" spans="1:14" ht="15" customHeight="1" x14ac:dyDescent="0.25">
      <c r="A359" s="82">
        <v>42634</v>
      </c>
      <c r="B359" t="s">
        <v>424</v>
      </c>
      <c r="C359" t="s">
        <v>425</v>
      </c>
      <c r="D359" t="s">
        <v>426</v>
      </c>
      <c r="E359" t="s">
        <v>421</v>
      </c>
      <c r="F359" t="s">
        <v>422</v>
      </c>
      <c r="G359" t="s">
        <v>423</v>
      </c>
      <c r="H359" t="s">
        <v>429</v>
      </c>
      <c r="I359" t="s">
        <v>427</v>
      </c>
      <c r="J359" t="s">
        <v>430</v>
      </c>
      <c r="N359" t="s">
        <v>431</v>
      </c>
    </row>
    <row r="360" spans="1:14" ht="15" customHeight="1" x14ac:dyDescent="0.25">
      <c r="A360" s="82">
        <v>42635</v>
      </c>
      <c r="B360" t="s">
        <v>424</v>
      </c>
      <c r="C360" t="s">
        <v>425</v>
      </c>
      <c r="D360" t="s">
        <v>426</v>
      </c>
      <c r="E360" t="s">
        <v>427</v>
      </c>
      <c r="F360" t="s">
        <v>422</v>
      </c>
      <c r="G360" t="s">
        <v>421</v>
      </c>
      <c r="H360" t="s">
        <v>426</v>
      </c>
      <c r="I360" t="s">
        <v>423</v>
      </c>
      <c r="J360" t="s">
        <v>422</v>
      </c>
      <c r="N360" t="s">
        <v>431</v>
      </c>
    </row>
    <row r="361" spans="1:14" ht="15" customHeight="1" x14ac:dyDescent="0.25">
      <c r="A361" s="82">
        <v>42636</v>
      </c>
      <c r="B361" t="s">
        <v>424</v>
      </c>
      <c r="C361" t="s">
        <v>425</v>
      </c>
      <c r="D361" t="s">
        <v>429</v>
      </c>
      <c r="E361" t="s">
        <v>423</v>
      </c>
      <c r="F361" t="s">
        <v>428</v>
      </c>
      <c r="G361" t="s">
        <v>425</v>
      </c>
      <c r="H361" t="s">
        <v>428</v>
      </c>
      <c r="I361" t="s">
        <v>421</v>
      </c>
      <c r="J361" t="s">
        <v>422</v>
      </c>
      <c r="N361" t="s">
        <v>427</v>
      </c>
    </row>
    <row r="362" spans="1:14" ht="15" customHeight="1" x14ac:dyDescent="0.25">
      <c r="A362" s="82">
        <v>42637</v>
      </c>
      <c r="B362" t="s">
        <v>424</v>
      </c>
      <c r="C362" t="s">
        <v>430</v>
      </c>
      <c r="D362" t="s">
        <v>429</v>
      </c>
      <c r="E362" t="s">
        <v>423</v>
      </c>
      <c r="F362" t="s">
        <v>428</v>
      </c>
      <c r="G362" t="s">
        <v>425</v>
      </c>
      <c r="H362" t="s">
        <v>428</v>
      </c>
      <c r="I362" t="s">
        <v>427</v>
      </c>
      <c r="J362" t="s">
        <v>422</v>
      </c>
      <c r="N362" t="s">
        <v>421</v>
      </c>
    </row>
    <row r="363" spans="1:14" ht="15" customHeight="1" x14ac:dyDescent="0.25">
      <c r="A363" s="82">
        <v>42638</v>
      </c>
      <c r="B363" t="s">
        <v>424</v>
      </c>
      <c r="C363" t="s">
        <v>430</v>
      </c>
      <c r="D363" t="s">
        <v>429</v>
      </c>
      <c r="E363" t="s">
        <v>423</v>
      </c>
      <c r="F363" t="s">
        <v>428</v>
      </c>
      <c r="G363" t="s">
        <v>425</v>
      </c>
      <c r="H363" t="s">
        <v>428</v>
      </c>
      <c r="I363" t="s">
        <v>421</v>
      </c>
      <c r="J363" t="s">
        <v>422</v>
      </c>
      <c r="N363" t="s">
        <v>427</v>
      </c>
    </row>
    <row r="364" spans="1:14" ht="15" customHeight="1" x14ac:dyDescent="0.25">
      <c r="A364" s="82">
        <v>42639</v>
      </c>
      <c r="B364" t="s">
        <v>427</v>
      </c>
      <c r="C364" t="s">
        <v>430</v>
      </c>
      <c r="D364" t="s">
        <v>429</v>
      </c>
      <c r="E364" t="s">
        <v>421</v>
      </c>
      <c r="F364" t="s">
        <v>428</v>
      </c>
      <c r="G364" t="s">
        <v>425</v>
      </c>
      <c r="H364" t="s">
        <v>428</v>
      </c>
      <c r="I364" t="s">
        <v>423</v>
      </c>
      <c r="J364" t="s">
        <v>422</v>
      </c>
      <c r="N364" t="s">
        <v>424</v>
      </c>
    </row>
    <row r="365" spans="1:14" ht="15" customHeight="1" x14ac:dyDescent="0.25">
      <c r="A365" s="82">
        <v>42640</v>
      </c>
      <c r="B365" t="s">
        <v>429</v>
      </c>
      <c r="C365" t="s">
        <v>427</v>
      </c>
      <c r="D365" t="s">
        <v>421</v>
      </c>
      <c r="E365" t="s">
        <v>430</v>
      </c>
      <c r="F365" t="s">
        <v>428</v>
      </c>
      <c r="G365" t="s">
        <v>425</v>
      </c>
      <c r="H365" t="s">
        <v>428</v>
      </c>
      <c r="I365" t="s">
        <v>423</v>
      </c>
      <c r="J365" t="s">
        <v>422</v>
      </c>
      <c r="N365" t="s">
        <v>424</v>
      </c>
    </row>
    <row r="366" spans="1:14" ht="15" customHeight="1" x14ac:dyDescent="0.25">
      <c r="A366" s="82">
        <v>42641</v>
      </c>
      <c r="B366" t="s">
        <v>423</v>
      </c>
      <c r="C366" t="s">
        <v>429</v>
      </c>
      <c r="D366" t="s">
        <v>427</v>
      </c>
      <c r="E366" t="s">
        <v>430</v>
      </c>
      <c r="F366" t="s">
        <v>431</v>
      </c>
      <c r="G366" t="s">
        <v>425</v>
      </c>
      <c r="H366" t="s">
        <v>426</v>
      </c>
      <c r="I366" t="s">
        <v>421</v>
      </c>
      <c r="J366" t="s">
        <v>422</v>
      </c>
      <c r="N366" t="s">
        <v>424</v>
      </c>
    </row>
    <row r="367" spans="1:14" ht="15" customHeight="1" x14ac:dyDescent="0.25">
      <c r="A367" s="82">
        <v>42642</v>
      </c>
      <c r="B367" t="s">
        <v>421</v>
      </c>
      <c r="C367" t="s">
        <v>426</v>
      </c>
      <c r="D367" t="s">
        <v>423</v>
      </c>
      <c r="E367" t="s">
        <v>422</v>
      </c>
      <c r="F367" t="s">
        <v>431</v>
      </c>
      <c r="G367" t="s">
        <v>425</v>
      </c>
      <c r="H367" t="s">
        <v>426</v>
      </c>
      <c r="I367" t="s">
        <v>427</v>
      </c>
      <c r="J367" t="s">
        <v>422</v>
      </c>
      <c r="N367" t="s">
        <v>424</v>
      </c>
    </row>
    <row r="368" spans="1:14" ht="15" customHeight="1" x14ac:dyDescent="0.25">
      <c r="A368" s="82">
        <v>42643</v>
      </c>
      <c r="B368" t="s">
        <v>425</v>
      </c>
      <c r="C368" t="s">
        <v>428</v>
      </c>
      <c r="D368" t="s">
        <v>421</v>
      </c>
      <c r="E368" t="s">
        <v>422</v>
      </c>
      <c r="F368" t="s">
        <v>427</v>
      </c>
      <c r="G368" t="s">
        <v>425</v>
      </c>
      <c r="H368" t="s">
        <v>429</v>
      </c>
      <c r="I368" t="s">
        <v>423</v>
      </c>
      <c r="J368" t="s">
        <v>428</v>
      </c>
      <c r="N368" t="s">
        <v>424</v>
      </c>
    </row>
    <row r="369" spans="1:14" ht="15" customHeight="1" x14ac:dyDescent="0.25">
      <c r="A369" s="82">
        <v>42644</v>
      </c>
      <c r="B369" t="s">
        <v>425</v>
      </c>
      <c r="C369" t="s">
        <v>428</v>
      </c>
      <c r="D369" t="s">
        <v>427</v>
      </c>
      <c r="E369" t="s">
        <v>422</v>
      </c>
      <c r="F369" t="s">
        <v>421</v>
      </c>
      <c r="G369" t="s">
        <v>430</v>
      </c>
      <c r="H369" t="s">
        <v>429</v>
      </c>
      <c r="I369" t="s">
        <v>423</v>
      </c>
      <c r="J369" t="s">
        <v>428</v>
      </c>
      <c r="N369" t="s">
        <v>424</v>
      </c>
    </row>
    <row r="370" spans="1:14" ht="15" customHeight="1" x14ac:dyDescent="0.25">
      <c r="A370" s="82">
        <v>42645</v>
      </c>
      <c r="B370" t="s">
        <v>425</v>
      </c>
      <c r="C370" t="s">
        <v>428</v>
      </c>
      <c r="D370" t="s">
        <v>421</v>
      </c>
      <c r="E370" t="s">
        <v>422</v>
      </c>
      <c r="F370" t="s">
        <v>427</v>
      </c>
      <c r="G370" t="s">
        <v>430</v>
      </c>
      <c r="H370" t="s">
        <v>429</v>
      </c>
      <c r="I370" t="s">
        <v>423</v>
      </c>
      <c r="J370" t="s">
        <v>428</v>
      </c>
      <c r="N370" t="s">
        <v>424</v>
      </c>
    </row>
    <row r="371" spans="1:14" ht="15" customHeight="1" x14ac:dyDescent="0.25">
      <c r="A371" s="82">
        <v>42646</v>
      </c>
      <c r="B371" t="s">
        <v>425</v>
      </c>
      <c r="C371" t="s">
        <v>428</v>
      </c>
      <c r="D371" t="s">
        <v>423</v>
      </c>
      <c r="E371" t="s">
        <v>422</v>
      </c>
      <c r="F371" t="s">
        <v>424</v>
      </c>
      <c r="G371" t="s">
        <v>430</v>
      </c>
      <c r="H371" t="s">
        <v>429</v>
      </c>
      <c r="I371" t="s">
        <v>421</v>
      </c>
      <c r="J371" t="s">
        <v>428</v>
      </c>
      <c r="N371" t="s">
        <v>427</v>
      </c>
    </row>
    <row r="372" spans="1:14" ht="15" customHeight="1" x14ac:dyDescent="0.25">
      <c r="A372" s="82">
        <v>42647</v>
      </c>
      <c r="B372" t="s">
        <v>425</v>
      </c>
      <c r="C372" t="s">
        <v>428</v>
      </c>
      <c r="D372" t="s">
        <v>423</v>
      </c>
      <c r="E372" t="s">
        <v>422</v>
      </c>
      <c r="F372" t="s">
        <v>424</v>
      </c>
      <c r="G372" t="s">
        <v>427</v>
      </c>
      <c r="H372" t="s">
        <v>421</v>
      </c>
      <c r="I372" t="s">
        <v>430</v>
      </c>
      <c r="J372" t="s">
        <v>428</v>
      </c>
      <c r="N372" t="s">
        <v>429</v>
      </c>
    </row>
    <row r="373" spans="1:14" ht="15" customHeight="1" x14ac:dyDescent="0.25">
      <c r="A373" s="82">
        <v>42648</v>
      </c>
      <c r="B373" t="s">
        <v>425</v>
      </c>
      <c r="C373" t="s">
        <v>426</v>
      </c>
      <c r="D373" t="s">
        <v>421</v>
      </c>
      <c r="E373" t="s">
        <v>422</v>
      </c>
      <c r="F373" t="s">
        <v>424</v>
      </c>
      <c r="G373" t="s">
        <v>429</v>
      </c>
      <c r="H373" t="s">
        <v>427</v>
      </c>
      <c r="I373" t="s">
        <v>430</v>
      </c>
      <c r="J373" t="s">
        <v>431</v>
      </c>
      <c r="N373" t="s">
        <v>423</v>
      </c>
    </row>
    <row r="374" spans="1:14" ht="15" customHeight="1" x14ac:dyDescent="0.25">
      <c r="A374" s="82">
        <v>42649</v>
      </c>
      <c r="B374" t="s">
        <v>425</v>
      </c>
      <c r="C374" t="s">
        <v>426</v>
      </c>
      <c r="D374" t="s">
        <v>427</v>
      </c>
      <c r="E374" t="s">
        <v>422</v>
      </c>
      <c r="F374" t="s">
        <v>424</v>
      </c>
      <c r="G374" t="s">
        <v>426</v>
      </c>
      <c r="H374" t="s">
        <v>423</v>
      </c>
      <c r="I374" t="s">
        <v>422</v>
      </c>
      <c r="J374" t="s">
        <v>431</v>
      </c>
      <c r="N374" t="s">
        <v>421</v>
      </c>
    </row>
    <row r="375" spans="1:14" ht="15" customHeight="1" x14ac:dyDescent="0.25">
      <c r="A375" s="82">
        <v>42650</v>
      </c>
      <c r="B375" t="s">
        <v>425</v>
      </c>
      <c r="C375" t="s">
        <v>429</v>
      </c>
      <c r="D375" t="s">
        <v>423</v>
      </c>
      <c r="E375" t="s">
        <v>428</v>
      </c>
      <c r="F375" t="s">
        <v>424</v>
      </c>
      <c r="G375" t="s">
        <v>428</v>
      </c>
      <c r="H375" t="s">
        <v>421</v>
      </c>
      <c r="I375" t="s">
        <v>422</v>
      </c>
      <c r="J375" t="s">
        <v>427</v>
      </c>
      <c r="N375" t="s">
        <v>425</v>
      </c>
    </row>
    <row r="376" spans="1:14" ht="15" customHeight="1" x14ac:dyDescent="0.25">
      <c r="A376" s="82">
        <v>42651</v>
      </c>
      <c r="B376" t="s">
        <v>430</v>
      </c>
      <c r="C376" t="s">
        <v>429</v>
      </c>
      <c r="D376" t="s">
        <v>423</v>
      </c>
      <c r="E376" t="s">
        <v>428</v>
      </c>
      <c r="F376" t="s">
        <v>424</v>
      </c>
      <c r="G376" t="s">
        <v>428</v>
      </c>
      <c r="H376" t="s">
        <v>427</v>
      </c>
      <c r="I376" t="s">
        <v>445</v>
      </c>
      <c r="J376" t="s">
        <v>421</v>
      </c>
      <c r="N376" t="s">
        <v>425</v>
      </c>
    </row>
    <row r="377" spans="1:14" ht="15" customHeight="1" x14ac:dyDescent="0.25">
      <c r="A377" s="82">
        <v>42652</v>
      </c>
      <c r="B377" t="s">
        <v>430</v>
      </c>
      <c r="C377" t="s">
        <v>429</v>
      </c>
      <c r="D377" t="s">
        <v>423</v>
      </c>
      <c r="E377" t="s">
        <v>428</v>
      </c>
      <c r="F377" t="s">
        <v>424</v>
      </c>
      <c r="G377" t="s">
        <v>428</v>
      </c>
      <c r="H377" t="s">
        <v>421</v>
      </c>
      <c r="I377" t="s">
        <v>422</v>
      </c>
      <c r="J377" t="s">
        <v>427</v>
      </c>
      <c r="N377" t="s">
        <v>425</v>
      </c>
    </row>
    <row r="378" spans="1:14" ht="15" customHeight="1" x14ac:dyDescent="0.25">
      <c r="A378" s="82">
        <v>42653</v>
      </c>
      <c r="B378" t="s">
        <v>430</v>
      </c>
      <c r="C378" t="s">
        <v>429</v>
      </c>
      <c r="D378" t="s">
        <v>421</v>
      </c>
      <c r="E378" t="s">
        <v>428</v>
      </c>
      <c r="F378" t="s">
        <v>427</v>
      </c>
      <c r="G378" t="s">
        <v>428</v>
      </c>
      <c r="H378" t="s">
        <v>423</v>
      </c>
      <c r="I378" t="s">
        <v>422</v>
      </c>
      <c r="J378" t="s">
        <v>424</v>
      </c>
      <c r="N378" t="s">
        <v>425</v>
      </c>
    </row>
    <row r="379" spans="1:14" ht="15" customHeight="1" x14ac:dyDescent="0.25">
      <c r="A379" s="82">
        <v>42654</v>
      </c>
      <c r="B379" t="s">
        <v>427</v>
      </c>
      <c r="C379" t="s">
        <v>421</v>
      </c>
      <c r="D379" t="s">
        <v>430</v>
      </c>
      <c r="E379" t="s">
        <v>428</v>
      </c>
      <c r="F379" t="s">
        <v>429</v>
      </c>
      <c r="G379" t="s">
        <v>428</v>
      </c>
      <c r="H379" t="s">
        <v>423</v>
      </c>
      <c r="I379" t="s">
        <v>422</v>
      </c>
      <c r="J379" t="s">
        <v>424</v>
      </c>
      <c r="N379" t="s">
        <v>425</v>
      </c>
    </row>
    <row r="380" spans="1:14" ht="15" customHeight="1" x14ac:dyDescent="0.25">
      <c r="A380" s="82">
        <v>42655</v>
      </c>
      <c r="B380" t="s">
        <v>429</v>
      </c>
      <c r="C380" t="s">
        <v>427</v>
      </c>
      <c r="D380" t="s">
        <v>430</v>
      </c>
      <c r="E380" t="s">
        <v>431</v>
      </c>
      <c r="F380" t="s">
        <v>423</v>
      </c>
      <c r="G380" t="s">
        <v>426</v>
      </c>
      <c r="H380" t="s">
        <v>421</v>
      </c>
      <c r="I380" t="s">
        <v>446</v>
      </c>
      <c r="J380" t="s">
        <v>424</v>
      </c>
      <c r="N380" t="s">
        <v>425</v>
      </c>
    </row>
    <row r="381" spans="1:14" ht="15" customHeight="1" x14ac:dyDescent="0.25">
      <c r="A381" s="82">
        <v>42656</v>
      </c>
      <c r="B381" t="s">
        <v>426</v>
      </c>
      <c r="C381" t="s">
        <v>423</v>
      </c>
      <c r="D381" t="s">
        <v>422</v>
      </c>
      <c r="E381" t="s">
        <v>431</v>
      </c>
      <c r="F381" t="s">
        <v>421</v>
      </c>
      <c r="G381" t="s">
        <v>447</v>
      </c>
      <c r="H381" t="s">
        <v>427</v>
      </c>
      <c r="I381" t="s">
        <v>446</v>
      </c>
      <c r="J381" t="s">
        <v>424</v>
      </c>
      <c r="N381" t="s">
        <v>425</v>
      </c>
    </row>
    <row r="382" spans="1:14" ht="15" customHeight="1" x14ac:dyDescent="0.25">
      <c r="A382" s="82">
        <v>42657</v>
      </c>
      <c r="B382" t="s">
        <v>428</v>
      </c>
      <c r="C382" t="s">
        <v>421</v>
      </c>
      <c r="D382" t="s">
        <v>445</v>
      </c>
      <c r="E382" t="s">
        <v>427</v>
      </c>
      <c r="F382" t="s">
        <v>425</v>
      </c>
      <c r="G382" t="s">
        <v>448</v>
      </c>
      <c r="H382" t="s">
        <v>423</v>
      </c>
      <c r="I382" t="s">
        <v>428</v>
      </c>
      <c r="J382" t="s">
        <v>449</v>
      </c>
      <c r="N382" t="s">
        <v>425</v>
      </c>
    </row>
    <row r="383" spans="1:14" ht="15" customHeight="1" x14ac:dyDescent="0.25">
      <c r="A383" s="82">
        <v>42658</v>
      </c>
      <c r="B383" t="s">
        <v>428</v>
      </c>
      <c r="C383" t="s">
        <v>427</v>
      </c>
      <c r="D383" t="s">
        <v>422</v>
      </c>
      <c r="E383" t="s">
        <v>421</v>
      </c>
      <c r="F383" t="s">
        <v>425</v>
      </c>
      <c r="G383" t="s">
        <v>429</v>
      </c>
      <c r="H383" t="s">
        <v>423</v>
      </c>
      <c r="I383" t="s">
        <v>428</v>
      </c>
      <c r="J383" t="s">
        <v>424</v>
      </c>
      <c r="N383" t="s">
        <v>430</v>
      </c>
    </row>
    <row r="384" spans="1:14" ht="15" customHeight="1" x14ac:dyDescent="0.25">
      <c r="A384" s="82">
        <v>42659</v>
      </c>
      <c r="B384" t="s">
        <v>428</v>
      </c>
      <c r="C384" t="s">
        <v>421</v>
      </c>
      <c r="D384" t="s">
        <v>422</v>
      </c>
      <c r="E384" t="s">
        <v>427</v>
      </c>
      <c r="F384" t="s">
        <v>425</v>
      </c>
      <c r="G384" t="s">
        <v>429</v>
      </c>
      <c r="H384" t="s">
        <v>423</v>
      </c>
      <c r="I384" t="s">
        <v>428</v>
      </c>
      <c r="J384" t="s">
        <v>424</v>
      </c>
      <c r="N384" t="s">
        <v>430</v>
      </c>
    </row>
    <row r="385" spans="1:14" ht="15" customHeight="1" x14ac:dyDescent="0.25">
      <c r="A385" s="82">
        <v>42660</v>
      </c>
      <c r="B385" t="s">
        <v>428</v>
      </c>
      <c r="C385" t="s">
        <v>423</v>
      </c>
      <c r="D385" t="s">
        <v>422</v>
      </c>
      <c r="E385" t="s">
        <v>424</v>
      </c>
      <c r="F385" t="s">
        <v>425</v>
      </c>
      <c r="G385" t="s">
        <v>429</v>
      </c>
      <c r="H385" t="s">
        <v>421</v>
      </c>
      <c r="I385" t="s">
        <v>428</v>
      </c>
      <c r="J385" t="s">
        <v>427</v>
      </c>
      <c r="N385" t="s">
        <v>430</v>
      </c>
    </row>
    <row r="386" spans="1:14" ht="15" customHeight="1" x14ac:dyDescent="0.25">
      <c r="A386" s="82">
        <v>42661</v>
      </c>
      <c r="B386" t="s">
        <v>428</v>
      </c>
      <c r="C386" t="s">
        <v>423</v>
      </c>
      <c r="D386" t="s">
        <v>450</v>
      </c>
      <c r="E386" t="s">
        <v>424</v>
      </c>
      <c r="F386" t="s">
        <v>425</v>
      </c>
      <c r="G386" t="s">
        <v>421</v>
      </c>
      <c r="H386" t="s">
        <v>451</v>
      </c>
      <c r="I386" t="s">
        <v>428</v>
      </c>
      <c r="J386" t="s">
        <v>429</v>
      </c>
      <c r="N386" t="s">
        <v>427</v>
      </c>
    </row>
    <row r="387" spans="1:14" ht="15" customHeight="1" x14ac:dyDescent="0.25">
      <c r="A387" s="82">
        <v>42662</v>
      </c>
      <c r="B387" t="s">
        <v>426</v>
      </c>
      <c r="C387" t="s">
        <v>421</v>
      </c>
      <c r="D387" t="s">
        <v>422</v>
      </c>
      <c r="E387" t="s">
        <v>424</v>
      </c>
      <c r="F387" t="s">
        <v>425</v>
      </c>
      <c r="G387" t="s">
        <v>427</v>
      </c>
      <c r="H387" t="s">
        <v>430</v>
      </c>
      <c r="I387" t="s">
        <v>452</v>
      </c>
      <c r="J387" t="s">
        <v>423</v>
      </c>
      <c r="N387" t="s">
        <v>429</v>
      </c>
    </row>
    <row r="388" spans="1:14" ht="15" customHeight="1" x14ac:dyDescent="0.25">
      <c r="A388" s="82">
        <v>42663</v>
      </c>
      <c r="B388" t="s">
        <v>426</v>
      </c>
      <c r="C388" t="s">
        <v>427</v>
      </c>
      <c r="D388" t="s">
        <v>422</v>
      </c>
      <c r="E388" t="s">
        <v>439</v>
      </c>
      <c r="F388" t="s">
        <v>425</v>
      </c>
      <c r="G388" t="s">
        <v>423</v>
      </c>
      <c r="H388" t="s">
        <v>422</v>
      </c>
      <c r="I388" t="s">
        <v>431</v>
      </c>
      <c r="J388" t="s">
        <v>421</v>
      </c>
      <c r="N388" t="s">
        <v>426</v>
      </c>
    </row>
    <row r="389" spans="1:14" ht="15" customHeight="1" x14ac:dyDescent="0.25">
      <c r="A389" s="82">
        <v>42664</v>
      </c>
      <c r="B389" t="s">
        <v>429</v>
      </c>
      <c r="C389" t="s">
        <v>423</v>
      </c>
      <c r="D389" t="s">
        <v>428</v>
      </c>
      <c r="E389" t="s">
        <v>424</v>
      </c>
      <c r="F389" t="s">
        <v>425</v>
      </c>
      <c r="G389" t="s">
        <v>421</v>
      </c>
      <c r="H389" t="s">
        <v>422</v>
      </c>
      <c r="I389" t="s">
        <v>427</v>
      </c>
      <c r="J389" t="s">
        <v>425</v>
      </c>
      <c r="N389" t="s">
        <v>428</v>
      </c>
    </row>
    <row r="390" spans="1:14" ht="15" customHeight="1" x14ac:dyDescent="0.25">
      <c r="A390" s="82">
        <v>42665</v>
      </c>
      <c r="B390" t="s">
        <v>429</v>
      </c>
      <c r="C390" t="s">
        <v>423</v>
      </c>
      <c r="D390" t="s">
        <v>428</v>
      </c>
      <c r="E390" t="s">
        <v>424</v>
      </c>
      <c r="F390" t="s">
        <v>430</v>
      </c>
      <c r="G390" t="s">
        <v>427</v>
      </c>
      <c r="H390" t="s">
        <v>422</v>
      </c>
      <c r="I390" t="s">
        <v>421</v>
      </c>
      <c r="J390" t="s">
        <v>425</v>
      </c>
      <c r="N390" t="s">
        <v>428</v>
      </c>
    </row>
    <row r="391" spans="1:14" ht="15" customHeight="1" x14ac:dyDescent="0.25">
      <c r="A391" s="82">
        <v>42666</v>
      </c>
      <c r="B391" t="s">
        <v>429</v>
      </c>
      <c r="C391" t="s">
        <v>423</v>
      </c>
      <c r="D391" t="s">
        <v>428</v>
      </c>
      <c r="E391" t="s">
        <v>424</v>
      </c>
      <c r="F391" t="s">
        <v>430</v>
      </c>
      <c r="G391" t="s">
        <v>421</v>
      </c>
      <c r="H391" t="s">
        <v>445</v>
      </c>
      <c r="I391" t="s">
        <v>427</v>
      </c>
      <c r="J391" t="s">
        <v>425</v>
      </c>
      <c r="N391" t="s">
        <v>428</v>
      </c>
    </row>
    <row r="392" spans="1:14" ht="15" customHeight="1" x14ac:dyDescent="0.25">
      <c r="A392" s="82">
        <v>42667</v>
      </c>
      <c r="B392" t="s">
        <v>429</v>
      </c>
      <c r="C392" t="s">
        <v>421</v>
      </c>
      <c r="D392" t="s">
        <v>428</v>
      </c>
      <c r="E392" t="s">
        <v>427</v>
      </c>
      <c r="F392" t="s">
        <v>430</v>
      </c>
      <c r="G392" t="s">
        <v>423</v>
      </c>
      <c r="H392" t="s">
        <v>422</v>
      </c>
      <c r="I392" t="s">
        <v>424</v>
      </c>
      <c r="J392" t="s">
        <v>425</v>
      </c>
      <c r="N392" t="s">
        <v>428</v>
      </c>
    </row>
    <row r="393" spans="1:14" ht="15" customHeight="1" x14ac:dyDescent="0.25">
      <c r="A393" s="82">
        <v>42668</v>
      </c>
      <c r="B393" t="s">
        <v>421</v>
      </c>
      <c r="C393" t="s">
        <v>430</v>
      </c>
      <c r="D393" t="s">
        <v>428</v>
      </c>
      <c r="E393" t="s">
        <v>429</v>
      </c>
      <c r="F393" t="s">
        <v>427</v>
      </c>
      <c r="G393" t="s">
        <v>423</v>
      </c>
      <c r="H393" t="s">
        <v>422</v>
      </c>
      <c r="I393" t="s">
        <v>439</v>
      </c>
      <c r="J393" t="s">
        <v>425</v>
      </c>
      <c r="N393" t="s">
        <v>428</v>
      </c>
    </row>
    <row r="394" spans="1:14" ht="15" customHeight="1" x14ac:dyDescent="0.25">
      <c r="A394" s="82">
        <v>42669</v>
      </c>
      <c r="B394" t="s">
        <v>427</v>
      </c>
      <c r="C394" t="s">
        <v>430</v>
      </c>
      <c r="D394" t="s">
        <v>431</v>
      </c>
      <c r="E394" t="s">
        <v>423</v>
      </c>
      <c r="F394" t="s">
        <v>429</v>
      </c>
      <c r="G394" t="s">
        <v>421</v>
      </c>
      <c r="H394" t="s">
        <v>422</v>
      </c>
      <c r="I394" t="s">
        <v>424</v>
      </c>
      <c r="J394" t="s">
        <v>425</v>
      </c>
      <c r="N394" t="s">
        <v>426</v>
      </c>
    </row>
    <row r="395" spans="1:14" ht="15" customHeight="1" x14ac:dyDescent="0.25">
      <c r="A395" s="82">
        <v>42670</v>
      </c>
      <c r="B395" t="s">
        <v>423</v>
      </c>
      <c r="C395" t="s">
        <v>453</v>
      </c>
      <c r="D395" t="s">
        <v>431</v>
      </c>
      <c r="E395" t="s">
        <v>421</v>
      </c>
      <c r="F395" t="s">
        <v>426</v>
      </c>
      <c r="G395" t="s">
        <v>427</v>
      </c>
      <c r="H395" t="s">
        <v>454</v>
      </c>
      <c r="I395" t="s">
        <v>424</v>
      </c>
      <c r="J395" t="s">
        <v>425</v>
      </c>
      <c r="N395" t="s">
        <v>426</v>
      </c>
    </row>
    <row r="396" spans="1:14" ht="15" customHeight="1" x14ac:dyDescent="0.25">
      <c r="A396" s="82">
        <v>42671</v>
      </c>
      <c r="B396" t="s">
        <v>421</v>
      </c>
      <c r="C396" t="s">
        <v>453</v>
      </c>
      <c r="D396" t="s">
        <v>427</v>
      </c>
      <c r="E396" t="s">
        <v>425</v>
      </c>
      <c r="F396" t="s">
        <v>428</v>
      </c>
      <c r="G396" t="s">
        <v>455</v>
      </c>
      <c r="H396" t="s">
        <v>428</v>
      </c>
      <c r="I396" t="s">
        <v>424</v>
      </c>
      <c r="J396" t="s">
        <v>425</v>
      </c>
      <c r="N396" t="s">
        <v>429</v>
      </c>
    </row>
    <row r="397" spans="1:14" ht="15" customHeight="1" x14ac:dyDescent="0.25">
      <c r="A397" s="82">
        <v>42672</v>
      </c>
      <c r="B397" t="s">
        <v>427</v>
      </c>
      <c r="C397" t="s">
        <v>453</v>
      </c>
      <c r="D397" t="s">
        <v>456</v>
      </c>
      <c r="E397" t="s">
        <v>425</v>
      </c>
      <c r="F397" t="s">
        <v>428</v>
      </c>
      <c r="G397" t="s">
        <v>423</v>
      </c>
      <c r="H397" t="s">
        <v>428</v>
      </c>
      <c r="I397" t="s">
        <v>424</v>
      </c>
      <c r="J397" t="s">
        <v>430</v>
      </c>
      <c r="N397" t="s">
        <v>429</v>
      </c>
    </row>
    <row r="398" spans="1:14" ht="15" customHeight="1" x14ac:dyDescent="0.25">
      <c r="A398" s="82">
        <v>42673</v>
      </c>
      <c r="B398" t="s">
        <v>456</v>
      </c>
      <c r="C398" t="s">
        <v>453</v>
      </c>
      <c r="D398" t="s">
        <v>427</v>
      </c>
      <c r="E398" t="s">
        <v>425</v>
      </c>
      <c r="F398" t="s">
        <v>428</v>
      </c>
      <c r="G398" t="s">
        <v>423</v>
      </c>
      <c r="H398" t="s">
        <v>428</v>
      </c>
      <c r="I398" t="s">
        <v>424</v>
      </c>
      <c r="J398" t="s">
        <v>430</v>
      </c>
      <c r="N398" t="s">
        <v>429</v>
      </c>
    </row>
    <row r="399" spans="1:14" ht="15" customHeight="1" x14ac:dyDescent="0.25">
      <c r="A399" s="82">
        <v>42674</v>
      </c>
      <c r="B399" t="s">
        <v>423</v>
      </c>
      <c r="C399" t="s">
        <v>453</v>
      </c>
      <c r="D399" t="s">
        <v>457</v>
      </c>
      <c r="E399" t="s">
        <v>425</v>
      </c>
      <c r="F399" t="s">
        <v>428</v>
      </c>
      <c r="G399" t="s">
        <v>421</v>
      </c>
      <c r="H399" t="s">
        <v>428</v>
      </c>
      <c r="I399" t="s">
        <v>427</v>
      </c>
      <c r="J399" t="s">
        <v>430</v>
      </c>
      <c r="N399" t="s">
        <v>448</v>
      </c>
    </row>
    <row r="400" spans="1:14" ht="15" customHeight="1" x14ac:dyDescent="0.25">
      <c r="A400" s="82">
        <v>42675</v>
      </c>
      <c r="B400" t="s">
        <v>423</v>
      </c>
      <c r="C400" t="s">
        <v>453</v>
      </c>
      <c r="D400" t="s">
        <v>424</v>
      </c>
      <c r="E400" t="s">
        <v>425</v>
      </c>
      <c r="F400" t="s">
        <v>428</v>
      </c>
      <c r="G400" t="s">
        <v>430</v>
      </c>
      <c r="H400" t="s">
        <v>428</v>
      </c>
      <c r="I400" t="s">
        <v>458</v>
      </c>
      <c r="J400" t="s">
        <v>427</v>
      </c>
      <c r="N400" t="s">
        <v>421</v>
      </c>
    </row>
    <row r="401" spans="1:14" ht="15" customHeight="1" x14ac:dyDescent="0.25">
      <c r="A401" s="82">
        <v>42676</v>
      </c>
      <c r="B401" t="s">
        <v>421</v>
      </c>
      <c r="C401" t="s">
        <v>453</v>
      </c>
      <c r="D401" t="s">
        <v>424</v>
      </c>
      <c r="E401" t="s">
        <v>425</v>
      </c>
      <c r="F401" t="s">
        <v>426</v>
      </c>
      <c r="G401" t="s">
        <v>430</v>
      </c>
      <c r="H401" t="s">
        <v>431</v>
      </c>
      <c r="I401" t="s">
        <v>423</v>
      </c>
      <c r="J401" t="s">
        <v>458</v>
      </c>
      <c r="N401" t="s">
        <v>427</v>
      </c>
    </row>
    <row r="402" spans="1:14" ht="15" customHeight="1" x14ac:dyDescent="0.25">
      <c r="A402" s="82">
        <v>42677</v>
      </c>
      <c r="B402" t="s">
        <v>427</v>
      </c>
      <c r="C402" t="s">
        <v>454</v>
      </c>
      <c r="D402" t="s">
        <v>424</v>
      </c>
      <c r="E402" t="s">
        <v>425</v>
      </c>
      <c r="F402" t="s">
        <v>459</v>
      </c>
      <c r="G402" t="s">
        <v>422</v>
      </c>
      <c r="H402" t="s">
        <v>431</v>
      </c>
      <c r="I402" t="s">
        <v>421</v>
      </c>
      <c r="J402" t="s">
        <v>426</v>
      </c>
      <c r="N402" t="s">
        <v>455</v>
      </c>
    </row>
    <row r="403" spans="1:14" ht="15" customHeight="1" x14ac:dyDescent="0.25">
      <c r="A403" s="82">
        <v>42678</v>
      </c>
      <c r="B403" t="s">
        <v>455</v>
      </c>
      <c r="C403" t="s">
        <v>460</v>
      </c>
      <c r="D403" t="s">
        <v>424</v>
      </c>
      <c r="E403" t="s">
        <v>425</v>
      </c>
      <c r="F403" t="s">
        <v>427</v>
      </c>
      <c r="G403" t="s">
        <v>421</v>
      </c>
      <c r="H403" t="s">
        <v>426</v>
      </c>
      <c r="I403" t="s">
        <v>425</v>
      </c>
      <c r="J403" t="s">
        <v>428</v>
      </c>
      <c r="N403" t="s">
        <v>461</v>
      </c>
    </row>
    <row r="404" spans="1:14" ht="15" customHeight="1" x14ac:dyDescent="0.25">
      <c r="A404" s="82">
        <v>42679</v>
      </c>
      <c r="B404" t="s">
        <v>429</v>
      </c>
      <c r="C404" t="s">
        <v>430</v>
      </c>
      <c r="D404" t="s">
        <v>424</v>
      </c>
      <c r="E404" t="s">
        <v>421</v>
      </c>
      <c r="F404" t="s">
        <v>455</v>
      </c>
      <c r="G404" t="s">
        <v>427</v>
      </c>
      <c r="H404" t="s">
        <v>426</v>
      </c>
      <c r="I404" t="s">
        <v>425</v>
      </c>
      <c r="J404" t="s">
        <v>428</v>
      </c>
      <c r="N404" t="s">
        <v>461</v>
      </c>
    </row>
    <row r="405" spans="1:14" ht="15" customHeight="1" x14ac:dyDescent="0.25">
      <c r="A405" s="82">
        <v>42680</v>
      </c>
      <c r="B405" t="s">
        <v>429</v>
      </c>
      <c r="C405" t="s">
        <v>430</v>
      </c>
      <c r="D405" t="s">
        <v>424</v>
      </c>
      <c r="E405" t="s">
        <v>421</v>
      </c>
      <c r="F405" t="s">
        <v>427</v>
      </c>
      <c r="G405" t="s">
        <v>455</v>
      </c>
      <c r="H405" t="s">
        <v>426</v>
      </c>
      <c r="I405" t="s">
        <v>425</v>
      </c>
      <c r="J405" t="s">
        <v>428</v>
      </c>
      <c r="N405" t="s">
        <v>461</v>
      </c>
    </row>
    <row r="406" spans="1:14" ht="15" customHeight="1" x14ac:dyDescent="0.25">
      <c r="A406" s="82">
        <v>42681</v>
      </c>
      <c r="B406" t="s">
        <v>462</v>
      </c>
      <c r="C406" t="s">
        <v>460</v>
      </c>
      <c r="D406" t="s">
        <v>463</v>
      </c>
      <c r="E406" t="s">
        <v>427</v>
      </c>
      <c r="F406" t="s">
        <v>455</v>
      </c>
      <c r="G406" t="s">
        <v>421</v>
      </c>
      <c r="H406" t="s">
        <v>464</v>
      </c>
      <c r="I406" t="s">
        <v>425</v>
      </c>
      <c r="J406" t="s">
        <v>428</v>
      </c>
      <c r="N406" t="s">
        <v>465</v>
      </c>
    </row>
    <row r="407" spans="1:14" ht="15" customHeight="1" x14ac:dyDescent="0.25">
      <c r="A407" s="82">
        <v>42682</v>
      </c>
      <c r="B407" t="s">
        <v>429</v>
      </c>
      <c r="C407" t="s">
        <v>430</v>
      </c>
      <c r="D407" t="s">
        <v>424</v>
      </c>
      <c r="E407" t="s">
        <v>455</v>
      </c>
      <c r="F407" t="s">
        <v>421</v>
      </c>
      <c r="G407" t="s">
        <v>427</v>
      </c>
      <c r="H407" t="s">
        <v>426</v>
      </c>
      <c r="I407" t="s">
        <v>425</v>
      </c>
      <c r="J407" t="s">
        <v>428</v>
      </c>
      <c r="N407" t="s">
        <v>422</v>
      </c>
    </row>
    <row r="408" spans="1:14" ht="15" customHeight="1" x14ac:dyDescent="0.25">
      <c r="A408" s="82">
        <v>42683</v>
      </c>
      <c r="B408" t="s">
        <v>429</v>
      </c>
      <c r="C408" t="s">
        <v>430</v>
      </c>
      <c r="D408" t="s">
        <v>424</v>
      </c>
      <c r="E408" t="s">
        <v>427</v>
      </c>
      <c r="F408" t="s">
        <v>421</v>
      </c>
      <c r="G408" t="s">
        <v>455</v>
      </c>
      <c r="H408" t="s">
        <v>426</v>
      </c>
      <c r="I408" t="s">
        <v>425</v>
      </c>
      <c r="J408" t="s">
        <v>428</v>
      </c>
      <c r="N408" t="s">
        <v>422</v>
      </c>
    </row>
    <row r="409" spans="1:14" ht="15" customHeight="1" x14ac:dyDescent="0.25">
      <c r="A409" s="82">
        <v>42684</v>
      </c>
      <c r="B409" t="s">
        <v>429</v>
      </c>
      <c r="C409" t="s">
        <v>451</v>
      </c>
      <c r="D409" t="s">
        <v>424</v>
      </c>
      <c r="E409" t="s">
        <v>455</v>
      </c>
      <c r="F409" t="s">
        <v>427</v>
      </c>
      <c r="G409" t="s">
        <v>421</v>
      </c>
      <c r="H409" t="s">
        <v>426</v>
      </c>
      <c r="I409" t="s">
        <v>425</v>
      </c>
      <c r="J409" t="s">
        <v>428</v>
      </c>
      <c r="N409" t="s">
        <v>454</v>
      </c>
    </row>
    <row r="410" spans="1:14" ht="15" customHeight="1" x14ac:dyDescent="0.25">
      <c r="A410" s="82">
        <v>42685</v>
      </c>
      <c r="B410" t="s">
        <v>461</v>
      </c>
      <c r="C410" t="s">
        <v>428</v>
      </c>
      <c r="D410" t="s">
        <v>425</v>
      </c>
      <c r="E410" t="s">
        <v>430</v>
      </c>
      <c r="F410" t="s">
        <v>455</v>
      </c>
      <c r="G410" t="s">
        <v>429</v>
      </c>
      <c r="H410" t="s">
        <v>421</v>
      </c>
      <c r="I410" t="s">
        <v>425</v>
      </c>
      <c r="J410" t="s">
        <v>427</v>
      </c>
      <c r="N410" t="s">
        <v>466</v>
      </c>
    </row>
    <row r="411" spans="1:14" ht="15" customHeight="1" x14ac:dyDescent="0.25">
      <c r="A411" s="82">
        <v>42686</v>
      </c>
      <c r="B411" t="s">
        <v>461</v>
      </c>
      <c r="C411" t="s">
        <v>428</v>
      </c>
      <c r="D411" t="s">
        <v>425</v>
      </c>
      <c r="E411" t="s">
        <v>430</v>
      </c>
      <c r="F411" t="s">
        <v>426</v>
      </c>
      <c r="G411" t="s">
        <v>429</v>
      </c>
      <c r="H411" t="s">
        <v>427</v>
      </c>
      <c r="I411" t="s">
        <v>421</v>
      </c>
      <c r="J411" t="s">
        <v>455</v>
      </c>
      <c r="N411" t="s">
        <v>424</v>
      </c>
    </row>
    <row r="412" spans="1:14" ht="15" customHeight="1" x14ac:dyDescent="0.25">
      <c r="A412" s="82">
        <v>42687</v>
      </c>
      <c r="B412" t="s">
        <v>461</v>
      </c>
      <c r="C412" t="s">
        <v>428</v>
      </c>
      <c r="D412" t="s">
        <v>425</v>
      </c>
      <c r="E412" t="s">
        <v>467</v>
      </c>
      <c r="F412" t="s">
        <v>426</v>
      </c>
      <c r="G412" t="s">
        <v>429</v>
      </c>
      <c r="H412" t="s">
        <v>455</v>
      </c>
      <c r="I412" t="s">
        <v>421</v>
      </c>
      <c r="J412" t="s">
        <v>427</v>
      </c>
      <c r="N412" t="s">
        <v>424</v>
      </c>
    </row>
    <row r="413" spans="1:14" ht="15" customHeight="1" x14ac:dyDescent="0.25">
      <c r="A413" s="82">
        <v>42688</v>
      </c>
      <c r="B413" t="s">
        <v>461</v>
      </c>
      <c r="C413" t="s">
        <v>428</v>
      </c>
      <c r="D413" t="s">
        <v>425</v>
      </c>
      <c r="E413" t="s">
        <v>430</v>
      </c>
      <c r="F413" t="s">
        <v>426</v>
      </c>
      <c r="G413" t="s">
        <v>429</v>
      </c>
      <c r="H413" t="s">
        <v>424</v>
      </c>
      <c r="I413" t="s">
        <v>427</v>
      </c>
      <c r="J413" t="s">
        <v>455</v>
      </c>
      <c r="N413" t="s">
        <v>421</v>
      </c>
    </row>
    <row r="414" spans="1:14" ht="15" customHeight="1" x14ac:dyDescent="0.25">
      <c r="A414" s="82">
        <v>42689</v>
      </c>
      <c r="B414" t="s">
        <v>450</v>
      </c>
      <c r="C414" t="s">
        <v>428</v>
      </c>
      <c r="D414" t="s">
        <v>425</v>
      </c>
      <c r="E414" t="s">
        <v>430</v>
      </c>
      <c r="F414" t="s">
        <v>426</v>
      </c>
      <c r="G414" t="s">
        <v>429</v>
      </c>
      <c r="H414" t="s">
        <v>424</v>
      </c>
      <c r="I414" t="s">
        <v>455</v>
      </c>
      <c r="J414" t="s">
        <v>468</v>
      </c>
      <c r="N414" t="s">
        <v>427</v>
      </c>
    </row>
    <row r="415" spans="1:14" ht="15" customHeight="1" x14ac:dyDescent="0.25">
      <c r="A415" s="82">
        <v>42690</v>
      </c>
      <c r="B415" t="s">
        <v>454</v>
      </c>
      <c r="C415" t="s">
        <v>428</v>
      </c>
      <c r="D415" t="s">
        <v>425</v>
      </c>
      <c r="E415" t="s">
        <v>430</v>
      </c>
      <c r="F415" t="s">
        <v>426</v>
      </c>
      <c r="G415" t="s">
        <v>429</v>
      </c>
      <c r="H415" t="s">
        <v>421</v>
      </c>
      <c r="I415" t="s">
        <v>427</v>
      </c>
      <c r="J415" t="s">
        <v>424</v>
      </c>
      <c r="N415" t="s">
        <v>455</v>
      </c>
    </row>
    <row r="416" spans="1:14" ht="15" customHeight="1" x14ac:dyDescent="0.25">
      <c r="A416" s="82">
        <v>42691</v>
      </c>
      <c r="B416" t="s">
        <v>454</v>
      </c>
      <c r="C416" t="s">
        <v>428</v>
      </c>
      <c r="D416" t="s">
        <v>425</v>
      </c>
      <c r="E416" t="s">
        <v>430</v>
      </c>
      <c r="F416" t="s">
        <v>426</v>
      </c>
      <c r="G416" t="s">
        <v>429</v>
      </c>
      <c r="H416" t="s">
        <v>427</v>
      </c>
      <c r="I416" t="s">
        <v>455</v>
      </c>
      <c r="J416" t="s">
        <v>421</v>
      </c>
      <c r="N416" t="s">
        <v>424</v>
      </c>
    </row>
    <row r="417" spans="1:14" ht="15" customHeight="1" x14ac:dyDescent="0.25">
      <c r="A417" s="82">
        <v>42692</v>
      </c>
      <c r="B417" t="s">
        <v>421</v>
      </c>
      <c r="C417" t="s">
        <v>427</v>
      </c>
      <c r="D417" t="s">
        <v>425</v>
      </c>
      <c r="E417" t="s">
        <v>450</v>
      </c>
      <c r="F417" t="s">
        <v>428</v>
      </c>
      <c r="G417" t="s">
        <v>425</v>
      </c>
      <c r="H417" t="s">
        <v>455</v>
      </c>
      <c r="I417" t="s">
        <v>430</v>
      </c>
      <c r="J417" t="s">
        <v>429</v>
      </c>
      <c r="N417" t="s">
        <v>426</v>
      </c>
    </row>
    <row r="418" spans="1:14" ht="15" customHeight="1" x14ac:dyDescent="0.25">
      <c r="A418" s="82">
        <v>42693</v>
      </c>
      <c r="B418" t="s">
        <v>427</v>
      </c>
      <c r="C418" t="s">
        <v>455</v>
      </c>
      <c r="D418" t="s">
        <v>421</v>
      </c>
      <c r="E418" t="s">
        <v>422</v>
      </c>
      <c r="F418" t="s">
        <v>428</v>
      </c>
      <c r="G418" t="s">
        <v>425</v>
      </c>
      <c r="H418" t="s">
        <v>424</v>
      </c>
      <c r="I418" t="s">
        <v>430</v>
      </c>
      <c r="J418" t="s">
        <v>429</v>
      </c>
      <c r="N418" t="s">
        <v>426</v>
      </c>
    </row>
    <row r="419" spans="1:14" ht="15" customHeight="1" x14ac:dyDescent="0.25">
      <c r="A419" s="82">
        <v>42694</v>
      </c>
      <c r="B419" t="s">
        <v>455</v>
      </c>
      <c r="C419" t="s">
        <v>427</v>
      </c>
      <c r="D419" t="s">
        <v>421</v>
      </c>
      <c r="E419" t="s">
        <v>422</v>
      </c>
      <c r="F419" t="s">
        <v>428</v>
      </c>
      <c r="G419" t="s">
        <v>425</v>
      </c>
      <c r="H419" t="s">
        <v>424</v>
      </c>
      <c r="I419" t="s">
        <v>430</v>
      </c>
      <c r="J419" t="s">
        <v>429</v>
      </c>
      <c r="N419" t="s">
        <v>426</v>
      </c>
    </row>
    <row r="420" spans="1:14" ht="15" customHeight="1" x14ac:dyDescent="0.25">
      <c r="A420" s="82">
        <v>42695</v>
      </c>
      <c r="B420" t="s">
        <v>421</v>
      </c>
      <c r="C420" t="s">
        <v>455</v>
      </c>
      <c r="D420" t="s">
        <v>427</v>
      </c>
      <c r="E420" t="s">
        <v>469</v>
      </c>
      <c r="F420" t="s">
        <v>428</v>
      </c>
      <c r="G420" t="s">
        <v>425</v>
      </c>
      <c r="H420" t="s">
        <v>466</v>
      </c>
      <c r="I420" t="s">
        <v>470</v>
      </c>
      <c r="J420" t="s">
        <v>471</v>
      </c>
      <c r="N420" t="s">
        <v>472</v>
      </c>
    </row>
    <row r="421" spans="1:14" ht="15" customHeight="1" x14ac:dyDescent="0.25">
      <c r="A421" s="82">
        <v>42696</v>
      </c>
      <c r="B421" t="s">
        <v>427</v>
      </c>
      <c r="C421" t="s">
        <v>421</v>
      </c>
      <c r="D421" t="s">
        <v>455</v>
      </c>
      <c r="E421" t="s">
        <v>422</v>
      </c>
      <c r="F421" t="s">
        <v>428</v>
      </c>
      <c r="G421" t="s">
        <v>425</v>
      </c>
      <c r="H421" t="s">
        <v>439</v>
      </c>
      <c r="I421" t="s">
        <v>451</v>
      </c>
      <c r="J421" t="s">
        <v>429</v>
      </c>
      <c r="N421" t="s">
        <v>426</v>
      </c>
    </row>
    <row r="422" spans="1:14" ht="15" customHeight="1" x14ac:dyDescent="0.25">
      <c r="A422" s="82">
        <v>42697</v>
      </c>
      <c r="B422" t="s">
        <v>455</v>
      </c>
      <c r="C422" t="s">
        <v>421</v>
      </c>
      <c r="D422" t="s">
        <v>427</v>
      </c>
      <c r="E422" t="s">
        <v>422</v>
      </c>
      <c r="F422" t="s">
        <v>428</v>
      </c>
      <c r="G422" t="s">
        <v>425</v>
      </c>
      <c r="H422" t="s">
        <v>439</v>
      </c>
      <c r="I422" t="s">
        <v>451</v>
      </c>
      <c r="J422" t="s">
        <v>429</v>
      </c>
      <c r="N422" t="s">
        <v>426</v>
      </c>
    </row>
    <row r="423" spans="1:14" ht="15" customHeight="1" x14ac:dyDescent="0.25">
      <c r="A423" s="82">
        <v>42698</v>
      </c>
      <c r="B423" t="s">
        <v>427</v>
      </c>
      <c r="C423" t="s">
        <v>421</v>
      </c>
      <c r="D423" t="s">
        <v>455</v>
      </c>
      <c r="E423" t="s">
        <v>450</v>
      </c>
      <c r="F423" t="s">
        <v>428</v>
      </c>
      <c r="G423" t="s">
        <v>425</v>
      </c>
      <c r="H423" t="s">
        <v>424</v>
      </c>
      <c r="I423" t="s">
        <v>430</v>
      </c>
      <c r="J423" t="s">
        <v>429</v>
      </c>
      <c r="N423" t="s">
        <v>426</v>
      </c>
    </row>
    <row r="424" spans="1:14" ht="15" customHeight="1" x14ac:dyDescent="0.25">
      <c r="A424" s="82">
        <v>42699</v>
      </c>
      <c r="B424" t="s">
        <v>454</v>
      </c>
      <c r="C424" t="s">
        <v>425</v>
      </c>
      <c r="D424" t="s">
        <v>426</v>
      </c>
      <c r="E424" t="s">
        <v>421</v>
      </c>
      <c r="F424" t="s">
        <v>427</v>
      </c>
      <c r="G424" t="s">
        <v>424</v>
      </c>
      <c r="H424" t="s">
        <v>424</v>
      </c>
      <c r="I424" t="s">
        <v>429</v>
      </c>
      <c r="J424" t="s">
        <v>423</v>
      </c>
      <c r="N424" t="s">
        <v>428</v>
      </c>
    </row>
    <row r="425" spans="1:14" ht="15" customHeight="1" x14ac:dyDescent="0.25">
      <c r="A425" s="82">
        <v>42700</v>
      </c>
      <c r="B425" t="s">
        <v>454</v>
      </c>
      <c r="C425" t="s">
        <v>425</v>
      </c>
      <c r="D425" t="s">
        <v>426</v>
      </c>
      <c r="E425" t="s">
        <v>427</v>
      </c>
      <c r="F425" t="s">
        <v>455</v>
      </c>
      <c r="G425" t="s">
        <v>424</v>
      </c>
      <c r="H425" t="s">
        <v>430</v>
      </c>
      <c r="I425" t="s">
        <v>429</v>
      </c>
      <c r="J425" t="s">
        <v>421</v>
      </c>
      <c r="N425" t="s">
        <v>428</v>
      </c>
    </row>
    <row r="426" spans="1:14" ht="15" customHeight="1" x14ac:dyDescent="0.25">
      <c r="A426" s="82">
        <v>42701</v>
      </c>
      <c r="B426" t="s">
        <v>454</v>
      </c>
      <c r="C426" t="s">
        <v>425</v>
      </c>
      <c r="D426" t="s">
        <v>426</v>
      </c>
      <c r="E426" t="s">
        <v>455</v>
      </c>
      <c r="F426" t="s">
        <v>427</v>
      </c>
      <c r="G426" t="s">
        <v>424</v>
      </c>
      <c r="H426" t="s">
        <v>430</v>
      </c>
      <c r="I426" t="s">
        <v>429</v>
      </c>
      <c r="J426" t="s">
        <v>421</v>
      </c>
      <c r="N426" t="s">
        <v>428</v>
      </c>
    </row>
    <row r="427" spans="1:14" ht="15" customHeight="1" x14ac:dyDescent="0.25">
      <c r="A427" s="82">
        <v>42702</v>
      </c>
      <c r="B427" t="s">
        <v>454</v>
      </c>
      <c r="C427" t="s">
        <v>425</v>
      </c>
      <c r="D427" t="s">
        <v>426</v>
      </c>
      <c r="E427" t="s">
        <v>424</v>
      </c>
      <c r="F427" t="s">
        <v>455</v>
      </c>
      <c r="G427" t="s">
        <v>427</v>
      </c>
      <c r="H427" t="s">
        <v>430</v>
      </c>
      <c r="I427" t="s">
        <v>448</v>
      </c>
      <c r="J427" t="s">
        <v>421</v>
      </c>
      <c r="N427" t="s">
        <v>428</v>
      </c>
    </row>
    <row r="428" spans="1:14" ht="15" customHeight="1" x14ac:dyDescent="0.25">
      <c r="A428" s="82">
        <v>42703</v>
      </c>
      <c r="B428" t="s">
        <v>469</v>
      </c>
      <c r="C428" t="s">
        <v>425</v>
      </c>
      <c r="D428" t="s">
        <v>472</v>
      </c>
      <c r="E428" t="s">
        <v>471</v>
      </c>
      <c r="F428" t="s">
        <v>473</v>
      </c>
      <c r="G428" t="s">
        <v>455</v>
      </c>
      <c r="H428" t="s">
        <v>427</v>
      </c>
      <c r="I428" t="s">
        <v>421</v>
      </c>
      <c r="J428" t="s">
        <v>470</v>
      </c>
      <c r="N428" t="s">
        <v>428</v>
      </c>
    </row>
    <row r="429" spans="1:14" ht="15" customHeight="1" x14ac:dyDescent="0.25">
      <c r="A429" s="82">
        <v>42704</v>
      </c>
      <c r="B429" t="s">
        <v>454</v>
      </c>
      <c r="C429" t="s">
        <v>425</v>
      </c>
      <c r="D429" t="s">
        <v>426</v>
      </c>
      <c r="E429" t="s">
        <v>421</v>
      </c>
      <c r="F429" t="s">
        <v>424</v>
      </c>
      <c r="G429" t="s">
        <v>429</v>
      </c>
      <c r="H429" t="s">
        <v>455</v>
      </c>
      <c r="I429" t="s">
        <v>427</v>
      </c>
      <c r="J429" t="s">
        <v>474</v>
      </c>
      <c r="N429" t="s">
        <v>428</v>
      </c>
    </row>
    <row r="430" spans="1:14" ht="15" customHeight="1" x14ac:dyDescent="0.25">
      <c r="A430" s="82">
        <v>42705</v>
      </c>
      <c r="B430" t="s">
        <v>454</v>
      </c>
      <c r="C430" t="s">
        <v>425</v>
      </c>
      <c r="D430" t="s">
        <v>426</v>
      </c>
      <c r="E430" t="s">
        <v>427</v>
      </c>
      <c r="F430" t="s">
        <v>424</v>
      </c>
      <c r="G430" t="s">
        <v>421</v>
      </c>
      <c r="H430" t="s">
        <v>426</v>
      </c>
      <c r="I430" t="s">
        <v>455</v>
      </c>
      <c r="J430" t="s">
        <v>422</v>
      </c>
      <c r="N430" t="s">
        <v>428</v>
      </c>
    </row>
    <row r="431" spans="1:14" ht="15" customHeight="1" x14ac:dyDescent="0.25">
      <c r="A431" s="82">
        <v>42706</v>
      </c>
      <c r="B431" t="s">
        <v>454</v>
      </c>
      <c r="C431" t="s">
        <v>425</v>
      </c>
      <c r="D431" t="s">
        <v>475</v>
      </c>
      <c r="E431" t="s">
        <v>455</v>
      </c>
      <c r="F431" t="s">
        <v>428</v>
      </c>
      <c r="G431" t="s">
        <v>476</v>
      </c>
      <c r="H431" t="s">
        <v>425</v>
      </c>
      <c r="I431" t="s">
        <v>421</v>
      </c>
      <c r="J431" t="s">
        <v>450</v>
      </c>
      <c r="N431" t="s">
        <v>427</v>
      </c>
    </row>
    <row r="432" spans="1:14" ht="15" customHeight="1" x14ac:dyDescent="0.25">
      <c r="A432" s="82">
        <v>42707</v>
      </c>
      <c r="B432" t="s">
        <v>466</v>
      </c>
      <c r="C432" t="s">
        <v>430</v>
      </c>
      <c r="D432" t="s">
        <v>429</v>
      </c>
      <c r="E432" t="s">
        <v>421</v>
      </c>
      <c r="F432" t="s">
        <v>428</v>
      </c>
      <c r="G432" t="s">
        <v>447</v>
      </c>
      <c r="H432" t="s">
        <v>425</v>
      </c>
      <c r="I432" t="s">
        <v>427</v>
      </c>
      <c r="J432" t="s">
        <v>450</v>
      </c>
      <c r="N432" t="s">
        <v>455</v>
      </c>
    </row>
    <row r="433" spans="1:14" ht="15" customHeight="1" x14ac:dyDescent="0.25">
      <c r="A433" s="82">
        <v>42708</v>
      </c>
      <c r="B433" t="s">
        <v>424</v>
      </c>
      <c r="C433" t="s">
        <v>430</v>
      </c>
      <c r="D433" t="s">
        <v>429</v>
      </c>
      <c r="E433" t="s">
        <v>421</v>
      </c>
      <c r="F433" t="s">
        <v>428</v>
      </c>
      <c r="G433" t="s">
        <v>447</v>
      </c>
      <c r="H433" t="s">
        <v>425</v>
      </c>
      <c r="I433" t="s">
        <v>455</v>
      </c>
      <c r="J433" t="s">
        <v>422</v>
      </c>
      <c r="N433" t="s">
        <v>427</v>
      </c>
    </row>
    <row r="434" spans="1:14" ht="15" customHeight="1" x14ac:dyDescent="0.25">
      <c r="A434" s="82">
        <v>42709</v>
      </c>
      <c r="B434" t="s">
        <v>427</v>
      </c>
      <c r="C434" t="s">
        <v>477</v>
      </c>
      <c r="D434" t="s">
        <v>478</v>
      </c>
      <c r="E434" t="s">
        <v>421</v>
      </c>
      <c r="F434" t="s">
        <v>428</v>
      </c>
      <c r="G434" t="s">
        <v>447</v>
      </c>
      <c r="H434" t="s">
        <v>425</v>
      </c>
      <c r="I434" t="s">
        <v>479</v>
      </c>
      <c r="J434" t="s">
        <v>480</v>
      </c>
      <c r="N434" t="s">
        <v>455</v>
      </c>
    </row>
    <row r="435" spans="1:14" ht="15" customHeight="1" x14ac:dyDescent="0.25">
      <c r="A435" s="82">
        <v>42710</v>
      </c>
      <c r="B435" t="s">
        <v>455</v>
      </c>
      <c r="C435" t="s">
        <v>427</v>
      </c>
      <c r="D435" t="s">
        <v>421</v>
      </c>
      <c r="E435" t="s">
        <v>430</v>
      </c>
      <c r="F435" t="s">
        <v>428</v>
      </c>
      <c r="G435" t="s">
        <v>447</v>
      </c>
      <c r="H435" t="s">
        <v>425</v>
      </c>
      <c r="I435" t="s">
        <v>429</v>
      </c>
      <c r="J435" t="s">
        <v>422</v>
      </c>
      <c r="N435" t="s">
        <v>439</v>
      </c>
    </row>
    <row r="436" spans="1:14" ht="15" customHeight="1" x14ac:dyDescent="0.25">
      <c r="A436" s="82">
        <v>42711</v>
      </c>
      <c r="B436" t="s">
        <v>429</v>
      </c>
      <c r="C436" t="s">
        <v>455</v>
      </c>
      <c r="D436" t="s">
        <v>427</v>
      </c>
      <c r="E436" t="s">
        <v>430</v>
      </c>
      <c r="F436" t="s">
        <v>428</v>
      </c>
      <c r="G436" t="s">
        <v>447</v>
      </c>
      <c r="H436" t="s">
        <v>425</v>
      </c>
      <c r="I436" t="s">
        <v>421</v>
      </c>
      <c r="J436" t="s">
        <v>422</v>
      </c>
      <c r="N436" t="s">
        <v>424</v>
      </c>
    </row>
    <row r="437" spans="1:14" ht="15" customHeight="1" x14ac:dyDescent="0.25">
      <c r="A437" s="82">
        <v>42712</v>
      </c>
      <c r="B437" t="s">
        <v>424</v>
      </c>
      <c r="C437" t="s">
        <v>426</v>
      </c>
      <c r="D437" t="s">
        <v>455</v>
      </c>
      <c r="E437" t="s">
        <v>422</v>
      </c>
      <c r="F437" t="s">
        <v>428</v>
      </c>
      <c r="G437" t="s">
        <v>447</v>
      </c>
      <c r="H437" t="s">
        <v>425</v>
      </c>
      <c r="I437" t="s">
        <v>427</v>
      </c>
      <c r="J437" t="s">
        <v>422</v>
      </c>
      <c r="N437" t="s">
        <v>421</v>
      </c>
    </row>
    <row r="438" spans="1:14" ht="15" customHeight="1" x14ac:dyDescent="0.25">
      <c r="A438" s="82">
        <v>42713</v>
      </c>
      <c r="B438" t="s">
        <v>425</v>
      </c>
      <c r="C438" t="s">
        <v>426</v>
      </c>
      <c r="D438" t="s">
        <v>421</v>
      </c>
      <c r="E438" t="s">
        <v>422</v>
      </c>
      <c r="F438" t="s">
        <v>427</v>
      </c>
      <c r="G438" t="s">
        <v>447</v>
      </c>
      <c r="H438" t="s">
        <v>425</v>
      </c>
      <c r="I438" t="s">
        <v>455</v>
      </c>
      <c r="J438" t="s">
        <v>428</v>
      </c>
      <c r="N438" t="s">
        <v>424</v>
      </c>
    </row>
    <row r="439" spans="1:14" ht="15" customHeight="1" x14ac:dyDescent="0.25">
      <c r="A439" s="82">
        <v>42714</v>
      </c>
      <c r="B439" t="s">
        <v>425</v>
      </c>
      <c r="C439" t="s">
        <v>426</v>
      </c>
      <c r="D439" t="s">
        <v>427</v>
      </c>
      <c r="E439" t="s">
        <v>422</v>
      </c>
      <c r="F439" t="s">
        <v>455</v>
      </c>
      <c r="G439" t="s">
        <v>430</v>
      </c>
      <c r="H439" t="s">
        <v>429</v>
      </c>
      <c r="I439" t="s">
        <v>421</v>
      </c>
      <c r="J439" t="s">
        <v>428</v>
      </c>
      <c r="N439" t="s">
        <v>424</v>
      </c>
    </row>
    <row r="440" spans="1:14" ht="15" customHeight="1" x14ac:dyDescent="0.25">
      <c r="A440" s="82">
        <v>42715</v>
      </c>
      <c r="B440" t="s">
        <v>425</v>
      </c>
      <c r="C440" t="s">
        <v>426</v>
      </c>
      <c r="D440" t="s">
        <v>481</v>
      </c>
      <c r="E440" t="s">
        <v>482</v>
      </c>
      <c r="F440" t="s">
        <v>427</v>
      </c>
      <c r="G440" t="s">
        <v>477</v>
      </c>
      <c r="H440" t="s">
        <v>429</v>
      </c>
      <c r="I440" t="s">
        <v>421</v>
      </c>
      <c r="J440" t="s">
        <v>428</v>
      </c>
      <c r="N440" t="s">
        <v>424</v>
      </c>
    </row>
    <row r="441" spans="1:14" ht="15" customHeight="1" x14ac:dyDescent="0.25">
      <c r="A441" s="82">
        <v>42716</v>
      </c>
      <c r="B441" t="s">
        <v>425</v>
      </c>
      <c r="C441" t="s">
        <v>426</v>
      </c>
      <c r="D441" t="s">
        <v>466</v>
      </c>
      <c r="E441" t="s">
        <v>422</v>
      </c>
      <c r="F441" t="s">
        <v>455</v>
      </c>
      <c r="G441" t="s">
        <v>451</v>
      </c>
      <c r="H441" t="s">
        <v>429</v>
      </c>
      <c r="I441" t="s">
        <v>421</v>
      </c>
      <c r="J441" t="s">
        <v>428</v>
      </c>
      <c r="N441" t="s">
        <v>427</v>
      </c>
    </row>
    <row r="442" spans="1:14" ht="15" customHeight="1" x14ac:dyDescent="0.25">
      <c r="A442" s="82">
        <v>42717</v>
      </c>
      <c r="B442" t="s">
        <v>425</v>
      </c>
      <c r="C442" t="s">
        <v>426</v>
      </c>
      <c r="D442" t="s">
        <v>483</v>
      </c>
      <c r="E442" t="s">
        <v>422</v>
      </c>
      <c r="F442" t="s">
        <v>424</v>
      </c>
      <c r="G442" t="s">
        <v>427</v>
      </c>
      <c r="H442" t="s">
        <v>421</v>
      </c>
      <c r="I442" t="s">
        <v>430</v>
      </c>
      <c r="J442" t="s">
        <v>428</v>
      </c>
      <c r="N442" t="s">
        <v>455</v>
      </c>
    </row>
    <row r="443" spans="1:14" ht="15" customHeight="1" x14ac:dyDescent="0.25">
      <c r="A443" s="82">
        <v>42718</v>
      </c>
      <c r="B443" t="s">
        <v>425</v>
      </c>
      <c r="C443" t="s">
        <v>459</v>
      </c>
      <c r="D443" t="s">
        <v>421</v>
      </c>
      <c r="E443" t="s">
        <v>450</v>
      </c>
      <c r="F443" t="s">
        <v>424</v>
      </c>
      <c r="G443" t="s">
        <v>455</v>
      </c>
      <c r="H443" t="s">
        <v>427</v>
      </c>
      <c r="I443" t="s">
        <v>477</v>
      </c>
      <c r="J443" t="s">
        <v>428</v>
      </c>
      <c r="N443" t="s">
        <v>478</v>
      </c>
    </row>
    <row r="444" spans="1:14" ht="15" customHeight="1" x14ac:dyDescent="0.25">
      <c r="A444" s="82">
        <v>42719</v>
      </c>
      <c r="B444" t="s">
        <v>425</v>
      </c>
      <c r="C444" t="s">
        <v>426</v>
      </c>
      <c r="D444" t="s">
        <v>427</v>
      </c>
      <c r="E444" t="s">
        <v>422</v>
      </c>
      <c r="F444" t="s">
        <v>421</v>
      </c>
      <c r="G444" t="s">
        <v>426</v>
      </c>
      <c r="H444" t="s">
        <v>455</v>
      </c>
      <c r="I444" t="s">
        <v>422</v>
      </c>
      <c r="J444" t="s">
        <v>428</v>
      </c>
      <c r="N444" t="s">
        <v>424</v>
      </c>
    </row>
    <row r="445" spans="1:14" ht="15" customHeight="1" x14ac:dyDescent="0.25">
      <c r="A445" s="82">
        <v>42720</v>
      </c>
      <c r="B445" t="s">
        <v>425</v>
      </c>
      <c r="C445" t="s">
        <v>429</v>
      </c>
      <c r="D445" t="s">
        <v>455</v>
      </c>
      <c r="E445" t="s">
        <v>428</v>
      </c>
      <c r="F445" t="s">
        <v>425</v>
      </c>
      <c r="G445" t="s">
        <v>447</v>
      </c>
      <c r="H445" t="s">
        <v>421</v>
      </c>
      <c r="I445" t="s">
        <v>422</v>
      </c>
      <c r="J445" t="s">
        <v>427</v>
      </c>
      <c r="N445" t="s">
        <v>424</v>
      </c>
    </row>
    <row r="446" spans="1:14" ht="15" customHeight="1" x14ac:dyDescent="0.25">
      <c r="A446" s="82">
        <v>42721</v>
      </c>
      <c r="B446" t="s">
        <v>430</v>
      </c>
      <c r="C446" t="s">
        <v>429</v>
      </c>
      <c r="D446" t="s">
        <v>421</v>
      </c>
      <c r="E446" t="s">
        <v>428</v>
      </c>
      <c r="F446" t="s">
        <v>425</v>
      </c>
      <c r="G446" t="s">
        <v>484</v>
      </c>
      <c r="H446" t="s">
        <v>427</v>
      </c>
      <c r="I446" t="s">
        <v>445</v>
      </c>
      <c r="J446" t="s">
        <v>455</v>
      </c>
      <c r="N446" t="s">
        <v>424</v>
      </c>
    </row>
    <row r="447" spans="1:14" ht="15" customHeight="1" x14ac:dyDescent="0.25">
      <c r="A447" s="82">
        <v>42722</v>
      </c>
      <c r="B447" t="s">
        <v>430</v>
      </c>
      <c r="C447" t="s">
        <v>429</v>
      </c>
      <c r="D447" t="s">
        <v>421</v>
      </c>
      <c r="E447" t="s">
        <v>428</v>
      </c>
      <c r="F447" t="s">
        <v>425</v>
      </c>
      <c r="G447" t="s">
        <v>426</v>
      </c>
      <c r="H447" t="s">
        <v>455</v>
      </c>
      <c r="I447" t="s">
        <v>422</v>
      </c>
      <c r="J447" t="s">
        <v>427</v>
      </c>
      <c r="N447" t="s">
        <v>424</v>
      </c>
    </row>
    <row r="448" spans="1:14" ht="15" customHeight="1" x14ac:dyDescent="0.25">
      <c r="A448" s="82">
        <v>42723</v>
      </c>
      <c r="B448" t="s">
        <v>430</v>
      </c>
      <c r="C448" t="s">
        <v>429</v>
      </c>
      <c r="D448" t="s">
        <v>421</v>
      </c>
      <c r="E448" t="s">
        <v>428</v>
      </c>
      <c r="F448" t="s">
        <v>425</v>
      </c>
      <c r="G448" t="s">
        <v>426</v>
      </c>
      <c r="H448" t="s">
        <v>424</v>
      </c>
      <c r="I448" t="s">
        <v>454</v>
      </c>
      <c r="J448" t="s">
        <v>455</v>
      </c>
      <c r="N448" t="s">
        <v>427</v>
      </c>
    </row>
    <row r="449" spans="1:14" ht="15" customHeight="1" x14ac:dyDescent="0.25">
      <c r="A449" s="82">
        <v>42724</v>
      </c>
      <c r="B449" t="s">
        <v>427</v>
      </c>
      <c r="C449" t="s">
        <v>421</v>
      </c>
      <c r="D449" t="s">
        <v>430</v>
      </c>
      <c r="E449" t="s">
        <v>428</v>
      </c>
      <c r="F449" t="s">
        <v>425</v>
      </c>
      <c r="G449" t="s">
        <v>426</v>
      </c>
      <c r="H449" t="s">
        <v>429</v>
      </c>
      <c r="I449" t="s">
        <v>422</v>
      </c>
      <c r="J449" t="s">
        <v>424</v>
      </c>
      <c r="N449" t="s">
        <v>455</v>
      </c>
    </row>
    <row r="450" spans="1:14" ht="15" customHeight="1" x14ac:dyDescent="0.25">
      <c r="A450" s="82">
        <v>42725</v>
      </c>
      <c r="B450" t="s">
        <v>455</v>
      </c>
      <c r="C450" t="s">
        <v>427</v>
      </c>
      <c r="D450" t="s">
        <v>430</v>
      </c>
      <c r="E450" t="s">
        <v>428</v>
      </c>
      <c r="F450" t="s">
        <v>425</v>
      </c>
      <c r="G450" t="s">
        <v>426</v>
      </c>
      <c r="H450" t="s">
        <v>421</v>
      </c>
      <c r="I450" t="s">
        <v>422</v>
      </c>
      <c r="J450" t="s">
        <v>424</v>
      </c>
      <c r="N450" t="s">
        <v>429</v>
      </c>
    </row>
    <row r="451" spans="1:14" ht="15" customHeight="1" x14ac:dyDescent="0.25">
      <c r="A451" s="82">
        <v>42726</v>
      </c>
      <c r="B451" t="s">
        <v>426</v>
      </c>
      <c r="C451" t="s">
        <v>455</v>
      </c>
      <c r="D451" t="s">
        <v>421</v>
      </c>
      <c r="E451" t="s">
        <v>428</v>
      </c>
      <c r="F451" t="s">
        <v>425</v>
      </c>
      <c r="G451" t="s">
        <v>426</v>
      </c>
      <c r="H451" t="s">
        <v>427</v>
      </c>
      <c r="I451" t="s">
        <v>422</v>
      </c>
      <c r="J451" t="s">
        <v>422</v>
      </c>
      <c r="N451" t="s">
        <v>424</v>
      </c>
    </row>
    <row r="452" spans="1:14" ht="15" customHeight="1" x14ac:dyDescent="0.25">
      <c r="A452" s="82">
        <v>42727</v>
      </c>
      <c r="B452" t="s">
        <v>426</v>
      </c>
      <c r="C452" t="s">
        <v>421</v>
      </c>
      <c r="D452" t="s">
        <v>424</v>
      </c>
      <c r="E452" t="s">
        <v>427</v>
      </c>
      <c r="F452" t="s">
        <v>425</v>
      </c>
      <c r="G452" t="s">
        <v>483</v>
      </c>
      <c r="H452" t="s">
        <v>455</v>
      </c>
      <c r="I452" t="s">
        <v>428</v>
      </c>
      <c r="J452" t="s">
        <v>454</v>
      </c>
      <c r="N452" t="s">
        <v>425</v>
      </c>
    </row>
    <row r="453" spans="1:14" ht="15" customHeight="1" x14ac:dyDescent="0.25">
      <c r="A453" s="82">
        <v>42728</v>
      </c>
      <c r="B453" t="s">
        <v>426</v>
      </c>
      <c r="C453" t="s">
        <v>427</v>
      </c>
      <c r="D453" t="s">
        <v>421</v>
      </c>
      <c r="E453" t="s">
        <v>455</v>
      </c>
      <c r="F453" t="s">
        <v>460</v>
      </c>
      <c r="G453" t="s">
        <v>483</v>
      </c>
      <c r="H453" t="s">
        <v>466</v>
      </c>
      <c r="I453" t="s">
        <v>428</v>
      </c>
      <c r="J453" t="s">
        <v>454</v>
      </c>
      <c r="N453" t="s">
        <v>425</v>
      </c>
    </row>
    <row r="454" spans="1:14" ht="15" customHeight="1" x14ac:dyDescent="0.25">
      <c r="A454" s="82">
        <v>42729</v>
      </c>
      <c r="B454" t="s">
        <v>426</v>
      </c>
      <c r="C454" t="s">
        <v>455</v>
      </c>
      <c r="D454" t="s">
        <v>421</v>
      </c>
      <c r="E454" t="s">
        <v>427</v>
      </c>
      <c r="F454" t="s">
        <v>460</v>
      </c>
      <c r="G454" t="s">
        <v>483</v>
      </c>
      <c r="H454" t="s">
        <v>466</v>
      </c>
      <c r="I454" t="s">
        <v>428</v>
      </c>
      <c r="J454" t="s">
        <v>454</v>
      </c>
      <c r="N454" t="s">
        <v>425</v>
      </c>
    </row>
    <row r="455" spans="1:14" ht="15" customHeight="1" x14ac:dyDescent="0.25">
      <c r="A455" s="82">
        <v>42730</v>
      </c>
      <c r="B455" t="s">
        <v>426</v>
      </c>
      <c r="C455" t="s">
        <v>421</v>
      </c>
      <c r="D455" t="s">
        <v>427</v>
      </c>
      <c r="E455" t="s">
        <v>455</v>
      </c>
      <c r="F455" t="s">
        <v>460</v>
      </c>
      <c r="G455" t="s">
        <v>483</v>
      </c>
      <c r="H455" t="s">
        <v>466</v>
      </c>
      <c r="I455" t="s">
        <v>428</v>
      </c>
      <c r="J455" t="s">
        <v>454</v>
      </c>
      <c r="N455" t="s">
        <v>425</v>
      </c>
    </row>
    <row r="456" spans="1:14" ht="15" customHeight="1" x14ac:dyDescent="0.25">
      <c r="A456" s="82">
        <v>42731</v>
      </c>
      <c r="B456" t="s">
        <v>426</v>
      </c>
      <c r="C456" t="s">
        <v>427</v>
      </c>
      <c r="D456" t="s">
        <v>455</v>
      </c>
      <c r="E456" t="s">
        <v>421</v>
      </c>
      <c r="F456" t="s">
        <v>460</v>
      </c>
      <c r="G456" t="s">
        <v>429</v>
      </c>
      <c r="H456" t="s">
        <v>466</v>
      </c>
      <c r="I456" t="s">
        <v>428</v>
      </c>
      <c r="J456" t="s">
        <v>422</v>
      </c>
      <c r="N456" t="s">
        <v>425</v>
      </c>
    </row>
    <row r="457" spans="1:14" ht="15" customHeight="1" x14ac:dyDescent="0.25">
      <c r="A457" s="82">
        <v>42732</v>
      </c>
      <c r="B457" t="s">
        <v>426</v>
      </c>
      <c r="C457" t="s">
        <v>455</v>
      </c>
      <c r="D457" t="s">
        <v>422</v>
      </c>
      <c r="E457" t="s">
        <v>424</v>
      </c>
      <c r="F457" t="s">
        <v>421</v>
      </c>
      <c r="G457" t="s">
        <v>427</v>
      </c>
      <c r="H457" t="s">
        <v>430</v>
      </c>
      <c r="I457" t="s">
        <v>428</v>
      </c>
      <c r="J457" t="s">
        <v>429</v>
      </c>
      <c r="N457" t="s">
        <v>425</v>
      </c>
    </row>
    <row r="458" spans="1:14" ht="15" customHeight="1" x14ac:dyDescent="0.25">
      <c r="A458" s="82">
        <v>42733</v>
      </c>
      <c r="B458" t="s">
        <v>426</v>
      </c>
      <c r="C458" t="s">
        <v>427</v>
      </c>
      <c r="D458" t="s">
        <v>422</v>
      </c>
      <c r="E458" t="s">
        <v>421</v>
      </c>
      <c r="F458" t="s">
        <v>422</v>
      </c>
      <c r="G458" t="s">
        <v>455</v>
      </c>
      <c r="H458" t="s">
        <v>430</v>
      </c>
      <c r="I458" t="s">
        <v>428</v>
      </c>
      <c r="J458" t="s">
        <v>424</v>
      </c>
      <c r="N458" t="s">
        <v>425</v>
      </c>
    </row>
    <row r="459" spans="1:14" ht="15" customHeight="1" x14ac:dyDescent="0.25">
      <c r="A459" s="82">
        <v>42734</v>
      </c>
      <c r="B459" t="s">
        <v>429</v>
      </c>
      <c r="C459" t="s">
        <v>455</v>
      </c>
      <c r="D459" t="s">
        <v>428</v>
      </c>
      <c r="E459" t="s">
        <v>466</v>
      </c>
      <c r="F459" t="s">
        <v>485</v>
      </c>
      <c r="G459" t="s">
        <v>421</v>
      </c>
      <c r="H459" t="s">
        <v>427</v>
      </c>
      <c r="I459" t="s">
        <v>486</v>
      </c>
      <c r="J459" t="s">
        <v>425</v>
      </c>
      <c r="N459" t="s">
        <v>425</v>
      </c>
    </row>
    <row r="460" spans="1:14" ht="15" customHeight="1" x14ac:dyDescent="0.25">
      <c r="A460" s="82">
        <v>42735</v>
      </c>
      <c r="B460" t="s">
        <v>487</v>
      </c>
      <c r="C460" t="s">
        <v>483</v>
      </c>
      <c r="D460" t="s">
        <v>428</v>
      </c>
      <c r="E460" t="s">
        <v>466</v>
      </c>
      <c r="F460" t="s">
        <v>485</v>
      </c>
      <c r="G460" t="s">
        <v>427</v>
      </c>
      <c r="H460" t="s">
        <v>455</v>
      </c>
      <c r="I460" t="s">
        <v>486</v>
      </c>
      <c r="J460" t="s">
        <v>425</v>
      </c>
      <c r="N460" t="s">
        <v>460</v>
      </c>
    </row>
    <row r="461" spans="1:14" ht="15" customHeight="1" x14ac:dyDescent="0.25">
      <c r="A461" s="82">
        <v>42736</v>
      </c>
      <c r="B461" t="s">
        <v>421</v>
      </c>
      <c r="C461" t="s">
        <v>483</v>
      </c>
      <c r="D461" t="s">
        <v>428</v>
      </c>
      <c r="E461" t="s">
        <v>466</v>
      </c>
      <c r="F461" t="s">
        <v>485</v>
      </c>
      <c r="G461" t="s">
        <v>455</v>
      </c>
      <c r="H461" t="s">
        <v>427</v>
      </c>
      <c r="I461" t="s">
        <v>486</v>
      </c>
      <c r="J461" t="s">
        <v>425</v>
      </c>
      <c r="N461" t="s">
        <v>460</v>
      </c>
    </row>
    <row r="462" spans="1:14" ht="15" customHeight="1" x14ac:dyDescent="0.25">
      <c r="A462" s="82">
        <v>42737</v>
      </c>
      <c r="B462" t="s">
        <v>427</v>
      </c>
      <c r="C462" t="s">
        <v>483</v>
      </c>
      <c r="D462" t="s">
        <v>428</v>
      </c>
      <c r="E462" t="s">
        <v>466</v>
      </c>
      <c r="F462" t="s">
        <v>422</v>
      </c>
      <c r="G462" t="s">
        <v>421</v>
      </c>
      <c r="H462" t="s">
        <v>455</v>
      </c>
      <c r="I462" t="s">
        <v>426</v>
      </c>
      <c r="J462" t="s">
        <v>425</v>
      </c>
      <c r="N462" t="s">
        <v>460</v>
      </c>
    </row>
    <row r="463" spans="1:14" ht="15" customHeight="1" x14ac:dyDescent="0.25">
      <c r="A463" s="82">
        <v>42738</v>
      </c>
      <c r="B463" t="s">
        <v>455</v>
      </c>
      <c r="C463" t="s">
        <v>483</v>
      </c>
      <c r="D463" t="s">
        <v>428</v>
      </c>
      <c r="E463" t="s">
        <v>422</v>
      </c>
      <c r="F463" t="s">
        <v>427</v>
      </c>
      <c r="G463" t="s">
        <v>421</v>
      </c>
      <c r="H463" t="s">
        <v>424</v>
      </c>
      <c r="I463" t="s">
        <v>426</v>
      </c>
      <c r="J463" t="s">
        <v>425</v>
      </c>
      <c r="N463" t="s">
        <v>460</v>
      </c>
    </row>
    <row r="464" spans="1:14" ht="15" customHeight="1" x14ac:dyDescent="0.25">
      <c r="A464" s="82">
        <v>42739</v>
      </c>
      <c r="B464" t="s">
        <v>427</v>
      </c>
      <c r="C464" t="s">
        <v>430</v>
      </c>
      <c r="D464" t="s">
        <v>428</v>
      </c>
      <c r="E464" t="s">
        <v>429</v>
      </c>
      <c r="F464" t="s">
        <v>455</v>
      </c>
      <c r="G464" t="s">
        <v>421</v>
      </c>
      <c r="H464" t="s">
        <v>422</v>
      </c>
      <c r="I464" t="s">
        <v>424</v>
      </c>
      <c r="J464" t="s">
        <v>425</v>
      </c>
      <c r="N464" t="s">
        <v>426</v>
      </c>
    </row>
    <row r="465" spans="1:14" ht="15" customHeight="1" x14ac:dyDescent="0.25">
      <c r="A465" s="82">
        <v>42740</v>
      </c>
      <c r="B465" t="s">
        <v>455</v>
      </c>
      <c r="C465" t="s">
        <v>422</v>
      </c>
      <c r="D465" t="s">
        <v>428</v>
      </c>
      <c r="E465" t="s">
        <v>424</v>
      </c>
      <c r="F465" t="s">
        <v>426</v>
      </c>
      <c r="G465" t="s">
        <v>427</v>
      </c>
      <c r="H465" t="s">
        <v>422</v>
      </c>
      <c r="I465" t="s">
        <v>421</v>
      </c>
      <c r="J465" t="s">
        <v>425</v>
      </c>
      <c r="N465" t="s">
        <v>429</v>
      </c>
    </row>
    <row r="466" spans="1:14" ht="15" customHeight="1" x14ac:dyDescent="0.25">
      <c r="A466" s="82">
        <v>42741</v>
      </c>
      <c r="B466" t="s">
        <v>421</v>
      </c>
      <c r="C466" t="s">
        <v>422</v>
      </c>
      <c r="D466" t="s">
        <v>427</v>
      </c>
      <c r="E466" t="s">
        <v>425</v>
      </c>
      <c r="F466" t="s">
        <v>426</v>
      </c>
      <c r="G466" t="s">
        <v>455</v>
      </c>
      <c r="H466" t="s">
        <v>428</v>
      </c>
      <c r="I466" t="s">
        <v>424</v>
      </c>
      <c r="J466" t="s">
        <v>425</v>
      </c>
      <c r="N466" t="s">
        <v>429</v>
      </c>
    </row>
    <row r="467" spans="1:14" ht="15" customHeight="1" x14ac:dyDescent="0.25">
      <c r="A467" s="82">
        <v>42742</v>
      </c>
      <c r="B467" t="s">
        <v>427</v>
      </c>
      <c r="C467" t="s">
        <v>422</v>
      </c>
      <c r="D467" t="s">
        <v>455</v>
      </c>
      <c r="E467" t="s">
        <v>425</v>
      </c>
      <c r="F467" t="s">
        <v>426</v>
      </c>
      <c r="G467" t="s">
        <v>421</v>
      </c>
      <c r="H467" t="s">
        <v>428</v>
      </c>
      <c r="I467" t="s">
        <v>424</v>
      </c>
      <c r="J467" t="s">
        <v>430</v>
      </c>
      <c r="N467" t="s">
        <v>429</v>
      </c>
    </row>
    <row r="468" spans="1:14" ht="15" customHeight="1" x14ac:dyDescent="0.25">
      <c r="A468" s="82">
        <v>42743</v>
      </c>
      <c r="B468" t="s">
        <v>455</v>
      </c>
      <c r="C468" t="s">
        <v>422</v>
      </c>
      <c r="D468" t="s">
        <v>427</v>
      </c>
      <c r="E468" t="s">
        <v>425</v>
      </c>
      <c r="F468" t="s">
        <v>426</v>
      </c>
      <c r="G468" t="s">
        <v>421</v>
      </c>
      <c r="H468" t="s">
        <v>428</v>
      </c>
      <c r="I468" t="s">
        <v>424</v>
      </c>
      <c r="J468" t="s">
        <v>430</v>
      </c>
      <c r="N468" t="s">
        <v>429</v>
      </c>
    </row>
    <row r="469" spans="1:14" ht="15" customHeight="1" x14ac:dyDescent="0.25">
      <c r="A469" s="82">
        <v>42744</v>
      </c>
      <c r="B469" t="s">
        <v>424</v>
      </c>
      <c r="C469" t="s">
        <v>422</v>
      </c>
      <c r="D469" t="s">
        <v>455</v>
      </c>
      <c r="E469" t="s">
        <v>425</v>
      </c>
      <c r="F469" t="s">
        <v>426</v>
      </c>
      <c r="G469" t="s">
        <v>421</v>
      </c>
      <c r="H469" t="s">
        <v>428</v>
      </c>
      <c r="I469" t="s">
        <v>427</v>
      </c>
      <c r="J469" t="s">
        <v>430</v>
      </c>
      <c r="N469" t="s">
        <v>429</v>
      </c>
    </row>
    <row r="470" spans="1:14" ht="15" customHeight="1" x14ac:dyDescent="0.25">
      <c r="A470" s="82">
        <v>42745</v>
      </c>
      <c r="B470" t="s">
        <v>429</v>
      </c>
      <c r="C470" t="s">
        <v>422</v>
      </c>
      <c r="D470" t="s">
        <v>424</v>
      </c>
      <c r="E470" t="s">
        <v>425</v>
      </c>
      <c r="F470" t="s">
        <v>426</v>
      </c>
      <c r="G470" t="s">
        <v>430</v>
      </c>
      <c r="H470" t="s">
        <v>428</v>
      </c>
      <c r="I470" t="s">
        <v>455</v>
      </c>
      <c r="J470" t="s">
        <v>427</v>
      </c>
      <c r="N470" t="s">
        <v>421</v>
      </c>
    </row>
    <row r="471" spans="1:14" ht="15" customHeight="1" x14ac:dyDescent="0.25">
      <c r="A471" s="82">
        <v>42746</v>
      </c>
      <c r="B471" t="s">
        <v>421</v>
      </c>
      <c r="C471" t="s">
        <v>422</v>
      </c>
      <c r="D471" t="s">
        <v>424</v>
      </c>
      <c r="E471" t="s">
        <v>425</v>
      </c>
      <c r="F471" t="s">
        <v>488</v>
      </c>
      <c r="G471" t="s">
        <v>430</v>
      </c>
      <c r="H471" t="s">
        <v>428</v>
      </c>
      <c r="I471" t="s">
        <v>429</v>
      </c>
      <c r="J471" t="s">
        <v>455</v>
      </c>
      <c r="N471" t="s">
        <v>427</v>
      </c>
    </row>
    <row r="472" spans="1:14" ht="15" customHeight="1" x14ac:dyDescent="0.25">
      <c r="A472" s="82">
        <v>42747</v>
      </c>
      <c r="B472" t="s">
        <v>427</v>
      </c>
      <c r="C472" t="s">
        <v>489</v>
      </c>
      <c r="D472" t="s">
        <v>490</v>
      </c>
      <c r="E472" t="s">
        <v>425</v>
      </c>
      <c r="F472" t="s">
        <v>426</v>
      </c>
      <c r="G472" t="s">
        <v>422</v>
      </c>
      <c r="H472" t="s">
        <v>428</v>
      </c>
      <c r="I472" t="s">
        <v>424</v>
      </c>
      <c r="J472" t="s">
        <v>426</v>
      </c>
      <c r="N472" t="s">
        <v>455</v>
      </c>
    </row>
    <row r="473" spans="1:14" ht="15" customHeight="1" x14ac:dyDescent="0.25">
      <c r="A473" s="82">
        <v>42748</v>
      </c>
      <c r="B473" t="s">
        <v>455</v>
      </c>
      <c r="C473" t="s">
        <v>428</v>
      </c>
      <c r="D473" t="s">
        <v>424</v>
      </c>
      <c r="E473" t="s">
        <v>425</v>
      </c>
      <c r="F473" t="s">
        <v>429</v>
      </c>
      <c r="G473" t="s">
        <v>422</v>
      </c>
      <c r="H473" t="s">
        <v>427</v>
      </c>
      <c r="I473" t="s">
        <v>425</v>
      </c>
      <c r="J473" t="s">
        <v>426</v>
      </c>
      <c r="N473" t="s">
        <v>421</v>
      </c>
    </row>
    <row r="474" spans="1:14" ht="15" customHeight="1" x14ac:dyDescent="0.25">
      <c r="A474" s="82">
        <v>42749</v>
      </c>
      <c r="B474" t="s">
        <v>421</v>
      </c>
      <c r="C474" t="s">
        <v>428</v>
      </c>
      <c r="D474" t="s">
        <v>424</v>
      </c>
      <c r="E474" t="s">
        <v>430</v>
      </c>
      <c r="F474" t="s">
        <v>429</v>
      </c>
      <c r="G474" t="s">
        <v>422</v>
      </c>
      <c r="H474" t="s">
        <v>455</v>
      </c>
      <c r="I474" t="s">
        <v>425</v>
      </c>
      <c r="J474" t="s">
        <v>426</v>
      </c>
      <c r="N474" t="s">
        <v>427</v>
      </c>
    </row>
    <row r="475" spans="1:14" ht="15" customHeight="1" x14ac:dyDescent="0.25">
      <c r="A475" s="82">
        <v>42750</v>
      </c>
      <c r="B475" t="s">
        <v>421</v>
      </c>
      <c r="C475" t="s">
        <v>428</v>
      </c>
      <c r="D475" t="s">
        <v>424</v>
      </c>
      <c r="E475" t="s">
        <v>430</v>
      </c>
      <c r="F475" t="s">
        <v>491</v>
      </c>
      <c r="G475" t="s">
        <v>422</v>
      </c>
      <c r="H475" t="s">
        <v>427</v>
      </c>
      <c r="I475" t="s">
        <v>425</v>
      </c>
      <c r="J475" t="s">
        <v>426</v>
      </c>
      <c r="N475" t="s">
        <v>455</v>
      </c>
    </row>
    <row r="476" spans="1:14" ht="15" customHeight="1" x14ac:dyDescent="0.25">
      <c r="A476" s="82">
        <v>42751</v>
      </c>
      <c r="B476" t="s">
        <v>421</v>
      </c>
      <c r="C476" t="s">
        <v>428</v>
      </c>
      <c r="D476" t="s">
        <v>427</v>
      </c>
      <c r="E476" t="s">
        <v>430</v>
      </c>
      <c r="F476" t="s">
        <v>429</v>
      </c>
      <c r="G476" t="s">
        <v>422</v>
      </c>
      <c r="H476" t="s">
        <v>455</v>
      </c>
      <c r="I476" t="s">
        <v>425</v>
      </c>
      <c r="J476" t="s">
        <v>426</v>
      </c>
      <c r="N476" t="s">
        <v>424</v>
      </c>
    </row>
    <row r="477" spans="1:14" ht="15" customHeight="1" x14ac:dyDescent="0.25">
      <c r="A477" s="82">
        <v>42752</v>
      </c>
      <c r="B477" t="s">
        <v>430</v>
      </c>
      <c r="C477" t="s">
        <v>428</v>
      </c>
      <c r="D477" t="s">
        <v>455</v>
      </c>
      <c r="E477" t="s">
        <v>427</v>
      </c>
      <c r="F477" t="s">
        <v>421</v>
      </c>
      <c r="G477" t="s">
        <v>422</v>
      </c>
      <c r="H477" t="s">
        <v>424</v>
      </c>
      <c r="I477" t="s">
        <v>425</v>
      </c>
      <c r="J477" t="s">
        <v>426</v>
      </c>
      <c r="N477" t="s">
        <v>429</v>
      </c>
    </row>
    <row r="478" spans="1:14" ht="15" customHeight="1" x14ac:dyDescent="0.25">
      <c r="A478" s="82">
        <v>42753</v>
      </c>
      <c r="B478" t="s">
        <v>430</v>
      </c>
      <c r="C478" t="s">
        <v>428</v>
      </c>
      <c r="D478" t="s">
        <v>429</v>
      </c>
      <c r="E478" t="s">
        <v>455</v>
      </c>
      <c r="F478" t="s">
        <v>427</v>
      </c>
      <c r="G478" t="s">
        <v>480</v>
      </c>
      <c r="H478" t="s">
        <v>424</v>
      </c>
      <c r="I478" t="s">
        <v>425</v>
      </c>
      <c r="J478" t="s">
        <v>426</v>
      </c>
      <c r="N478" t="s">
        <v>421</v>
      </c>
    </row>
    <row r="479" spans="1:14" ht="15" customHeight="1" x14ac:dyDescent="0.25">
      <c r="A479" s="82">
        <v>42754</v>
      </c>
      <c r="B479" t="s">
        <v>422</v>
      </c>
      <c r="C479" t="s">
        <v>428</v>
      </c>
      <c r="D479" t="s">
        <v>424</v>
      </c>
      <c r="E479" t="s">
        <v>426</v>
      </c>
      <c r="F479" t="s">
        <v>455</v>
      </c>
      <c r="G479" t="s">
        <v>422</v>
      </c>
      <c r="H479" t="s">
        <v>421</v>
      </c>
      <c r="I479" t="s">
        <v>425</v>
      </c>
      <c r="J479" t="s">
        <v>426</v>
      </c>
      <c r="N479" t="s">
        <v>427</v>
      </c>
    </row>
    <row r="480" spans="1:14" ht="15" customHeight="1" x14ac:dyDescent="0.25">
      <c r="A480" s="82">
        <v>42755</v>
      </c>
      <c r="B480" t="s">
        <v>422</v>
      </c>
      <c r="C480" t="s">
        <v>427</v>
      </c>
      <c r="D480" t="s">
        <v>425</v>
      </c>
      <c r="E480" t="s">
        <v>492</v>
      </c>
      <c r="F480" t="s">
        <v>468</v>
      </c>
      <c r="G480" t="s">
        <v>428</v>
      </c>
      <c r="H480" t="s">
        <v>424</v>
      </c>
      <c r="I480" t="s">
        <v>425</v>
      </c>
      <c r="J480" t="s">
        <v>429</v>
      </c>
      <c r="N480" t="s">
        <v>455</v>
      </c>
    </row>
    <row r="481" spans="1:14" ht="15" customHeight="1" x14ac:dyDescent="0.25">
      <c r="A481" s="82">
        <v>42756</v>
      </c>
      <c r="B481" t="s">
        <v>422</v>
      </c>
      <c r="C481" t="s">
        <v>455</v>
      </c>
      <c r="D481" t="s">
        <v>425</v>
      </c>
      <c r="E481" t="s">
        <v>492</v>
      </c>
      <c r="F481" t="s">
        <v>427</v>
      </c>
      <c r="G481" t="s">
        <v>428</v>
      </c>
      <c r="H481" t="s">
        <v>424</v>
      </c>
      <c r="I481" t="s">
        <v>430</v>
      </c>
      <c r="J481" t="s">
        <v>429</v>
      </c>
      <c r="N481" t="s">
        <v>421</v>
      </c>
    </row>
    <row r="482" spans="1:14" ht="15" customHeight="1" x14ac:dyDescent="0.25">
      <c r="A482" s="82">
        <v>42757</v>
      </c>
      <c r="B482" t="s">
        <v>422</v>
      </c>
      <c r="C482" t="s">
        <v>427</v>
      </c>
      <c r="D482" t="s">
        <v>425</v>
      </c>
      <c r="E482" t="s">
        <v>426</v>
      </c>
      <c r="F482" t="s">
        <v>455</v>
      </c>
      <c r="G482" t="s">
        <v>428</v>
      </c>
      <c r="H482" t="s">
        <v>424</v>
      </c>
      <c r="I482" t="s">
        <v>430</v>
      </c>
      <c r="J482" t="s">
        <v>429</v>
      </c>
      <c r="N482" t="s">
        <v>421</v>
      </c>
    </row>
    <row r="483" spans="1:14" ht="15" customHeight="1" x14ac:dyDescent="0.25">
      <c r="A483" s="82">
        <v>42758</v>
      </c>
      <c r="B483" t="s">
        <v>422</v>
      </c>
      <c r="C483" t="s">
        <v>455</v>
      </c>
      <c r="D483" t="s">
        <v>425</v>
      </c>
      <c r="E483" t="s">
        <v>426</v>
      </c>
      <c r="F483" t="s">
        <v>424</v>
      </c>
      <c r="G483" t="s">
        <v>428</v>
      </c>
      <c r="H483" t="s">
        <v>427</v>
      </c>
      <c r="I483" t="s">
        <v>430</v>
      </c>
      <c r="J483" t="s">
        <v>429</v>
      </c>
      <c r="N483" t="s">
        <v>421</v>
      </c>
    </row>
    <row r="484" spans="1:14" ht="15" customHeight="1" x14ac:dyDescent="0.25">
      <c r="A484" s="82">
        <v>42759</v>
      </c>
      <c r="B484" t="s">
        <v>422</v>
      </c>
      <c r="C484" t="s">
        <v>424</v>
      </c>
      <c r="D484" t="s">
        <v>425</v>
      </c>
      <c r="E484" t="s">
        <v>426</v>
      </c>
      <c r="F484" t="s">
        <v>429</v>
      </c>
      <c r="G484" t="s">
        <v>428</v>
      </c>
      <c r="H484" t="s">
        <v>455</v>
      </c>
      <c r="I484" t="s">
        <v>427</v>
      </c>
      <c r="J484" t="s">
        <v>421</v>
      </c>
      <c r="N484" t="s">
        <v>430</v>
      </c>
    </row>
    <row r="485" spans="1:14" ht="15" customHeight="1" x14ac:dyDescent="0.25">
      <c r="A485" s="82">
        <v>42760</v>
      </c>
      <c r="B485" t="s">
        <v>493</v>
      </c>
      <c r="C485" t="s">
        <v>424</v>
      </c>
      <c r="D485" t="s">
        <v>425</v>
      </c>
      <c r="E485" t="s">
        <v>494</v>
      </c>
      <c r="F485" t="s">
        <v>421</v>
      </c>
      <c r="G485" t="s">
        <v>428</v>
      </c>
      <c r="H485" t="s">
        <v>429</v>
      </c>
      <c r="I485" t="s">
        <v>455</v>
      </c>
      <c r="J485" t="s">
        <v>427</v>
      </c>
      <c r="N485" t="s">
        <v>430</v>
      </c>
    </row>
    <row r="486" spans="1:14" ht="15" customHeight="1" x14ac:dyDescent="0.25">
      <c r="A486" s="82">
        <v>42761</v>
      </c>
      <c r="B486" t="s">
        <v>493</v>
      </c>
      <c r="C486" t="s">
        <v>421</v>
      </c>
      <c r="D486" t="s">
        <v>425</v>
      </c>
      <c r="E486" t="s">
        <v>494</v>
      </c>
      <c r="F486" t="s">
        <v>427</v>
      </c>
      <c r="G486" t="s">
        <v>428</v>
      </c>
      <c r="H486" t="s">
        <v>424</v>
      </c>
      <c r="I486" t="s">
        <v>426</v>
      </c>
      <c r="J486" t="s">
        <v>455</v>
      </c>
      <c r="N486" t="s">
        <v>493</v>
      </c>
    </row>
    <row r="487" spans="1:14" ht="15" customHeight="1" x14ac:dyDescent="0.25">
      <c r="A487" s="82">
        <v>42762</v>
      </c>
      <c r="B487" t="s">
        <v>428</v>
      </c>
      <c r="C487" t="s">
        <v>424</v>
      </c>
      <c r="D487" t="s">
        <v>425</v>
      </c>
      <c r="E487" t="s">
        <v>429</v>
      </c>
      <c r="F487" t="s">
        <v>455</v>
      </c>
      <c r="G487" t="s">
        <v>427</v>
      </c>
      <c r="H487" t="s">
        <v>425</v>
      </c>
      <c r="I487" t="s">
        <v>426</v>
      </c>
      <c r="J487" t="s">
        <v>421</v>
      </c>
      <c r="N487" t="s">
        <v>422</v>
      </c>
    </row>
    <row r="488" spans="1:14" ht="15" customHeight="1" x14ac:dyDescent="0.25">
      <c r="A488" s="82">
        <v>42763</v>
      </c>
      <c r="B488" t="s">
        <v>428</v>
      </c>
      <c r="C488" t="s">
        <v>424</v>
      </c>
      <c r="D488" t="s">
        <v>430</v>
      </c>
      <c r="E488" t="s">
        <v>429</v>
      </c>
      <c r="F488" t="s">
        <v>495</v>
      </c>
      <c r="G488" t="s">
        <v>455</v>
      </c>
      <c r="H488" t="s">
        <v>425</v>
      </c>
      <c r="I488" t="s">
        <v>426</v>
      </c>
      <c r="J488" t="s">
        <v>427</v>
      </c>
      <c r="N488" t="s">
        <v>422</v>
      </c>
    </row>
    <row r="489" spans="1:14" ht="15" customHeight="1" x14ac:dyDescent="0.25">
      <c r="A489" s="82">
        <v>42764</v>
      </c>
      <c r="B489" t="s">
        <v>428</v>
      </c>
      <c r="C489" t="s">
        <v>424</v>
      </c>
      <c r="D489" t="s">
        <v>430</v>
      </c>
      <c r="E489" t="s">
        <v>496</v>
      </c>
      <c r="F489" t="s">
        <v>421</v>
      </c>
      <c r="G489" t="s">
        <v>427</v>
      </c>
      <c r="H489" t="s">
        <v>425</v>
      </c>
      <c r="I489" t="s">
        <v>494</v>
      </c>
      <c r="J489" t="s">
        <v>455</v>
      </c>
      <c r="N489" t="s">
        <v>493</v>
      </c>
    </row>
    <row r="490" spans="1:14" ht="15" customHeight="1" x14ac:dyDescent="0.25">
      <c r="A490" s="82">
        <v>42765</v>
      </c>
      <c r="B490" t="s">
        <v>428</v>
      </c>
      <c r="C490" t="s">
        <v>427</v>
      </c>
      <c r="D490" t="s">
        <v>430</v>
      </c>
      <c r="E490" t="s">
        <v>483</v>
      </c>
      <c r="F490" t="s">
        <v>421</v>
      </c>
      <c r="G490" t="s">
        <v>455</v>
      </c>
      <c r="H490" t="s">
        <v>425</v>
      </c>
      <c r="I490" t="s">
        <v>447</v>
      </c>
      <c r="J490" t="s">
        <v>424</v>
      </c>
      <c r="N490" t="s">
        <v>454</v>
      </c>
    </row>
    <row r="491" spans="1:14" ht="15" customHeight="1" x14ac:dyDescent="0.25">
      <c r="A491" s="82">
        <v>42766</v>
      </c>
      <c r="B491" t="s">
        <v>428</v>
      </c>
      <c r="C491" t="s">
        <v>455</v>
      </c>
      <c r="D491" t="s">
        <v>427</v>
      </c>
      <c r="E491" t="s">
        <v>421</v>
      </c>
      <c r="F491" t="s">
        <v>430</v>
      </c>
      <c r="G491" t="s">
        <v>424</v>
      </c>
      <c r="H491" t="s">
        <v>425</v>
      </c>
      <c r="I491" t="s">
        <v>426</v>
      </c>
      <c r="J491" t="s">
        <v>429</v>
      </c>
      <c r="N491" t="s">
        <v>422</v>
      </c>
    </row>
    <row r="492" spans="1:14" ht="15" customHeight="1" x14ac:dyDescent="0.25">
      <c r="A492" s="82">
        <v>42767</v>
      </c>
      <c r="B492" t="s">
        <v>428</v>
      </c>
      <c r="C492" t="s">
        <v>429</v>
      </c>
      <c r="D492" t="s">
        <v>455</v>
      </c>
      <c r="E492" t="s">
        <v>427</v>
      </c>
      <c r="F492" t="s">
        <v>430</v>
      </c>
      <c r="G492" t="s">
        <v>424</v>
      </c>
      <c r="H492" t="s">
        <v>425</v>
      </c>
      <c r="I492" t="s">
        <v>426</v>
      </c>
      <c r="J492" t="s">
        <v>421</v>
      </c>
      <c r="N492" t="s">
        <v>422</v>
      </c>
    </row>
    <row r="493" spans="1:14" ht="15" customHeight="1" x14ac:dyDescent="0.25">
      <c r="A493" s="82">
        <v>42768</v>
      </c>
      <c r="B493" t="s">
        <v>428</v>
      </c>
      <c r="C493" t="s">
        <v>424</v>
      </c>
      <c r="D493" t="s">
        <v>426</v>
      </c>
      <c r="E493" t="s">
        <v>455</v>
      </c>
      <c r="F493" t="s">
        <v>422</v>
      </c>
      <c r="G493" t="s">
        <v>424</v>
      </c>
      <c r="H493" t="s">
        <v>425</v>
      </c>
      <c r="I493" t="s">
        <v>426</v>
      </c>
      <c r="J493" t="s">
        <v>427</v>
      </c>
      <c r="N493" t="s">
        <v>422</v>
      </c>
    </row>
    <row r="494" spans="1:14" ht="15" customHeight="1" x14ac:dyDescent="0.25">
      <c r="A494" s="82">
        <v>42769</v>
      </c>
      <c r="B494" t="s">
        <v>427</v>
      </c>
      <c r="C494" t="s">
        <v>425</v>
      </c>
      <c r="D494" t="s">
        <v>426</v>
      </c>
      <c r="E494" t="s">
        <v>421</v>
      </c>
      <c r="F494" t="s">
        <v>422</v>
      </c>
      <c r="G494" t="s">
        <v>424</v>
      </c>
      <c r="H494" t="s">
        <v>425</v>
      </c>
      <c r="I494" t="s">
        <v>429</v>
      </c>
      <c r="J494" t="s">
        <v>455</v>
      </c>
      <c r="N494" t="s">
        <v>428</v>
      </c>
    </row>
    <row r="495" spans="1:14" ht="15" customHeight="1" x14ac:dyDescent="0.25">
      <c r="A495" s="82">
        <v>42770</v>
      </c>
      <c r="B495" t="s">
        <v>455</v>
      </c>
      <c r="C495" t="s">
        <v>425</v>
      </c>
      <c r="D495" t="s">
        <v>426</v>
      </c>
      <c r="E495" t="s">
        <v>427</v>
      </c>
      <c r="F495" t="s">
        <v>422</v>
      </c>
      <c r="G495" t="s">
        <v>424</v>
      </c>
      <c r="H495" t="s">
        <v>430</v>
      </c>
      <c r="I495" t="s">
        <v>429</v>
      </c>
      <c r="J495" t="s">
        <v>421</v>
      </c>
      <c r="N495" t="s">
        <v>428</v>
      </c>
    </row>
    <row r="496" spans="1:14" ht="15" customHeight="1" x14ac:dyDescent="0.25">
      <c r="A496" s="82">
        <v>42771</v>
      </c>
      <c r="B496" t="s">
        <v>427</v>
      </c>
      <c r="C496" t="s">
        <v>425</v>
      </c>
      <c r="D496" t="s">
        <v>426</v>
      </c>
      <c r="E496" t="s">
        <v>455</v>
      </c>
      <c r="F496" t="s">
        <v>422</v>
      </c>
      <c r="G496" t="s">
        <v>424</v>
      </c>
      <c r="H496" t="s">
        <v>430</v>
      </c>
      <c r="I496" t="s">
        <v>429</v>
      </c>
      <c r="J496" t="s">
        <v>421</v>
      </c>
      <c r="N496" t="s">
        <v>428</v>
      </c>
    </row>
    <row r="497" spans="1:14" ht="15" customHeight="1" x14ac:dyDescent="0.25">
      <c r="A497" s="82">
        <v>42772</v>
      </c>
      <c r="B497" t="s">
        <v>455</v>
      </c>
      <c r="C497" t="s">
        <v>425</v>
      </c>
      <c r="D497" t="s">
        <v>426</v>
      </c>
      <c r="E497" t="s">
        <v>424</v>
      </c>
      <c r="F497" t="s">
        <v>422</v>
      </c>
      <c r="G497" t="s">
        <v>427</v>
      </c>
      <c r="H497" t="s">
        <v>430</v>
      </c>
      <c r="I497" t="s">
        <v>429</v>
      </c>
      <c r="J497" t="s">
        <v>421</v>
      </c>
      <c r="N497" t="s">
        <v>428</v>
      </c>
    </row>
    <row r="498" spans="1:14" ht="15" customHeight="1" x14ac:dyDescent="0.25">
      <c r="A498" s="82">
        <v>42773</v>
      </c>
      <c r="B498" t="s">
        <v>424</v>
      </c>
      <c r="C498" t="s">
        <v>425</v>
      </c>
      <c r="D498" t="s">
        <v>426</v>
      </c>
      <c r="E498" t="s">
        <v>429</v>
      </c>
      <c r="F498" t="s">
        <v>422</v>
      </c>
      <c r="G498" t="s">
        <v>455</v>
      </c>
      <c r="H498" t="s">
        <v>427</v>
      </c>
      <c r="I498" t="s">
        <v>421</v>
      </c>
      <c r="J498" t="s">
        <v>430</v>
      </c>
      <c r="N498" t="s">
        <v>428</v>
      </c>
    </row>
    <row r="499" spans="1:14" ht="15" customHeight="1" x14ac:dyDescent="0.25">
      <c r="A499" s="82">
        <v>42774</v>
      </c>
      <c r="B499" t="s">
        <v>424</v>
      </c>
      <c r="C499" t="s">
        <v>425</v>
      </c>
      <c r="D499" t="s">
        <v>426</v>
      </c>
      <c r="E499" t="s">
        <v>421</v>
      </c>
      <c r="F499" t="s">
        <v>422</v>
      </c>
      <c r="G499" t="s">
        <v>429</v>
      </c>
      <c r="H499" t="s">
        <v>455</v>
      </c>
      <c r="I499" t="s">
        <v>427</v>
      </c>
      <c r="J499" t="s">
        <v>430</v>
      </c>
      <c r="N499" t="s">
        <v>428</v>
      </c>
    </row>
    <row r="500" spans="1:14" ht="15" customHeight="1" x14ac:dyDescent="0.25">
      <c r="A500" s="82">
        <v>42775</v>
      </c>
      <c r="B500" t="s">
        <v>421</v>
      </c>
      <c r="C500" t="s">
        <v>425</v>
      </c>
      <c r="D500" t="s">
        <v>426</v>
      </c>
      <c r="E500" t="s">
        <v>427</v>
      </c>
      <c r="F500" t="s">
        <v>422</v>
      </c>
      <c r="G500" t="s">
        <v>421</v>
      </c>
      <c r="H500" t="s">
        <v>426</v>
      </c>
      <c r="I500" t="s">
        <v>455</v>
      </c>
      <c r="J500" t="s">
        <v>422</v>
      </c>
      <c r="N500" t="s">
        <v>428</v>
      </c>
    </row>
    <row r="501" spans="1:14" ht="15" customHeight="1" x14ac:dyDescent="0.25">
      <c r="A501" s="82">
        <v>42776</v>
      </c>
      <c r="B501" t="s">
        <v>424</v>
      </c>
      <c r="C501" t="s">
        <v>425</v>
      </c>
      <c r="D501" t="s">
        <v>429</v>
      </c>
      <c r="E501" t="s">
        <v>455</v>
      </c>
      <c r="F501" t="s">
        <v>428</v>
      </c>
      <c r="G501" t="s">
        <v>425</v>
      </c>
      <c r="H501" t="s">
        <v>492</v>
      </c>
      <c r="I501" t="s">
        <v>421</v>
      </c>
      <c r="J501" t="s">
        <v>422</v>
      </c>
      <c r="N501" t="s">
        <v>427</v>
      </c>
    </row>
    <row r="502" spans="1:14" ht="15" customHeight="1" x14ac:dyDescent="0.25">
      <c r="A502" s="82">
        <v>42777</v>
      </c>
      <c r="B502" t="s">
        <v>424</v>
      </c>
      <c r="C502" t="s">
        <v>430</v>
      </c>
      <c r="D502" t="s">
        <v>429</v>
      </c>
      <c r="E502" t="s">
        <v>421</v>
      </c>
      <c r="F502" t="s">
        <v>428</v>
      </c>
      <c r="G502" t="s">
        <v>425</v>
      </c>
      <c r="H502" t="s">
        <v>426</v>
      </c>
      <c r="I502" t="s">
        <v>427</v>
      </c>
      <c r="J502" t="s">
        <v>480</v>
      </c>
      <c r="N502" t="s">
        <v>455</v>
      </c>
    </row>
    <row r="503" spans="1:14" ht="15" customHeight="1" x14ac:dyDescent="0.25">
      <c r="A503" s="82">
        <v>42778</v>
      </c>
      <c r="B503" t="s">
        <v>424</v>
      </c>
      <c r="C503" t="s">
        <v>430</v>
      </c>
      <c r="D503" t="s">
        <v>429</v>
      </c>
      <c r="E503" t="s">
        <v>421</v>
      </c>
      <c r="F503" t="s">
        <v>428</v>
      </c>
      <c r="G503" t="s">
        <v>425</v>
      </c>
      <c r="H503" t="s">
        <v>426</v>
      </c>
      <c r="I503" t="s">
        <v>455</v>
      </c>
      <c r="J503" t="s">
        <v>422</v>
      </c>
      <c r="N503" t="s">
        <v>427</v>
      </c>
    </row>
    <row r="504" spans="1:14" ht="15" customHeight="1" x14ac:dyDescent="0.25">
      <c r="A504" s="82">
        <v>42779</v>
      </c>
      <c r="B504" t="s">
        <v>427</v>
      </c>
      <c r="C504" t="s">
        <v>430</v>
      </c>
      <c r="D504" t="s">
        <v>429</v>
      </c>
      <c r="E504" t="s">
        <v>421</v>
      </c>
      <c r="F504" t="s">
        <v>428</v>
      </c>
      <c r="G504" t="s">
        <v>425</v>
      </c>
      <c r="H504" t="s">
        <v>426</v>
      </c>
      <c r="I504" t="s">
        <v>424</v>
      </c>
      <c r="J504" t="s">
        <v>422</v>
      </c>
      <c r="N504" t="s">
        <v>455</v>
      </c>
    </row>
    <row r="505" spans="1:14" ht="15" customHeight="1" x14ac:dyDescent="0.25">
      <c r="A505" s="82">
        <v>42780</v>
      </c>
      <c r="B505" t="s">
        <v>455</v>
      </c>
      <c r="C505" t="s">
        <v>427</v>
      </c>
      <c r="D505" t="s">
        <v>421</v>
      </c>
      <c r="E505" t="s">
        <v>430</v>
      </c>
      <c r="F505" t="s">
        <v>428</v>
      </c>
      <c r="G505" t="s">
        <v>425</v>
      </c>
      <c r="H505" t="s">
        <v>426</v>
      </c>
      <c r="I505" t="s">
        <v>478</v>
      </c>
      <c r="J505" t="s">
        <v>422</v>
      </c>
      <c r="N505" t="s">
        <v>439</v>
      </c>
    </row>
    <row r="506" spans="1:14" ht="15" customHeight="1" x14ac:dyDescent="0.25">
      <c r="A506" s="82">
        <v>42781</v>
      </c>
      <c r="B506" t="s">
        <v>448</v>
      </c>
      <c r="C506" t="s">
        <v>455</v>
      </c>
      <c r="D506" t="s">
        <v>427</v>
      </c>
      <c r="E506" t="s">
        <v>430</v>
      </c>
      <c r="F506" t="s">
        <v>428</v>
      </c>
      <c r="G506" t="s">
        <v>425</v>
      </c>
      <c r="H506" t="s">
        <v>426</v>
      </c>
      <c r="I506" t="s">
        <v>421</v>
      </c>
      <c r="J506" t="s">
        <v>422</v>
      </c>
      <c r="N506" t="s">
        <v>424</v>
      </c>
    </row>
    <row r="507" spans="1:14" ht="15" customHeight="1" x14ac:dyDescent="0.25">
      <c r="A507" s="82">
        <v>42782</v>
      </c>
      <c r="B507" t="s">
        <v>439</v>
      </c>
      <c r="C507" t="s">
        <v>426</v>
      </c>
      <c r="D507" t="s">
        <v>455</v>
      </c>
      <c r="E507" t="s">
        <v>450</v>
      </c>
      <c r="F507" t="s">
        <v>428</v>
      </c>
      <c r="G507" t="s">
        <v>425</v>
      </c>
      <c r="H507" t="s">
        <v>426</v>
      </c>
      <c r="I507" t="s">
        <v>427</v>
      </c>
      <c r="J507" t="s">
        <v>454</v>
      </c>
      <c r="N507" t="s">
        <v>421</v>
      </c>
    </row>
    <row r="508" spans="1:14" ht="15" customHeight="1" x14ac:dyDescent="0.25">
      <c r="A508" s="82">
        <v>42783</v>
      </c>
      <c r="B508" t="s">
        <v>425</v>
      </c>
      <c r="C508" t="s">
        <v>426</v>
      </c>
      <c r="D508" t="s">
        <v>421</v>
      </c>
      <c r="E508" t="s">
        <v>422</v>
      </c>
      <c r="F508" t="s">
        <v>427</v>
      </c>
      <c r="G508" t="s">
        <v>425</v>
      </c>
      <c r="H508" t="s">
        <v>429</v>
      </c>
      <c r="I508" t="s">
        <v>455</v>
      </c>
      <c r="J508" t="s">
        <v>428</v>
      </c>
      <c r="N508" t="s">
        <v>424</v>
      </c>
    </row>
    <row r="509" spans="1:14" ht="15" customHeight="1" x14ac:dyDescent="0.25">
      <c r="A509" s="82">
        <v>42784</v>
      </c>
      <c r="B509" t="s">
        <v>425</v>
      </c>
      <c r="C509" t="s">
        <v>426</v>
      </c>
      <c r="D509" t="s">
        <v>427</v>
      </c>
      <c r="E509" t="s">
        <v>422</v>
      </c>
      <c r="F509" t="s">
        <v>455</v>
      </c>
      <c r="G509" t="s">
        <v>430</v>
      </c>
      <c r="H509" t="s">
        <v>429</v>
      </c>
      <c r="I509" t="s">
        <v>421</v>
      </c>
      <c r="J509" t="s">
        <v>428</v>
      </c>
      <c r="N509" t="s">
        <v>424</v>
      </c>
    </row>
    <row r="510" spans="1:14" ht="15" customHeight="1" x14ac:dyDescent="0.25">
      <c r="A510" s="82">
        <v>42785</v>
      </c>
      <c r="B510" t="s">
        <v>425</v>
      </c>
      <c r="C510" t="s">
        <v>426</v>
      </c>
      <c r="D510" t="s">
        <v>455</v>
      </c>
      <c r="E510" t="s">
        <v>422</v>
      </c>
      <c r="F510" t="s">
        <v>427</v>
      </c>
      <c r="G510" t="s">
        <v>430</v>
      </c>
      <c r="H510" t="s">
        <v>429</v>
      </c>
      <c r="I510" t="s">
        <v>421</v>
      </c>
      <c r="J510" t="s">
        <v>428</v>
      </c>
      <c r="N510" t="s">
        <v>424</v>
      </c>
    </row>
    <row r="511" spans="1:14" ht="15" customHeight="1" x14ac:dyDescent="0.25">
      <c r="A511" s="82">
        <v>42786</v>
      </c>
      <c r="B511" t="s">
        <v>425</v>
      </c>
      <c r="C511" t="s">
        <v>426</v>
      </c>
      <c r="D511" t="s">
        <v>424</v>
      </c>
      <c r="E511" t="s">
        <v>422</v>
      </c>
      <c r="F511" t="s">
        <v>455</v>
      </c>
      <c r="G511" t="s">
        <v>430</v>
      </c>
      <c r="H511" t="s">
        <v>429</v>
      </c>
      <c r="I511" t="s">
        <v>421</v>
      </c>
      <c r="J511" t="s">
        <v>428</v>
      </c>
      <c r="N511" t="s">
        <v>427</v>
      </c>
    </row>
    <row r="512" spans="1:14" ht="15" customHeight="1" x14ac:dyDescent="0.25">
      <c r="A512" s="82">
        <v>42787</v>
      </c>
      <c r="B512" t="s">
        <v>425</v>
      </c>
      <c r="C512" t="s">
        <v>426</v>
      </c>
      <c r="D512" t="s">
        <v>429</v>
      </c>
      <c r="E512" t="s">
        <v>422</v>
      </c>
      <c r="F512" t="s">
        <v>424</v>
      </c>
      <c r="G512" t="s">
        <v>427</v>
      </c>
      <c r="H512" t="s">
        <v>421</v>
      </c>
      <c r="I512" t="s">
        <v>430</v>
      </c>
      <c r="J512" t="s">
        <v>428</v>
      </c>
      <c r="N512" t="s">
        <v>455</v>
      </c>
    </row>
    <row r="513" spans="1:14" ht="15" customHeight="1" x14ac:dyDescent="0.25">
      <c r="A513" s="82">
        <v>42788</v>
      </c>
      <c r="B513" t="s">
        <v>425</v>
      </c>
      <c r="C513" t="s">
        <v>426</v>
      </c>
      <c r="D513" t="s">
        <v>421</v>
      </c>
      <c r="E513" t="s">
        <v>422</v>
      </c>
      <c r="F513" t="s">
        <v>424</v>
      </c>
      <c r="G513" t="s">
        <v>455</v>
      </c>
      <c r="H513" t="s">
        <v>427</v>
      </c>
      <c r="I513" t="s">
        <v>430</v>
      </c>
      <c r="J513" t="s">
        <v>428</v>
      </c>
      <c r="N513" t="s">
        <v>429</v>
      </c>
    </row>
    <row r="514" spans="1:14" ht="15" customHeight="1" x14ac:dyDescent="0.25">
      <c r="A514" s="82">
        <v>42789</v>
      </c>
      <c r="B514" t="s">
        <v>425</v>
      </c>
      <c r="C514" t="s">
        <v>426</v>
      </c>
      <c r="D514" t="s">
        <v>427</v>
      </c>
      <c r="E514" t="s">
        <v>422</v>
      </c>
      <c r="F514" t="s">
        <v>421</v>
      </c>
      <c r="G514" t="s">
        <v>426</v>
      </c>
      <c r="H514" t="s">
        <v>455</v>
      </c>
      <c r="I514" t="s">
        <v>422</v>
      </c>
      <c r="J514" t="s">
        <v>428</v>
      </c>
      <c r="N514" t="s">
        <v>424</v>
      </c>
    </row>
    <row r="515" spans="1:14" ht="15" customHeight="1" x14ac:dyDescent="0.25">
      <c r="A515" s="82">
        <v>42790</v>
      </c>
      <c r="B515" t="s">
        <v>425</v>
      </c>
      <c r="C515" t="s">
        <v>429</v>
      </c>
      <c r="D515" t="s">
        <v>455</v>
      </c>
      <c r="E515" t="s">
        <v>428</v>
      </c>
      <c r="F515" t="s">
        <v>424</v>
      </c>
      <c r="G515" t="s">
        <v>426</v>
      </c>
      <c r="H515" t="s">
        <v>421</v>
      </c>
      <c r="I515" t="s">
        <v>422</v>
      </c>
      <c r="J515" t="s">
        <v>427</v>
      </c>
      <c r="N515" t="s">
        <v>425</v>
      </c>
    </row>
    <row r="516" spans="1:14" ht="15" customHeight="1" x14ac:dyDescent="0.25">
      <c r="A516" s="82">
        <v>42791</v>
      </c>
      <c r="B516" t="s">
        <v>430</v>
      </c>
      <c r="C516" t="s">
        <v>429</v>
      </c>
      <c r="D516" t="s">
        <v>421</v>
      </c>
      <c r="E516" t="s">
        <v>428</v>
      </c>
      <c r="F516" t="s">
        <v>424</v>
      </c>
      <c r="G516" t="s">
        <v>426</v>
      </c>
      <c r="H516" t="s">
        <v>427</v>
      </c>
      <c r="I516" t="s">
        <v>422</v>
      </c>
      <c r="J516" t="s">
        <v>455</v>
      </c>
      <c r="N516" t="s">
        <v>425</v>
      </c>
    </row>
    <row r="517" spans="1:14" ht="15" customHeight="1" x14ac:dyDescent="0.25">
      <c r="A517" s="82">
        <v>42792</v>
      </c>
      <c r="B517" t="s">
        <v>430</v>
      </c>
      <c r="C517" t="s">
        <v>429</v>
      </c>
      <c r="D517" t="s">
        <v>421</v>
      </c>
      <c r="E517" t="s">
        <v>428</v>
      </c>
      <c r="F517" t="s">
        <v>424</v>
      </c>
      <c r="G517" t="s">
        <v>426</v>
      </c>
      <c r="H517" t="s">
        <v>455</v>
      </c>
      <c r="I517" t="s">
        <v>422</v>
      </c>
      <c r="J517" t="s">
        <v>427</v>
      </c>
      <c r="N517" t="s">
        <v>425</v>
      </c>
    </row>
    <row r="518" spans="1:14" ht="15" customHeight="1" x14ac:dyDescent="0.25">
      <c r="A518" s="82">
        <v>42793</v>
      </c>
      <c r="B518" t="s">
        <v>430</v>
      </c>
      <c r="C518" t="s">
        <v>429</v>
      </c>
      <c r="D518" t="s">
        <v>421</v>
      </c>
      <c r="E518" t="s">
        <v>428</v>
      </c>
      <c r="F518" t="s">
        <v>427</v>
      </c>
      <c r="G518" t="s">
        <v>426</v>
      </c>
      <c r="H518" t="s">
        <v>424</v>
      </c>
      <c r="I518" t="s">
        <v>422</v>
      </c>
      <c r="J518" t="s">
        <v>455</v>
      </c>
      <c r="N518" t="s">
        <v>425</v>
      </c>
    </row>
    <row r="519" spans="1:14" ht="15" customHeight="1" x14ac:dyDescent="0.25">
      <c r="A519" s="82">
        <v>42794</v>
      </c>
      <c r="B519" t="s">
        <v>427</v>
      </c>
      <c r="C519" t="s">
        <v>421</v>
      </c>
      <c r="D519" t="s">
        <v>430</v>
      </c>
      <c r="E519" t="s">
        <v>428</v>
      </c>
      <c r="F519" t="s">
        <v>455</v>
      </c>
      <c r="G519" t="s">
        <v>426</v>
      </c>
      <c r="H519" t="s">
        <v>429</v>
      </c>
      <c r="I519" t="s">
        <v>450</v>
      </c>
      <c r="J519" t="s">
        <v>424</v>
      </c>
      <c r="N519" t="s">
        <v>425</v>
      </c>
    </row>
    <row r="520" spans="1:14" ht="15" customHeight="1" x14ac:dyDescent="0.25">
      <c r="A520" s="82">
        <v>42795</v>
      </c>
      <c r="B520" t="s">
        <v>455</v>
      </c>
      <c r="C520" t="s">
        <v>427</v>
      </c>
      <c r="D520" t="s">
        <v>497</v>
      </c>
      <c r="E520" t="s">
        <v>428</v>
      </c>
      <c r="F520" t="s">
        <v>462</v>
      </c>
      <c r="G520" t="s">
        <v>426</v>
      </c>
      <c r="H520" t="s">
        <v>421</v>
      </c>
      <c r="I520" t="s">
        <v>450</v>
      </c>
      <c r="J520" t="s">
        <v>424</v>
      </c>
      <c r="N520" t="s">
        <v>425</v>
      </c>
    </row>
    <row r="521" spans="1:14" ht="15" customHeight="1" x14ac:dyDescent="0.25">
      <c r="A521" s="82">
        <v>42796</v>
      </c>
      <c r="B521" t="s">
        <v>459</v>
      </c>
      <c r="C521" t="s">
        <v>455</v>
      </c>
      <c r="D521" t="s">
        <v>422</v>
      </c>
      <c r="E521" t="s">
        <v>428</v>
      </c>
      <c r="F521" t="s">
        <v>424</v>
      </c>
      <c r="G521" t="s">
        <v>426</v>
      </c>
      <c r="H521" t="s">
        <v>427</v>
      </c>
      <c r="I521" t="s">
        <v>422</v>
      </c>
      <c r="J521" t="s">
        <v>421</v>
      </c>
      <c r="N521" t="s">
        <v>425</v>
      </c>
    </row>
    <row r="522" spans="1:14" ht="15" customHeight="1" x14ac:dyDescent="0.25">
      <c r="A522" s="82">
        <v>42797</v>
      </c>
      <c r="B522" t="s">
        <v>426</v>
      </c>
      <c r="C522" t="s">
        <v>421</v>
      </c>
      <c r="D522" t="s">
        <v>422</v>
      </c>
      <c r="E522" t="s">
        <v>427</v>
      </c>
      <c r="F522" t="s">
        <v>425</v>
      </c>
      <c r="G522" t="s">
        <v>429</v>
      </c>
      <c r="H522" t="s">
        <v>455</v>
      </c>
      <c r="I522" t="s">
        <v>428</v>
      </c>
      <c r="J522" t="s">
        <v>424</v>
      </c>
      <c r="N522" t="s">
        <v>425</v>
      </c>
    </row>
    <row r="523" spans="1:14" ht="15" customHeight="1" x14ac:dyDescent="0.25">
      <c r="A523" s="82">
        <v>42798</v>
      </c>
      <c r="B523" t="s">
        <v>426</v>
      </c>
      <c r="C523" t="s">
        <v>427</v>
      </c>
      <c r="D523" t="s">
        <v>422</v>
      </c>
      <c r="E523" t="s">
        <v>455</v>
      </c>
      <c r="F523" t="s">
        <v>425</v>
      </c>
      <c r="G523" t="s">
        <v>429</v>
      </c>
      <c r="H523" t="s">
        <v>421</v>
      </c>
      <c r="I523" t="s">
        <v>428</v>
      </c>
      <c r="J523" t="s">
        <v>424</v>
      </c>
      <c r="N523" t="s">
        <v>430</v>
      </c>
    </row>
    <row r="524" spans="1:14" ht="15" customHeight="1" x14ac:dyDescent="0.25">
      <c r="A524" s="82">
        <v>42799</v>
      </c>
      <c r="B524" t="s">
        <v>426</v>
      </c>
      <c r="C524" t="s">
        <v>455</v>
      </c>
      <c r="D524" t="s">
        <v>422</v>
      </c>
      <c r="E524" t="s">
        <v>427</v>
      </c>
      <c r="F524" t="s">
        <v>425</v>
      </c>
      <c r="G524" t="s">
        <v>429</v>
      </c>
      <c r="H524" t="s">
        <v>421</v>
      </c>
      <c r="I524" t="s">
        <v>428</v>
      </c>
      <c r="J524" t="s">
        <v>424</v>
      </c>
      <c r="N524" t="s">
        <v>430</v>
      </c>
    </row>
    <row r="525" spans="1:14" ht="15" customHeight="1" x14ac:dyDescent="0.25">
      <c r="A525" s="82">
        <v>42800</v>
      </c>
      <c r="B525" t="s">
        <v>426</v>
      </c>
      <c r="C525" t="s">
        <v>424</v>
      </c>
      <c r="D525" t="s">
        <v>422</v>
      </c>
      <c r="E525" t="s">
        <v>455</v>
      </c>
      <c r="F525" t="s">
        <v>425</v>
      </c>
      <c r="G525" t="s">
        <v>429</v>
      </c>
      <c r="H525" t="s">
        <v>421</v>
      </c>
      <c r="I525" t="s">
        <v>428</v>
      </c>
      <c r="J525" t="s">
        <v>427</v>
      </c>
      <c r="N525" t="s">
        <v>430</v>
      </c>
    </row>
    <row r="526" spans="1:14" ht="15" customHeight="1" x14ac:dyDescent="0.25">
      <c r="A526" s="82">
        <v>42801</v>
      </c>
      <c r="B526" t="s">
        <v>426</v>
      </c>
      <c r="C526" t="s">
        <v>429</v>
      </c>
      <c r="D526" t="s">
        <v>422</v>
      </c>
      <c r="E526" t="s">
        <v>424</v>
      </c>
      <c r="F526" t="s">
        <v>425</v>
      </c>
      <c r="G526" t="s">
        <v>421</v>
      </c>
      <c r="H526" t="s">
        <v>430</v>
      </c>
      <c r="I526" t="s">
        <v>428</v>
      </c>
      <c r="J526" t="s">
        <v>455</v>
      </c>
      <c r="N526" t="s">
        <v>427</v>
      </c>
    </row>
    <row r="527" spans="1:14" ht="15" customHeight="1" x14ac:dyDescent="0.25">
      <c r="A527" s="82">
        <v>42802</v>
      </c>
      <c r="B527" t="s">
        <v>426</v>
      </c>
      <c r="C527" t="s">
        <v>421</v>
      </c>
      <c r="D527" t="s">
        <v>422</v>
      </c>
      <c r="E527" t="s">
        <v>424</v>
      </c>
      <c r="F527" t="s">
        <v>425</v>
      </c>
      <c r="G527" t="s">
        <v>427</v>
      </c>
      <c r="H527" t="s">
        <v>430</v>
      </c>
      <c r="I527" t="s">
        <v>428</v>
      </c>
      <c r="J527" t="s">
        <v>429</v>
      </c>
      <c r="N527" t="s">
        <v>455</v>
      </c>
    </row>
    <row r="528" spans="1:14" ht="15" customHeight="1" x14ac:dyDescent="0.25">
      <c r="A528" s="82">
        <v>42803</v>
      </c>
      <c r="B528" t="s">
        <v>426</v>
      </c>
      <c r="C528" t="s">
        <v>427</v>
      </c>
      <c r="D528" t="s">
        <v>422</v>
      </c>
      <c r="E528" t="s">
        <v>421</v>
      </c>
      <c r="F528" t="s">
        <v>425</v>
      </c>
      <c r="G528" t="s">
        <v>455</v>
      </c>
      <c r="H528" t="s">
        <v>422</v>
      </c>
      <c r="I528" t="s">
        <v>428</v>
      </c>
      <c r="J528" t="s">
        <v>424</v>
      </c>
      <c r="N528" t="s">
        <v>426</v>
      </c>
    </row>
    <row r="529" spans="1:14" ht="15" customHeight="1" x14ac:dyDescent="0.25">
      <c r="A529" s="82">
        <v>42804</v>
      </c>
      <c r="B529" t="s">
        <v>448</v>
      </c>
      <c r="C529" t="s">
        <v>455</v>
      </c>
      <c r="D529" t="s">
        <v>428</v>
      </c>
      <c r="E529" t="s">
        <v>424</v>
      </c>
      <c r="F529" t="s">
        <v>425</v>
      </c>
      <c r="G529" t="s">
        <v>421</v>
      </c>
      <c r="H529" t="s">
        <v>422</v>
      </c>
      <c r="I529" t="s">
        <v>427</v>
      </c>
      <c r="J529" t="s">
        <v>425</v>
      </c>
      <c r="N529" t="s">
        <v>426</v>
      </c>
    </row>
    <row r="530" spans="1:14" ht="15" customHeight="1" x14ac:dyDescent="0.25">
      <c r="A530" s="82">
        <v>42805</v>
      </c>
      <c r="B530" t="s">
        <v>429</v>
      </c>
      <c r="C530" t="s">
        <v>421</v>
      </c>
      <c r="D530" t="s">
        <v>428</v>
      </c>
      <c r="E530" t="s">
        <v>424</v>
      </c>
      <c r="F530" t="s">
        <v>430</v>
      </c>
      <c r="G530" t="s">
        <v>427</v>
      </c>
      <c r="H530" t="s">
        <v>422</v>
      </c>
      <c r="I530" t="s">
        <v>455</v>
      </c>
      <c r="J530" t="s">
        <v>425</v>
      </c>
      <c r="N530" t="s">
        <v>426</v>
      </c>
    </row>
    <row r="531" spans="1:14" ht="15" customHeight="1" x14ac:dyDescent="0.25">
      <c r="A531" s="82">
        <v>42806</v>
      </c>
      <c r="B531" t="s">
        <v>429</v>
      </c>
      <c r="C531" t="s">
        <v>421</v>
      </c>
      <c r="D531" t="s">
        <v>428</v>
      </c>
      <c r="E531" t="s">
        <v>424</v>
      </c>
      <c r="F531" t="s">
        <v>430</v>
      </c>
      <c r="G531" t="s">
        <v>455</v>
      </c>
      <c r="H531" t="s">
        <v>422</v>
      </c>
      <c r="I531" t="s">
        <v>427</v>
      </c>
      <c r="J531" t="s">
        <v>425</v>
      </c>
      <c r="N531" t="s">
        <v>426</v>
      </c>
    </row>
    <row r="532" spans="1:14" ht="15" customHeight="1" x14ac:dyDescent="0.25">
      <c r="A532" s="82">
        <v>42807</v>
      </c>
      <c r="B532" t="s">
        <v>429</v>
      </c>
      <c r="C532" t="s">
        <v>421</v>
      </c>
      <c r="D532" t="s">
        <v>428</v>
      </c>
      <c r="E532" t="s">
        <v>427</v>
      </c>
      <c r="F532" t="s">
        <v>430</v>
      </c>
      <c r="G532" t="s">
        <v>424</v>
      </c>
      <c r="H532" t="s">
        <v>422</v>
      </c>
      <c r="I532" t="s">
        <v>455</v>
      </c>
      <c r="J532" t="s">
        <v>425</v>
      </c>
      <c r="N532" t="s">
        <v>426</v>
      </c>
    </row>
    <row r="533" spans="1:14" ht="15" customHeight="1" x14ac:dyDescent="0.25">
      <c r="A533" s="82">
        <v>42808</v>
      </c>
      <c r="B533" t="s">
        <v>421</v>
      </c>
      <c r="C533" t="s">
        <v>430</v>
      </c>
      <c r="D533" t="s">
        <v>428</v>
      </c>
      <c r="E533" t="s">
        <v>455</v>
      </c>
      <c r="F533" t="s">
        <v>427</v>
      </c>
      <c r="G533" t="s">
        <v>429</v>
      </c>
      <c r="H533" t="s">
        <v>422</v>
      </c>
      <c r="I533" t="s">
        <v>424</v>
      </c>
      <c r="J533" t="s">
        <v>425</v>
      </c>
      <c r="N533" t="s">
        <v>426</v>
      </c>
    </row>
    <row r="534" spans="1:14" ht="15" customHeight="1" x14ac:dyDescent="0.25">
      <c r="A534" s="82">
        <v>42809</v>
      </c>
      <c r="B534" t="s">
        <v>427</v>
      </c>
      <c r="C534" t="s">
        <v>430</v>
      </c>
      <c r="D534" t="s">
        <v>428</v>
      </c>
      <c r="E534" t="s">
        <v>429</v>
      </c>
      <c r="F534" t="s">
        <v>455</v>
      </c>
      <c r="G534" t="s">
        <v>421</v>
      </c>
      <c r="H534" t="s">
        <v>422</v>
      </c>
      <c r="I534" t="s">
        <v>424</v>
      </c>
      <c r="J534" t="s">
        <v>425</v>
      </c>
      <c r="N534" t="s">
        <v>426</v>
      </c>
    </row>
    <row r="535" spans="1:14" ht="15" customHeight="1" x14ac:dyDescent="0.25">
      <c r="A535" s="82">
        <v>42810</v>
      </c>
      <c r="B535" t="s">
        <v>455</v>
      </c>
      <c r="C535" t="s">
        <v>422</v>
      </c>
      <c r="D535" t="s">
        <v>428</v>
      </c>
      <c r="E535" t="s">
        <v>424</v>
      </c>
      <c r="F535" t="s">
        <v>426</v>
      </c>
      <c r="G535" t="s">
        <v>427</v>
      </c>
      <c r="H535" t="s">
        <v>422</v>
      </c>
      <c r="I535" t="s">
        <v>421</v>
      </c>
      <c r="J535" t="s">
        <v>425</v>
      </c>
      <c r="N535" t="s">
        <v>426</v>
      </c>
    </row>
    <row r="536" spans="1:14" ht="15" customHeight="1" x14ac:dyDescent="0.25">
      <c r="A536" s="82">
        <v>42811</v>
      </c>
      <c r="B536" t="s">
        <v>421</v>
      </c>
      <c r="C536" t="s">
        <v>422</v>
      </c>
      <c r="D536" t="s">
        <v>427</v>
      </c>
      <c r="E536" t="s">
        <v>425</v>
      </c>
      <c r="F536" t="s">
        <v>426</v>
      </c>
      <c r="G536" t="s">
        <v>455</v>
      </c>
      <c r="H536" t="s">
        <v>428</v>
      </c>
      <c r="I536" t="s">
        <v>424</v>
      </c>
      <c r="J536" t="s">
        <v>425</v>
      </c>
      <c r="N536" t="s">
        <v>429</v>
      </c>
    </row>
    <row r="537" spans="1:14" ht="15" customHeight="1" x14ac:dyDescent="0.25">
      <c r="A537" s="82">
        <v>42812</v>
      </c>
      <c r="B537" t="s">
        <v>427</v>
      </c>
      <c r="C537" t="s">
        <v>422</v>
      </c>
      <c r="D537" t="s">
        <v>455</v>
      </c>
      <c r="E537" t="s">
        <v>425</v>
      </c>
      <c r="F537" t="s">
        <v>426</v>
      </c>
      <c r="G537" t="s">
        <v>421</v>
      </c>
      <c r="H537" t="s">
        <v>428</v>
      </c>
      <c r="I537" t="s">
        <v>424</v>
      </c>
      <c r="J537" t="s">
        <v>430</v>
      </c>
      <c r="N537" t="s">
        <v>429</v>
      </c>
    </row>
    <row r="538" spans="1:14" ht="15" customHeight="1" x14ac:dyDescent="0.25">
      <c r="A538" s="82">
        <v>42813</v>
      </c>
      <c r="B538" t="s">
        <v>421</v>
      </c>
      <c r="C538" t="s">
        <v>422</v>
      </c>
      <c r="D538" t="s">
        <v>427</v>
      </c>
      <c r="E538" t="s">
        <v>425</v>
      </c>
      <c r="F538" t="s">
        <v>426</v>
      </c>
      <c r="G538" t="s">
        <v>421</v>
      </c>
      <c r="H538" t="s">
        <v>428</v>
      </c>
      <c r="I538" t="s">
        <v>424</v>
      </c>
      <c r="J538" t="s">
        <v>430</v>
      </c>
      <c r="N538" t="s">
        <v>429</v>
      </c>
    </row>
    <row r="539" spans="1:14" ht="15" customHeight="1" x14ac:dyDescent="0.25">
      <c r="A539" s="82">
        <v>42814</v>
      </c>
      <c r="B539" t="s">
        <v>439</v>
      </c>
      <c r="C539" t="s">
        <v>498</v>
      </c>
      <c r="D539" t="s">
        <v>455</v>
      </c>
      <c r="E539" t="s">
        <v>425</v>
      </c>
      <c r="F539" t="s">
        <v>464</v>
      </c>
      <c r="G539" t="s">
        <v>421</v>
      </c>
      <c r="H539" t="s">
        <v>428</v>
      </c>
      <c r="I539" t="s">
        <v>427</v>
      </c>
      <c r="J539" t="s">
        <v>430</v>
      </c>
      <c r="N539" t="s">
        <v>429</v>
      </c>
    </row>
    <row r="540" spans="1:14" ht="15" customHeight="1" x14ac:dyDescent="0.25">
      <c r="A540" s="82">
        <v>42815</v>
      </c>
      <c r="B540" t="s">
        <v>429</v>
      </c>
      <c r="C540" t="s">
        <v>422</v>
      </c>
      <c r="D540" t="s">
        <v>424</v>
      </c>
      <c r="E540" t="s">
        <v>425</v>
      </c>
      <c r="F540" t="s">
        <v>426</v>
      </c>
      <c r="G540" t="s">
        <v>430</v>
      </c>
      <c r="H540" t="s">
        <v>428</v>
      </c>
      <c r="I540" t="s">
        <v>455</v>
      </c>
      <c r="J540" t="s">
        <v>427</v>
      </c>
      <c r="N540" t="s">
        <v>421</v>
      </c>
    </row>
    <row r="541" spans="1:14" ht="15" customHeight="1" x14ac:dyDescent="0.25">
      <c r="A541" s="82">
        <v>42816</v>
      </c>
      <c r="B541" t="s">
        <v>421</v>
      </c>
      <c r="C541" t="s">
        <v>422</v>
      </c>
      <c r="D541" t="s">
        <v>424</v>
      </c>
      <c r="E541" t="s">
        <v>425</v>
      </c>
      <c r="F541" t="s">
        <v>426</v>
      </c>
      <c r="G541" t="s">
        <v>451</v>
      </c>
      <c r="H541" t="s">
        <v>428</v>
      </c>
      <c r="I541" t="s">
        <v>429</v>
      </c>
      <c r="J541" t="s">
        <v>455</v>
      </c>
      <c r="N541" t="s">
        <v>427</v>
      </c>
    </row>
    <row r="542" spans="1:14" ht="15" customHeight="1" x14ac:dyDescent="0.25">
      <c r="A542" s="82">
        <v>42817</v>
      </c>
      <c r="B542" t="s">
        <v>427</v>
      </c>
      <c r="C542" t="s">
        <v>422</v>
      </c>
      <c r="D542" t="s">
        <v>421</v>
      </c>
      <c r="E542" t="s">
        <v>425</v>
      </c>
      <c r="F542" t="s">
        <v>426</v>
      </c>
      <c r="G542" t="s">
        <v>422</v>
      </c>
      <c r="H542" t="s">
        <v>428</v>
      </c>
      <c r="I542" t="s">
        <v>424</v>
      </c>
      <c r="J542" t="s">
        <v>426</v>
      </c>
      <c r="N542" t="s">
        <v>455</v>
      </c>
    </row>
    <row r="543" spans="1:14" ht="15" customHeight="1" x14ac:dyDescent="0.25">
      <c r="A543" s="82">
        <v>42818</v>
      </c>
      <c r="B543" t="s">
        <v>455</v>
      </c>
      <c r="C543" t="s">
        <v>428</v>
      </c>
      <c r="D543" t="s">
        <v>424</v>
      </c>
      <c r="E543" t="s">
        <v>425</v>
      </c>
      <c r="F543" t="s">
        <v>429</v>
      </c>
      <c r="G543" t="s">
        <v>450</v>
      </c>
      <c r="H543" t="s">
        <v>427</v>
      </c>
      <c r="I543" t="s">
        <v>425</v>
      </c>
      <c r="J543" t="s">
        <v>426</v>
      </c>
      <c r="N543" t="s">
        <v>421</v>
      </c>
    </row>
    <row r="544" spans="1:14" ht="15" customHeight="1" x14ac:dyDescent="0.25">
      <c r="A544" s="82">
        <v>42819</v>
      </c>
      <c r="B544" t="s">
        <v>423</v>
      </c>
      <c r="C544" t="s">
        <v>428</v>
      </c>
      <c r="D544" t="s">
        <v>424</v>
      </c>
      <c r="E544" t="s">
        <v>430</v>
      </c>
      <c r="F544" t="s">
        <v>429</v>
      </c>
      <c r="G544" t="s">
        <v>422</v>
      </c>
      <c r="H544" t="s">
        <v>455</v>
      </c>
      <c r="I544" t="s">
        <v>425</v>
      </c>
      <c r="J544" t="s">
        <v>426</v>
      </c>
      <c r="N544" t="s">
        <v>427</v>
      </c>
    </row>
    <row r="545" spans="1:14" ht="15" customHeight="1" x14ac:dyDescent="0.25">
      <c r="A545" s="82">
        <v>42820</v>
      </c>
      <c r="B545" t="s">
        <v>423</v>
      </c>
      <c r="C545" t="s">
        <v>428</v>
      </c>
      <c r="D545" t="s">
        <v>424</v>
      </c>
      <c r="E545" t="s">
        <v>430</v>
      </c>
      <c r="F545" t="s">
        <v>429</v>
      </c>
      <c r="G545" t="s">
        <v>422</v>
      </c>
      <c r="H545" t="s">
        <v>427</v>
      </c>
      <c r="I545" t="s">
        <v>425</v>
      </c>
      <c r="J545" t="s">
        <v>426</v>
      </c>
      <c r="N545" t="s">
        <v>455</v>
      </c>
    </row>
    <row r="546" spans="1:14" ht="15" customHeight="1" x14ac:dyDescent="0.25">
      <c r="A546" s="82">
        <v>42821</v>
      </c>
      <c r="B546" t="s">
        <v>421</v>
      </c>
      <c r="C546" t="s">
        <v>428</v>
      </c>
      <c r="D546" t="s">
        <v>427</v>
      </c>
      <c r="E546" t="s">
        <v>430</v>
      </c>
      <c r="F546" t="s">
        <v>429</v>
      </c>
      <c r="G546" t="s">
        <v>450</v>
      </c>
      <c r="H546" t="s">
        <v>455</v>
      </c>
      <c r="I546" t="s">
        <v>425</v>
      </c>
      <c r="J546" t="s">
        <v>426</v>
      </c>
      <c r="N546" t="s">
        <v>424</v>
      </c>
    </row>
    <row r="547" spans="1:14" ht="15" customHeight="1" x14ac:dyDescent="0.25">
      <c r="A547" s="82">
        <v>42822</v>
      </c>
      <c r="B547" t="s">
        <v>430</v>
      </c>
      <c r="C547" t="s">
        <v>428</v>
      </c>
      <c r="D547" t="s">
        <v>455</v>
      </c>
      <c r="E547" t="s">
        <v>427</v>
      </c>
      <c r="F547" t="s">
        <v>421</v>
      </c>
      <c r="G547" t="s">
        <v>422</v>
      </c>
      <c r="H547" t="s">
        <v>424</v>
      </c>
      <c r="I547" t="s">
        <v>425</v>
      </c>
      <c r="J547" t="s">
        <v>426</v>
      </c>
      <c r="N547" t="s">
        <v>429</v>
      </c>
    </row>
    <row r="548" spans="1:14" ht="15" customHeight="1" x14ac:dyDescent="0.25">
      <c r="A548" s="82">
        <v>42823</v>
      </c>
      <c r="B548" t="s">
        <v>430</v>
      </c>
      <c r="C548" t="s">
        <v>428</v>
      </c>
      <c r="D548" t="s">
        <v>448</v>
      </c>
      <c r="E548" t="s">
        <v>455</v>
      </c>
      <c r="F548" t="s">
        <v>427</v>
      </c>
      <c r="G548" t="s">
        <v>422</v>
      </c>
      <c r="H548" t="s">
        <v>424</v>
      </c>
      <c r="I548" t="s">
        <v>425</v>
      </c>
      <c r="J548" t="s">
        <v>426</v>
      </c>
      <c r="N548" t="s">
        <v>421</v>
      </c>
    </row>
    <row r="549" spans="1:14" ht="15" customHeight="1" x14ac:dyDescent="0.25">
      <c r="A549" s="82">
        <v>42824</v>
      </c>
      <c r="B549" t="s">
        <v>422</v>
      </c>
      <c r="C549" t="s">
        <v>428</v>
      </c>
      <c r="D549" t="s">
        <v>424</v>
      </c>
      <c r="E549" t="s">
        <v>426</v>
      </c>
      <c r="F549" t="s">
        <v>455</v>
      </c>
      <c r="G549" t="s">
        <v>422</v>
      </c>
      <c r="H549" t="s">
        <v>421</v>
      </c>
      <c r="I549" t="s">
        <v>425</v>
      </c>
      <c r="J549" t="s">
        <v>426</v>
      </c>
      <c r="N549" t="s">
        <v>427</v>
      </c>
    </row>
    <row r="550" spans="1:14" ht="15" customHeight="1" x14ac:dyDescent="0.25">
      <c r="A550" s="82">
        <v>42825</v>
      </c>
      <c r="B550" t="s">
        <v>422</v>
      </c>
      <c r="C550" t="s">
        <v>427</v>
      </c>
      <c r="D550" t="s">
        <v>425</v>
      </c>
      <c r="E550" t="s">
        <v>426</v>
      </c>
      <c r="F550" t="s">
        <v>421</v>
      </c>
      <c r="G550" t="s">
        <v>428</v>
      </c>
      <c r="H550" t="s">
        <v>424</v>
      </c>
      <c r="I550" t="s">
        <v>425</v>
      </c>
      <c r="J550" t="s">
        <v>429</v>
      </c>
      <c r="N550" t="s">
        <v>455</v>
      </c>
    </row>
    <row r="551" spans="1:14" ht="15" customHeight="1" x14ac:dyDescent="0.25">
      <c r="A551" s="82">
        <v>42826</v>
      </c>
      <c r="B551" t="s">
        <v>422</v>
      </c>
      <c r="C551" t="s">
        <v>455</v>
      </c>
      <c r="D551" t="s">
        <v>425</v>
      </c>
      <c r="E551" t="s">
        <v>426</v>
      </c>
      <c r="F551" t="s">
        <v>427</v>
      </c>
      <c r="G551" t="s">
        <v>428</v>
      </c>
      <c r="H551" t="s">
        <v>424</v>
      </c>
      <c r="I551" t="s">
        <v>430</v>
      </c>
      <c r="J551" t="s">
        <v>429</v>
      </c>
      <c r="N551" t="s">
        <v>421</v>
      </c>
    </row>
    <row r="552" spans="1:14" ht="15" customHeight="1" x14ac:dyDescent="0.25">
      <c r="A552" s="82">
        <v>42827</v>
      </c>
      <c r="B552" t="s">
        <v>422</v>
      </c>
      <c r="C552" t="s">
        <v>427</v>
      </c>
      <c r="D552" t="s">
        <v>425</v>
      </c>
      <c r="E552" t="s">
        <v>426</v>
      </c>
      <c r="F552" t="s">
        <v>455</v>
      </c>
      <c r="G552" t="s">
        <v>428</v>
      </c>
      <c r="H552" t="s">
        <v>424</v>
      </c>
      <c r="I552" t="s">
        <v>430</v>
      </c>
      <c r="J552" t="s">
        <v>429</v>
      </c>
      <c r="N552" t="s">
        <v>421</v>
      </c>
    </row>
    <row r="553" spans="1:14" ht="15" customHeight="1" x14ac:dyDescent="0.25">
      <c r="A553" s="82">
        <v>42828</v>
      </c>
      <c r="B553" t="s">
        <v>422</v>
      </c>
      <c r="C553" t="s">
        <v>455</v>
      </c>
      <c r="D553" t="s">
        <v>425</v>
      </c>
      <c r="E553" t="s">
        <v>426</v>
      </c>
      <c r="F553" t="s">
        <v>424</v>
      </c>
      <c r="G553" t="s">
        <v>428</v>
      </c>
      <c r="H553" t="s">
        <v>427</v>
      </c>
      <c r="I553" t="s">
        <v>430</v>
      </c>
      <c r="J553" t="s">
        <v>429</v>
      </c>
      <c r="N553" t="s">
        <v>421</v>
      </c>
    </row>
    <row r="554" spans="1:14" ht="15" customHeight="1" x14ac:dyDescent="0.25">
      <c r="A554" s="82">
        <v>42829</v>
      </c>
      <c r="B554" t="s">
        <v>422</v>
      </c>
      <c r="C554" t="s">
        <v>424</v>
      </c>
      <c r="D554" t="s">
        <v>425</v>
      </c>
      <c r="E554" t="s">
        <v>499</v>
      </c>
      <c r="F554" t="s">
        <v>429</v>
      </c>
      <c r="G554" t="s">
        <v>428</v>
      </c>
      <c r="H554" t="s">
        <v>455</v>
      </c>
      <c r="I554" t="s">
        <v>427</v>
      </c>
      <c r="J554" t="s">
        <v>421</v>
      </c>
      <c r="N554" t="s">
        <v>500</v>
      </c>
    </row>
    <row r="555" spans="1:14" ht="15" customHeight="1" x14ac:dyDescent="0.25">
      <c r="A555" s="82">
        <v>42830</v>
      </c>
      <c r="B555" t="s">
        <v>422</v>
      </c>
      <c r="C555" t="s">
        <v>424</v>
      </c>
      <c r="D555" t="s">
        <v>425</v>
      </c>
      <c r="E555" t="s">
        <v>499</v>
      </c>
      <c r="F555" t="s">
        <v>421</v>
      </c>
      <c r="G555" t="s">
        <v>428</v>
      </c>
      <c r="H555" t="s">
        <v>429</v>
      </c>
      <c r="I555" t="s">
        <v>455</v>
      </c>
      <c r="J555" t="s">
        <v>427</v>
      </c>
      <c r="N555" t="s">
        <v>500</v>
      </c>
    </row>
    <row r="556" spans="1:14" ht="15" customHeight="1" x14ac:dyDescent="0.25">
      <c r="A556" s="82">
        <v>42831</v>
      </c>
      <c r="B556" t="s">
        <v>422</v>
      </c>
      <c r="C556" t="s">
        <v>421</v>
      </c>
      <c r="D556" t="s">
        <v>425</v>
      </c>
      <c r="E556" t="s">
        <v>426</v>
      </c>
      <c r="F556" t="s">
        <v>427</v>
      </c>
      <c r="G556" t="s">
        <v>428</v>
      </c>
      <c r="H556" t="s">
        <v>424</v>
      </c>
      <c r="I556" t="s">
        <v>426</v>
      </c>
      <c r="J556" t="s">
        <v>455</v>
      </c>
      <c r="N556" t="s">
        <v>422</v>
      </c>
    </row>
    <row r="557" spans="1:14" ht="15" customHeight="1" x14ac:dyDescent="0.25">
      <c r="A557" s="82">
        <v>42832</v>
      </c>
      <c r="B557" t="s">
        <v>428</v>
      </c>
      <c r="C557" t="s">
        <v>424</v>
      </c>
      <c r="D557" t="s">
        <v>425</v>
      </c>
      <c r="E557" t="s">
        <v>501</v>
      </c>
      <c r="F557" t="s">
        <v>455</v>
      </c>
      <c r="G557" t="s">
        <v>427</v>
      </c>
      <c r="H557" t="s">
        <v>425</v>
      </c>
      <c r="I557" t="s">
        <v>426</v>
      </c>
      <c r="J557" t="s">
        <v>421</v>
      </c>
      <c r="N557" t="s">
        <v>502</v>
      </c>
    </row>
    <row r="558" spans="1:14" ht="15" customHeight="1" x14ac:dyDescent="0.25">
      <c r="A558" s="82">
        <v>42833</v>
      </c>
      <c r="B558" t="s">
        <v>428</v>
      </c>
      <c r="C558" t="s">
        <v>424</v>
      </c>
      <c r="D558" t="s">
        <v>430</v>
      </c>
      <c r="E558" t="s">
        <v>429</v>
      </c>
      <c r="F558" t="s">
        <v>421</v>
      </c>
      <c r="G558" t="s">
        <v>455</v>
      </c>
      <c r="H558" t="s">
        <v>425</v>
      </c>
      <c r="I558" t="s">
        <v>426</v>
      </c>
      <c r="J558" t="s">
        <v>427</v>
      </c>
      <c r="N558" t="s">
        <v>422</v>
      </c>
    </row>
    <row r="559" spans="1:14" ht="15" customHeight="1" x14ac:dyDescent="0.25">
      <c r="A559" s="82">
        <v>42834</v>
      </c>
      <c r="B559" t="s">
        <v>428</v>
      </c>
      <c r="C559" t="s">
        <v>424</v>
      </c>
      <c r="D559" t="s">
        <v>430</v>
      </c>
      <c r="E559" t="s">
        <v>429</v>
      </c>
      <c r="F559" t="s">
        <v>421</v>
      </c>
      <c r="G559" t="s">
        <v>427</v>
      </c>
      <c r="H559" t="s">
        <v>425</v>
      </c>
      <c r="I559" t="s">
        <v>426</v>
      </c>
      <c r="J559" t="s">
        <v>455</v>
      </c>
      <c r="N559" t="s">
        <v>422</v>
      </c>
    </row>
    <row r="560" spans="1:14" ht="15" customHeight="1" x14ac:dyDescent="0.25">
      <c r="A560" s="82">
        <v>42835</v>
      </c>
      <c r="B560" t="s">
        <v>428</v>
      </c>
      <c r="C560" t="s">
        <v>427</v>
      </c>
      <c r="D560" t="s">
        <v>430</v>
      </c>
      <c r="E560" t="s">
        <v>429</v>
      </c>
      <c r="F560" t="s">
        <v>421</v>
      </c>
      <c r="G560" t="s">
        <v>455</v>
      </c>
      <c r="H560" t="s">
        <v>425</v>
      </c>
      <c r="I560" t="s">
        <v>426</v>
      </c>
      <c r="J560" t="s">
        <v>424</v>
      </c>
      <c r="N560" t="s">
        <v>422</v>
      </c>
    </row>
    <row r="561" spans="1:14" ht="15" customHeight="1" x14ac:dyDescent="0.25">
      <c r="A561" s="82">
        <v>42836</v>
      </c>
      <c r="B561" t="s">
        <v>428</v>
      </c>
      <c r="C561" t="s">
        <v>455</v>
      </c>
      <c r="D561" t="s">
        <v>427</v>
      </c>
      <c r="E561" t="s">
        <v>421</v>
      </c>
      <c r="F561" t="s">
        <v>430</v>
      </c>
      <c r="G561" t="s">
        <v>424</v>
      </c>
      <c r="H561" t="s">
        <v>425</v>
      </c>
      <c r="I561" t="s">
        <v>426</v>
      </c>
      <c r="J561" t="s">
        <v>429</v>
      </c>
      <c r="N561" t="s">
        <v>422</v>
      </c>
    </row>
    <row r="562" spans="1:14" ht="15" customHeight="1" x14ac:dyDescent="0.25">
      <c r="A562" s="82">
        <v>42837</v>
      </c>
      <c r="B562" t="s">
        <v>428</v>
      </c>
      <c r="C562" t="s">
        <v>429</v>
      </c>
      <c r="D562" t="s">
        <v>455</v>
      </c>
      <c r="E562" t="s">
        <v>427</v>
      </c>
      <c r="F562" t="s">
        <v>430</v>
      </c>
      <c r="G562" t="s">
        <v>424</v>
      </c>
      <c r="H562" t="s">
        <v>425</v>
      </c>
      <c r="I562" t="s">
        <v>426</v>
      </c>
      <c r="J562" t="s">
        <v>421</v>
      </c>
      <c r="N562" t="s">
        <v>422</v>
      </c>
    </row>
    <row r="563" spans="1:14" ht="15" customHeight="1" x14ac:dyDescent="0.25">
      <c r="A563" s="82">
        <v>42838</v>
      </c>
      <c r="B563" t="s">
        <v>428</v>
      </c>
      <c r="C563" t="s">
        <v>424</v>
      </c>
      <c r="D563" t="s">
        <v>426</v>
      </c>
      <c r="E563" t="s">
        <v>455</v>
      </c>
      <c r="F563" t="s">
        <v>422</v>
      </c>
      <c r="G563" t="s">
        <v>421</v>
      </c>
      <c r="H563" t="s">
        <v>425</v>
      </c>
      <c r="I563" t="s">
        <v>426</v>
      </c>
      <c r="J563" t="s">
        <v>427</v>
      </c>
      <c r="N563" t="s">
        <v>422</v>
      </c>
    </row>
    <row r="564" spans="1:14" ht="15" customHeight="1" x14ac:dyDescent="0.25">
      <c r="A564" s="82">
        <v>42839</v>
      </c>
      <c r="B564" t="s">
        <v>427</v>
      </c>
      <c r="C564" t="s">
        <v>425</v>
      </c>
      <c r="D564" t="s">
        <v>426</v>
      </c>
      <c r="E564" t="s">
        <v>421</v>
      </c>
      <c r="F564" t="s">
        <v>422</v>
      </c>
      <c r="G564" t="s">
        <v>424</v>
      </c>
      <c r="H564" t="s">
        <v>425</v>
      </c>
      <c r="I564" t="s">
        <v>429</v>
      </c>
      <c r="J564" t="s">
        <v>455</v>
      </c>
      <c r="N564" t="s">
        <v>428</v>
      </c>
    </row>
    <row r="565" spans="1:14" ht="15" customHeight="1" x14ac:dyDescent="0.25">
      <c r="A565" s="82">
        <v>42840</v>
      </c>
      <c r="B565" t="s">
        <v>421</v>
      </c>
      <c r="C565" t="s">
        <v>425</v>
      </c>
      <c r="D565" t="s">
        <v>426</v>
      </c>
      <c r="E565" t="s">
        <v>427</v>
      </c>
      <c r="F565" t="s">
        <v>422</v>
      </c>
      <c r="G565" t="s">
        <v>424</v>
      </c>
      <c r="H565" t="s">
        <v>430</v>
      </c>
      <c r="I565" t="s">
        <v>429</v>
      </c>
      <c r="J565" t="s">
        <v>421</v>
      </c>
      <c r="N565" t="s">
        <v>428</v>
      </c>
    </row>
    <row r="566" spans="1:14" ht="15" customHeight="1" x14ac:dyDescent="0.25">
      <c r="A566" s="82">
        <v>42841</v>
      </c>
      <c r="B566" t="s">
        <v>427</v>
      </c>
      <c r="C566" t="s">
        <v>425</v>
      </c>
      <c r="D566" t="s">
        <v>426</v>
      </c>
      <c r="E566" t="s">
        <v>455</v>
      </c>
      <c r="F566" t="s">
        <v>422</v>
      </c>
      <c r="G566" t="s">
        <v>424</v>
      </c>
      <c r="H566" t="s">
        <v>430</v>
      </c>
      <c r="I566" t="s">
        <v>429</v>
      </c>
      <c r="J566" t="s">
        <v>421</v>
      </c>
      <c r="N566" t="s">
        <v>428</v>
      </c>
    </row>
    <row r="567" spans="1:14" ht="15" customHeight="1" x14ac:dyDescent="0.25">
      <c r="A567" s="82">
        <v>42842</v>
      </c>
      <c r="B567" t="s">
        <v>455</v>
      </c>
      <c r="C567" t="s">
        <v>425</v>
      </c>
      <c r="D567" t="s">
        <v>426</v>
      </c>
      <c r="E567" t="s">
        <v>424</v>
      </c>
      <c r="F567" t="s">
        <v>422</v>
      </c>
      <c r="G567" t="s">
        <v>427</v>
      </c>
      <c r="H567" t="s">
        <v>430</v>
      </c>
      <c r="I567" t="s">
        <v>429</v>
      </c>
      <c r="J567" t="s">
        <v>421</v>
      </c>
      <c r="N567" t="s">
        <v>428</v>
      </c>
    </row>
    <row r="568" spans="1:14" ht="15" customHeight="1" x14ac:dyDescent="0.25">
      <c r="A568" s="82">
        <v>42843</v>
      </c>
      <c r="B568" t="s">
        <v>424</v>
      </c>
      <c r="C568" t="s">
        <v>425</v>
      </c>
      <c r="D568" t="s">
        <v>426</v>
      </c>
      <c r="E568" t="s">
        <v>429</v>
      </c>
      <c r="F568" t="s">
        <v>422</v>
      </c>
      <c r="G568" t="s">
        <v>455</v>
      </c>
      <c r="H568" t="s">
        <v>427</v>
      </c>
      <c r="I568" t="s">
        <v>421</v>
      </c>
      <c r="J568" t="s">
        <v>430</v>
      </c>
      <c r="N568" t="s">
        <v>428</v>
      </c>
    </row>
    <row r="569" spans="1:14" ht="15" customHeight="1" x14ac:dyDescent="0.25">
      <c r="A569" s="82">
        <v>42844</v>
      </c>
      <c r="B569" t="s">
        <v>424</v>
      </c>
      <c r="C569" t="s">
        <v>425</v>
      </c>
      <c r="D569" t="s">
        <v>426</v>
      </c>
      <c r="E569" t="s">
        <v>421</v>
      </c>
      <c r="F569" t="s">
        <v>422</v>
      </c>
      <c r="G569" t="s">
        <v>429</v>
      </c>
      <c r="H569" t="s">
        <v>455</v>
      </c>
      <c r="I569" t="s">
        <v>427</v>
      </c>
      <c r="J569" t="s">
        <v>430</v>
      </c>
      <c r="N569" t="s">
        <v>428</v>
      </c>
    </row>
    <row r="570" spans="1:14" ht="15" customHeight="1" x14ac:dyDescent="0.25">
      <c r="A570" s="82">
        <v>42845</v>
      </c>
      <c r="B570" t="s">
        <v>424</v>
      </c>
      <c r="C570" t="s">
        <v>425</v>
      </c>
      <c r="D570" t="s">
        <v>426</v>
      </c>
      <c r="E570" t="s">
        <v>427</v>
      </c>
      <c r="F570" t="s">
        <v>422</v>
      </c>
      <c r="G570" t="s">
        <v>424</v>
      </c>
      <c r="H570" t="s">
        <v>426</v>
      </c>
      <c r="I570" t="s">
        <v>455</v>
      </c>
      <c r="J570" t="s">
        <v>422</v>
      </c>
      <c r="N570" t="s">
        <v>428</v>
      </c>
    </row>
    <row r="571" spans="1:14" ht="15" customHeight="1" x14ac:dyDescent="0.25">
      <c r="A571" s="82">
        <v>42846</v>
      </c>
      <c r="B571" t="s">
        <v>424</v>
      </c>
      <c r="C571" t="s">
        <v>425</v>
      </c>
      <c r="D571" t="s">
        <v>429</v>
      </c>
      <c r="E571" t="s">
        <v>455</v>
      </c>
      <c r="F571" t="s">
        <v>428</v>
      </c>
      <c r="G571" t="s">
        <v>425</v>
      </c>
      <c r="H571" t="s">
        <v>426</v>
      </c>
      <c r="I571" t="s">
        <v>421</v>
      </c>
      <c r="J571" t="s">
        <v>422</v>
      </c>
      <c r="N571" t="s">
        <v>427</v>
      </c>
    </row>
    <row r="572" spans="1:14" ht="15" customHeight="1" x14ac:dyDescent="0.25">
      <c r="A572" s="82">
        <v>42847</v>
      </c>
      <c r="B572" t="s">
        <v>424</v>
      </c>
      <c r="C572" t="s">
        <v>430</v>
      </c>
      <c r="D572" t="s">
        <v>429</v>
      </c>
      <c r="E572" t="s">
        <v>421</v>
      </c>
      <c r="F572" t="s">
        <v>428</v>
      </c>
      <c r="G572" t="s">
        <v>425</v>
      </c>
      <c r="H572" t="s">
        <v>426</v>
      </c>
      <c r="I572" t="s">
        <v>427</v>
      </c>
      <c r="J572" t="s">
        <v>422</v>
      </c>
      <c r="N572" t="s">
        <v>455</v>
      </c>
    </row>
    <row r="573" spans="1:14" ht="15" customHeight="1" x14ac:dyDescent="0.25">
      <c r="A573" s="82">
        <v>42848</v>
      </c>
      <c r="B573" t="s">
        <v>424</v>
      </c>
      <c r="C573" t="s">
        <v>430</v>
      </c>
      <c r="D573" t="s">
        <v>429</v>
      </c>
      <c r="E573" t="s">
        <v>421</v>
      </c>
      <c r="F573" t="s">
        <v>428</v>
      </c>
      <c r="G573" t="s">
        <v>425</v>
      </c>
      <c r="H573" t="s">
        <v>426</v>
      </c>
      <c r="I573" t="s">
        <v>455</v>
      </c>
      <c r="J573" t="s">
        <v>422</v>
      </c>
      <c r="N573" t="s">
        <v>427</v>
      </c>
    </row>
    <row r="574" spans="1:14" ht="15" customHeight="1" x14ac:dyDescent="0.25">
      <c r="A574" s="82">
        <v>42849</v>
      </c>
      <c r="B574" t="s">
        <v>427</v>
      </c>
      <c r="C574" t="s">
        <v>430</v>
      </c>
      <c r="D574" t="s">
        <v>429</v>
      </c>
      <c r="E574" t="s">
        <v>421</v>
      </c>
      <c r="F574" t="s">
        <v>428</v>
      </c>
      <c r="G574" t="s">
        <v>425</v>
      </c>
      <c r="H574" t="s">
        <v>426</v>
      </c>
      <c r="I574" t="s">
        <v>424</v>
      </c>
      <c r="J574" t="s">
        <v>422</v>
      </c>
      <c r="N574" t="s">
        <v>455</v>
      </c>
    </row>
    <row r="575" spans="1:14" ht="15" customHeight="1" x14ac:dyDescent="0.25">
      <c r="A575" s="82">
        <v>42850</v>
      </c>
      <c r="B575" t="s">
        <v>455</v>
      </c>
      <c r="C575" t="s">
        <v>427</v>
      </c>
      <c r="D575" t="s">
        <v>421</v>
      </c>
      <c r="E575" t="s">
        <v>430</v>
      </c>
      <c r="F575" t="s">
        <v>428</v>
      </c>
      <c r="G575" t="s">
        <v>425</v>
      </c>
      <c r="H575" t="s">
        <v>426</v>
      </c>
      <c r="I575" t="s">
        <v>429</v>
      </c>
      <c r="J575" t="s">
        <v>422</v>
      </c>
      <c r="N575" t="s">
        <v>424</v>
      </c>
    </row>
    <row r="576" spans="1:14" ht="15" customHeight="1" x14ac:dyDescent="0.25">
      <c r="A576" s="82">
        <v>42851</v>
      </c>
      <c r="B576" t="s">
        <v>429</v>
      </c>
      <c r="C576" t="s">
        <v>455</v>
      </c>
      <c r="D576" t="s">
        <v>427</v>
      </c>
      <c r="E576" t="s">
        <v>430</v>
      </c>
      <c r="F576" t="s">
        <v>428</v>
      </c>
      <c r="G576" t="s">
        <v>425</v>
      </c>
      <c r="H576" t="s">
        <v>426</v>
      </c>
      <c r="I576" t="s">
        <v>421</v>
      </c>
      <c r="J576" t="s">
        <v>422</v>
      </c>
      <c r="N576" t="s">
        <v>424</v>
      </c>
    </row>
    <row r="577" spans="1:14" ht="15" customHeight="1" x14ac:dyDescent="0.25">
      <c r="A577" s="82">
        <v>42852</v>
      </c>
      <c r="B577" t="s">
        <v>421</v>
      </c>
      <c r="C577" t="s">
        <v>426</v>
      </c>
      <c r="D577" t="s">
        <v>455</v>
      </c>
      <c r="E577" t="s">
        <v>422</v>
      </c>
      <c r="F577" t="s">
        <v>428</v>
      </c>
      <c r="G577" t="s">
        <v>425</v>
      </c>
      <c r="H577" t="s">
        <v>426</v>
      </c>
      <c r="I577" t="s">
        <v>427</v>
      </c>
      <c r="J577" t="s">
        <v>422</v>
      </c>
      <c r="N577" t="s">
        <v>421</v>
      </c>
    </row>
    <row r="578" spans="1:14" ht="15" customHeight="1" x14ac:dyDescent="0.25">
      <c r="A578" s="82">
        <v>42853</v>
      </c>
      <c r="B578" t="s">
        <v>425</v>
      </c>
      <c r="C578" t="s">
        <v>426</v>
      </c>
      <c r="D578" t="s">
        <v>421</v>
      </c>
      <c r="E578" t="s">
        <v>422</v>
      </c>
      <c r="F578" t="s">
        <v>427</v>
      </c>
      <c r="G578" t="s">
        <v>425</v>
      </c>
      <c r="H578" t="s">
        <v>429</v>
      </c>
      <c r="I578" t="s">
        <v>455</v>
      </c>
      <c r="J578" t="s">
        <v>428</v>
      </c>
      <c r="N578" t="s">
        <v>424</v>
      </c>
    </row>
    <row r="579" spans="1:14" ht="15" customHeight="1" x14ac:dyDescent="0.25">
      <c r="A579" s="82">
        <v>42854</v>
      </c>
      <c r="B579" t="s">
        <v>425</v>
      </c>
      <c r="C579" t="s">
        <v>426</v>
      </c>
      <c r="D579" t="s">
        <v>427</v>
      </c>
      <c r="E579" t="s">
        <v>422</v>
      </c>
      <c r="F579" t="s">
        <v>455</v>
      </c>
      <c r="G579" t="s">
        <v>430</v>
      </c>
      <c r="H579" t="s">
        <v>429</v>
      </c>
      <c r="I579" t="s">
        <v>421</v>
      </c>
      <c r="J579" t="s">
        <v>428</v>
      </c>
      <c r="N579" t="s">
        <v>424</v>
      </c>
    </row>
    <row r="580" spans="1:14" ht="15" customHeight="1" x14ac:dyDescent="0.25">
      <c r="A580" s="82">
        <v>42855</v>
      </c>
      <c r="B580" t="s">
        <v>425</v>
      </c>
      <c r="C580" t="s">
        <v>426</v>
      </c>
      <c r="D580" t="s">
        <v>455</v>
      </c>
      <c r="E580" t="s">
        <v>422</v>
      </c>
      <c r="F580" t="s">
        <v>427</v>
      </c>
      <c r="G580" t="s">
        <v>430</v>
      </c>
      <c r="H580" t="s">
        <v>429</v>
      </c>
      <c r="I580" t="s">
        <v>421</v>
      </c>
      <c r="J580" t="s">
        <v>428</v>
      </c>
      <c r="N580" t="s">
        <v>424</v>
      </c>
    </row>
    <row r="581" spans="1:14" ht="15" customHeight="1" x14ac:dyDescent="0.25">
      <c r="A581" s="82">
        <v>42856</v>
      </c>
      <c r="B581" t="s">
        <v>425</v>
      </c>
      <c r="C581" t="s">
        <v>426</v>
      </c>
      <c r="D581" t="s">
        <v>424</v>
      </c>
      <c r="E581" t="s">
        <v>422</v>
      </c>
      <c r="F581" t="s">
        <v>455</v>
      </c>
      <c r="G581" t="s">
        <v>430</v>
      </c>
      <c r="H581" t="s">
        <v>429</v>
      </c>
      <c r="I581" t="s">
        <v>421</v>
      </c>
      <c r="J581" t="s">
        <v>428</v>
      </c>
      <c r="N581" t="s">
        <v>427</v>
      </c>
    </row>
    <row r="582" spans="1:14" ht="15" customHeight="1" x14ac:dyDescent="0.25">
      <c r="A582" s="82">
        <v>42857</v>
      </c>
      <c r="B582" t="s">
        <v>425</v>
      </c>
      <c r="C582" t="s">
        <v>426</v>
      </c>
      <c r="D582" t="s">
        <v>429</v>
      </c>
      <c r="E582" t="s">
        <v>422</v>
      </c>
      <c r="F582" t="s">
        <v>424</v>
      </c>
      <c r="G582" t="s">
        <v>427</v>
      </c>
      <c r="H582" t="s">
        <v>421</v>
      </c>
      <c r="I582" t="s">
        <v>430</v>
      </c>
      <c r="J582" t="s">
        <v>428</v>
      </c>
      <c r="N582" t="s">
        <v>455</v>
      </c>
    </row>
    <row r="583" spans="1:14" ht="15" customHeight="1" x14ac:dyDescent="0.25">
      <c r="A583" s="82">
        <v>42858</v>
      </c>
      <c r="B583" t="s">
        <v>425</v>
      </c>
      <c r="C583" t="s">
        <v>426</v>
      </c>
      <c r="D583" t="s">
        <v>421</v>
      </c>
      <c r="E583" t="s">
        <v>422</v>
      </c>
      <c r="F583" t="s">
        <v>424</v>
      </c>
      <c r="G583" t="s">
        <v>455</v>
      </c>
      <c r="H583" t="s">
        <v>427</v>
      </c>
      <c r="I583" t="s">
        <v>430</v>
      </c>
      <c r="J583" t="s">
        <v>428</v>
      </c>
      <c r="N583" t="s">
        <v>429</v>
      </c>
    </row>
    <row r="584" spans="1:14" ht="15" customHeight="1" x14ac:dyDescent="0.25">
      <c r="A584" s="82">
        <v>42859</v>
      </c>
      <c r="B584" t="s">
        <v>425</v>
      </c>
      <c r="C584" t="s">
        <v>426</v>
      </c>
      <c r="D584" t="s">
        <v>427</v>
      </c>
      <c r="E584" t="s">
        <v>422</v>
      </c>
      <c r="F584" t="s">
        <v>421</v>
      </c>
      <c r="G584" t="s">
        <v>426</v>
      </c>
      <c r="H584" t="s">
        <v>455</v>
      </c>
      <c r="I584" t="s">
        <v>422</v>
      </c>
      <c r="J584" t="s">
        <v>428</v>
      </c>
      <c r="N584" t="s">
        <v>424</v>
      </c>
    </row>
    <row r="585" spans="1:14" ht="15" customHeight="1" x14ac:dyDescent="0.25">
      <c r="A585" s="82">
        <v>42860</v>
      </c>
      <c r="B585" t="s">
        <v>425</v>
      </c>
      <c r="C585" t="s">
        <v>429</v>
      </c>
      <c r="D585" t="s">
        <v>455</v>
      </c>
      <c r="E585" t="s">
        <v>428</v>
      </c>
      <c r="F585" t="s">
        <v>424</v>
      </c>
      <c r="G585" t="s">
        <v>426</v>
      </c>
      <c r="H585" t="s">
        <v>421</v>
      </c>
      <c r="I585" t="s">
        <v>422</v>
      </c>
      <c r="J585" t="s">
        <v>427</v>
      </c>
      <c r="N585" t="s">
        <v>425</v>
      </c>
    </row>
    <row r="586" spans="1:14" ht="15" customHeight="1" x14ac:dyDescent="0.25">
      <c r="A586" s="82">
        <v>42861</v>
      </c>
      <c r="B586" t="s">
        <v>430</v>
      </c>
      <c r="C586" t="s">
        <v>429</v>
      </c>
      <c r="D586" t="s">
        <v>421</v>
      </c>
      <c r="E586" t="s">
        <v>428</v>
      </c>
      <c r="F586" t="s">
        <v>424</v>
      </c>
      <c r="G586" t="s">
        <v>426</v>
      </c>
      <c r="H586" t="s">
        <v>427</v>
      </c>
      <c r="I586" t="s">
        <v>422</v>
      </c>
      <c r="J586" t="s">
        <v>455</v>
      </c>
      <c r="N586" t="s">
        <v>425</v>
      </c>
    </row>
    <row r="587" spans="1:14" ht="15" customHeight="1" x14ac:dyDescent="0.25">
      <c r="A587" s="82">
        <v>42862</v>
      </c>
      <c r="B587" t="s">
        <v>430</v>
      </c>
      <c r="C587" t="s">
        <v>429</v>
      </c>
      <c r="D587" t="s">
        <v>421</v>
      </c>
      <c r="E587" t="s">
        <v>428</v>
      </c>
      <c r="F587" t="s">
        <v>424</v>
      </c>
      <c r="G587" t="s">
        <v>426</v>
      </c>
      <c r="H587" t="s">
        <v>455</v>
      </c>
      <c r="I587" t="s">
        <v>422</v>
      </c>
      <c r="J587" t="s">
        <v>427</v>
      </c>
      <c r="N587" t="s">
        <v>425</v>
      </c>
    </row>
    <row r="588" spans="1:14" ht="15" customHeight="1" x14ac:dyDescent="0.25">
      <c r="A588" s="82">
        <v>42863</v>
      </c>
      <c r="B588" t="s">
        <v>430</v>
      </c>
      <c r="C588" t="s">
        <v>429</v>
      </c>
      <c r="D588" t="s">
        <v>421</v>
      </c>
      <c r="E588" t="s">
        <v>428</v>
      </c>
      <c r="F588" t="s">
        <v>427</v>
      </c>
      <c r="G588" t="s">
        <v>426</v>
      </c>
      <c r="H588" t="s">
        <v>424</v>
      </c>
      <c r="I588" t="s">
        <v>422</v>
      </c>
      <c r="J588" t="s">
        <v>455</v>
      </c>
      <c r="N588" t="s">
        <v>425</v>
      </c>
    </row>
    <row r="589" spans="1:14" ht="15" customHeight="1" x14ac:dyDescent="0.25">
      <c r="A589" s="82">
        <v>42864</v>
      </c>
      <c r="B589" t="s">
        <v>427</v>
      </c>
      <c r="C589" t="s">
        <v>421</v>
      </c>
      <c r="D589" t="s">
        <v>430</v>
      </c>
      <c r="E589" t="s">
        <v>428</v>
      </c>
      <c r="F589" t="s">
        <v>455</v>
      </c>
      <c r="G589" t="s">
        <v>426</v>
      </c>
      <c r="H589" t="s">
        <v>429</v>
      </c>
      <c r="I589" t="s">
        <v>422</v>
      </c>
      <c r="J589" t="s">
        <v>424</v>
      </c>
      <c r="N589" t="s">
        <v>425</v>
      </c>
    </row>
    <row r="590" spans="1:14" ht="15" customHeight="1" x14ac:dyDescent="0.25">
      <c r="A590" s="82">
        <v>42865</v>
      </c>
      <c r="B590" t="s">
        <v>455</v>
      </c>
      <c r="C590" t="s">
        <v>427</v>
      </c>
      <c r="D590" t="s">
        <v>430</v>
      </c>
      <c r="E590" t="s">
        <v>428</v>
      </c>
      <c r="F590" t="s">
        <v>429</v>
      </c>
      <c r="G590" t="s">
        <v>426</v>
      </c>
      <c r="H590" t="s">
        <v>421</v>
      </c>
      <c r="I590" t="s">
        <v>422</v>
      </c>
      <c r="J590" t="s">
        <v>424</v>
      </c>
      <c r="N590" t="s">
        <v>425</v>
      </c>
    </row>
    <row r="591" spans="1:14" ht="15" customHeight="1" x14ac:dyDescent="0.25">
      <c r="A591" s="82">
        <v>42866</v>
      </c>
      <c r="B591" t="s">
        <v>426</v>
      </c>
      <c r="C591" t="s">
        <v>455</v>
      </c>
      <c r="D591" t="s">
        <v>422</v>
      </c>
      <c r="E591" t="s">
        <v>428</v>
      </c>
      <c r="F591" t="s">
        <v>424</v>
      </c>
      <c r="G591" t="s">
        <v>426</v>
      </c>
      <c r="H591" t="s">
        <v>427</v>
      </c>
      <c r="I591" t="s">
        <v>422</v>
      </c>
      <c r="J591" t="s">
        <v>421</v>
      </c>
      <c r="N591" t="s">
        <v>425</v>
      </c>
    </row>
    <row r="592" spans="1:14" ht="15" customHeight="1" x14ac:dyDescent="0.25">
      <c r="A592" s="82">
        <v>42867</v>
      </c>
      <c r="B592" t="s">
        <v>426</v>
      </c>
      <c r="C592" t="s">
        <v>421</v>
      </c>
      <c r="D592" t="s">
        <v>422</v>
      </c>
      <c r="E592" t="s">
        <v>423</v>
      </c>
      <c r="F592" t="s">
        <v>425</v>
      </c>
      <c r="G592" t="s">
        <v>429</v>
      </c>
      <c r="H592" t="s">
        <v>427</v>
      </c>
      <c r="I592" t="s">
        <v>428</v>
      </c>
      <c r="J592" t="s">
        <v>424</v>
      </c>
      <c r="N592" t="s">
        <v>425</v>
      </c>
    </row>
    <row r="593" spans="1:14" ht="15" customHeight="1" x14ac:dyDescent="0.25">
      <c r="A593" s="82">
        <v>42868</v>
      </c>
      <c r="B593" t="s">
        <v>426</v>
      </c>
      <c r="C593" t="s">
        <v>421</v>
      </c>
      <c r="D593" t="s">
        <v>422</v>
      </c>
      <c r="E593" t="s">
        <v>423</v>
      </c>
      <c r="F593" t="s">
        <v>425</v>
      </c>
      <c r="G593" t="s">
        <v>429</v>
      </c>
      <c r="H593" t="s">
        <v>427</v>
      </c>
      <c r="I593" t="s">
        <v>428</v>
      </c>
      <c r="J593" t="s">
        <v>424</v>
      </c>
      <c r="N593" t="s">
        <v>430</v>
      </c>
    </row>
    <row r="594" spans="1:14" ht="15" customHeight="1" x14ac:dyDescent="0.25">
      <c r="A594" s="82">
        <v>42869</v>
      </c>
      <c r="B594" t="s">
        <v>426</v>
      </c>
      <c r="C594" t="s">
        <v>423</v>
      </c>
      <c r="D594" t="s">
        <v>422</v>
      </c>
      <c r="E594" t="s">
        <v>427</v>
      </c>
      <c r="F594" t="s">
        <v>425</v>
      </c>
      <c r="G594" t="s">
        <v>429</v>
      </c>
      <c r="H594" t="s">
        <v>421</v>
      </c>
      <c r="I594" t="s">
        <v>428</v>
      </c>
      <c r="J594" t="s">
        <v>424</v>
      </c>
      <c r="N594" t="s">
        <v>430</v>
      </c>
    </row>
    <row r="595" spans="1:14" ht="15" customHeight="1" x14ac:dyDescent="0.25">
      <c r="A595" s="82">
        <v>42870</v>
      </c>
      <c r="B595" t="s">
        <v>426</v>
      </c>
      <c r="C595" t="s">
        <v>424</v>
      </c>
      <c r="D595" t="s">
        <v>422</v>
      </c>
      <c r="E595" t="s">
        <v>455</v>
      </c>
      <c r="F595" t="s">
        <v>425</v>
      </c>
      <c r="G595" t="s">
        <v>429</v>
      </c>
      <c r="H595" t="s">
        <v>421</v>
      </c>
      <c r="I595" t="s">
        <v>428</v>
      </c>
      <c r="J595" t="s">
        <v>427</v>
      </c>
      <c r="N595" t="s">
        <v>430</v>
      </c>
    </row>
    <row r="596" spans="1:14" ht="15" customHeight="1" x14ac:dyDescent="0.25">
      <c r="A596" s="82">
        <v>42871</v>
      </c>
      <c r="B596" t="s">
        <v>426</v>
      </c>
      <c r="C596" t="s">
        <v>429</v>
      </c>
      <c r="D596" t="s">
        <v>422</v>
      </c>
      <c r="E596" t="s">
        <v>424</v>
      </c>
      <c r="F596" t="s">
        <v>425</v>
      </c>
      <c r="G596" t="s">
        <v>421</v>
      </c>
      <c r="H596" t="s">
        <v>430</v>
      </c>
      <c r="I596" t="s">
        <v>428</v>
      </c>
      <c r="J596" t="s">
        <v>455</v>
      </c>
      <c r="N596" t="s">
        <v>427</v>
      </c>
    </row>
    <row r="597" spans="1:14" ht="15" customHeight="1" x14ac:dyDescent="0.25">
      <c r="A597" s="82">
        <v>42872</v>
      </c>
      <c r="B597" t="s">
        <v>426</v>
      </c>
      <c r="C597" t="s">
        <v>421</v>
      </c>
      <c r="D597" t="s">
        <v>422</v>
      </c>
      <c r="E597" t="s">
        <v>424</v>
      </c>
      <c r="F597" t="s">
        <v>425</v>
      </c>
      <c r="G597" t="s">
        <v>427</v>
      </c>
      <c r="H597" t="s">
        <v>430</v>
      </c>
      <c r="I597" t="s">
        <v>428</v>
      </c>
      <c r="J597" t="s">
        <v>429</v>
      </c>
      <c r="N597" t="s">
        <v>455</v>
      </c>
    </row>
    <row r="598" spans="1:14" ht="15" customHeight="1" x14ac:dyDescent="0.25">
      <c r="A598" s="82">
        <v>42873</v>
      </c>
      <c r="B598" t="s">
        <v>426</v>
      </c>
      <c r="C598" t="s">
        <v>427</v>
      </c>
      <c r="D598" t="s">
        <v>422</v>
      </c>
      <c r="E598" t="s">
        <v>421</v>
      </c>
      <c r="F598" t="s">
        <v>425</v>
      </c>
      <c r="G598" t="s">
        <v>455</v>
      </c>
      <c r="H598" t="s">
        <v>422</v>
      </c>
      <c r="I598" t="s">
        <v>428</v>
      </c>
      <c r="J598" t="s">
        <v>424</v>
      </c>
      <c r="N598" t="s">
        <v>426</v>
      </c>
    </row>
    <row r="599" spans="1:14" ht="15" customHeight="1" x14ac:dyDescent="0.25">
      <c r="A599" s="82">
        <v>42874</v>
      </c>
      <c r="B599" t="s">
        <v>429</v>
      </c>
      <c r="C599" t="s">
        <v>455</v>
      </c>
      <c r="D599" t="s">
        <v>428</v>
      </c>
      <c r="E599" t="s">
        <v>424</v>
      </c>
      <c r="F599" t="s">
        <v>425</v>
      </c>
      <c r="G599" t="s">
        <v>421</v>
      </c>
      <c r="H599" t="s">
        <v>422</v>
      </c>
      <c r="I599" t="s">
        <v>427</v>
      </c>
      <c r="J599" t="s">
        <v>425</v>
      </c>
      <c r="N599" t="s">
        <v>426</v>
      </c>
    </row>
    <row r="600" spans="1:14" ht="15" customHeight="1" x14ac:dyDescent="0.25">
      <c r="A600" s="82">
        <v>42875</v>
      </c>
      <c r="B600" t="s">
        <v>429</v>
      </c>
      <c r="C600" t="s">
        <v>421</v>
      </c>
      <c r="D600" t="s">
        <v>428</v>
      </c>
      <c r="E600" t="s">
        <v>424</v>
      </c>
      <c r="F600" t="s">
        <v>430</v>
      </c>
      <c r="G600" t="s">
        <v>427</v>
      </c>
      <c r="H600" t="s">
        <v>422</v>
      </c>
      <c r="I600" t="s">
        <v>455</v>
      </c>
      <c r="J600" t="s">
        <v>425</v>
      </c>
      <c r="N600" t="s">
        <v>426</v>
      </c>
    </row>
    <row r="601" spans="1:14" ht="15" customHeight="1" x14ac:dyDescent="0.25">
      <c r="A601" s="82">
        <v>42876</v>
      </c>
      <c r="B601" t="s">
        <v>429</v>
      </c>
      <c r="C601" t="s">
        <v>421</v>
      </c>
      <c r="D601" t="s">
        <v>428</v>
      </c>
      <c r="E601" t="s">
        <v>449</v>
      </c>
      <c r="F601" t="s">
        <v>430</v>
      </c>
      <c r="G601" t="s">
        <v>455</v>
      </c>
      <c r="H601" t="s">
        <v>445</v>
      </c>
      <c r="I601" t="s">
        <v>427</v>
      </c>
      <c r="J601" t="s">
        <v>425</v>
      </c>
      <c r="N601" t="s">
        <v>484</v>
      </c>
    </row>
    <row r="602" spans="1:14" ht="15" customHeight="1" x14ac:dyDescent="0.25">
      <c r="A602" s="82">
        <v>42877</v>
      </c>
      <c r="B602" t="s">
        <v>429</v>
      </c>
      <c r="C602" t="s">
        <v>421</v>
      </c>
      <c r="D602" t="s">
        <v>428</v>
      </c>
      <c r="E602" t="s">
        <v>427</v>
      </c>
      <c r="F602" t="s">
        <v>430</v>
      </c>
      <c r="G602" t="s">
        <v>424</v>
      </c>
      <c r="H602" t="s">
        <v>422</v>
      </c>
      <c r="I602" t="s">
        <v>455</v>
      </c>
      <c r="J602" t="s">
        <v>425</v>
      </c>
      <c r="N602" t="s">
        <v>426</v>
      </c>
    </row>
    <row r="603" spans="1:14" ht="15" customHeight="1" x14ac:dyDescent="0.25">
      <c r="A603" s="82">
        <v>42878</v>
      </c>
      <c r="B603" t="s">
        <v>421</v>
      </c>
      <c r="C603" t="s">
        <v>430</v>
      </c>
      <c r="D603" t="s">
        <v>428</v>
      </c>
      <c r="E603" t="s">
        <v>455</v>
      </c>
      <c r="F603" t="s">
        <v>427</v>
      </c>
      <c r="G603" t="s">
        <v>429</v>
      </c>
      <c r="H603" t="s">
        <v>422</v>
      </c>
      <c r="I603" t="s">
        <v>424</v>
      </c>
      <c r="J603" t="s">
        <v>425</v>
      </c>
      <c r="N603" t="s">
        <v>426</v>
      </c>
    </row>
    <row r="604" spans="1:14" ht="15" customHeight="1" x14ac:dyDescent="0.25">
      <c r="A604" s="82">
        <v>42879</v>
      </c>
      <c r="B604" t="s">
        <v>427</v>
      </c>
      <c r="C604" t="s">
        <v>430</v>
      </c>
      <c r="D604" t="s">
        <v>428</v>
      </c>
      <c r="E604" t="s">
        <v>429</v>
      </c>
      <c r="F604" t="s">
        <v>455</v>
      </c>
      <c r="G604" t="s">
        <v>421</v>
      </c>
      <c r="H604" t="s">
        <v>422</v>
      </c>
      <c r="I604" t="s">
        <v>424</v>
      </c>
      <c r="J604" t="s">
        <v>425</v>
      </c>
      <c r="N604" t="s">
        <v>426</v>
      </c>
    </row>
    <row r="605" spans="1:14" ht="15" customHeight="1" x14ac:dyDescent="0.25">
      <c r="A605" s="82">
        <v>42880</v>
      </c>
      <c r="B605" t="s">
        <v>455</v>
      </c>
      <c r="C605" t="s">
        <v>422</v>
      </c>
      <c r="D605" t="s">
        <v>428</v>
      </c>
      <c r="E605" t="s">
        <v>424</v>
      </c>
      <c r="F605" t="s">
        <v>426</v>
      </c>
      <c r="G605" t="s">
        <v>427</v>
      </c>
      <c r="H605" t="s">
        <v>422</v>
      </c>
      <c r="I605" t="s">
        <v>421</v>
      </c>
      <c r="J605" t="s">
        <v>425</v>
      </c>
      <c r="N605" t="s">
        <v>426</v>
      </c>
    </row>
    <row r="606" spans="1:14" ht="15" customHeight="1" x14ac:dyDescent="0.25">
      <c r="A606" s="82">
        <v>42881</v>
      </c>
      <c r="B606" t="s">
        <v>421</v>
      </c>
      <c r="C606" t="s">
        <v>422</v>
      </c>
      <c r="D606" t="s">
        <v>427</v>
      </c>
      <c r="E606" t="s">
        <v>425</v>
      </c>
      <c r="F606" t="s">
        <v>426</v>
      </c>
      <c r="G606" t="s">
        <v>455</v>
      </c>
      <c r="H606" t="s">
        <v>428</v>
      </c>
      <c r="I606" t="s">
        <v>424</v>
      </c>
      <c r="J606" t="s">
        <v>425</v>
      </c>
      <c r="N606" t="s">
        <v>429</v>
      </c>
    </row>
    <row r="607" spans="1:14" ht="15" customHeight="1" x14ac:dyDescent="0.25">
      <c r="A607" s="82">
        <v>42882</v>
      </c>
      <c r="B607" t="s">
        <v>427</v>
      </c>
      <c r="C607" t="s">
        <v>422</v>
      </c>
      <c r="D607" t="s">
        <v>455</v>
      </c>
      <c r="E607" t="s">
        <v>425</v>
      </c>
      <c r="F607" t="s">
        <v>426</v>
      </c>
      <c r="G607" t="s">
        <v>421</v>
      </c>
      <c r="H607" t="s">
        <v>428</v>
      </c>
      <c r="I607" t="s">
        <v>424</v>
      </c>
      <c r="J607" t="s">
        <v>430</v>
      </c>
      <c r="N607" t="s">
        <v>429</v>
      </c>
    </row>
    <row r="608" spans="1:14" ht="15" customHeight="1" x14ac:dyDescent="0.25">
      <c r="A608" s="82">
        <v>42883</v>
      </c>
      <c r="B608" t="s">
        <v>421</v>
      </c>
      <c r="C608" t="s">
        <v>422</v>
      </c>
      <c r="D608" t="s">
        <v>427</v>
      </c>
      <c r="E608" t="s">
        <v>425</v>
      </c>
      <c r="F608" t="s">
        <v>426</v>
      </c>
      <c r="G608" t="s">
        <v>421</v>
      </c>
      <c r="H608" t="s">
        <v>428</v>
      </c>
      <c r="I608" t="s">
        <v>424</v>
      </c>
      <c r="J608" t="s">
        <v>430</v>
      </c>
      <c r="N608" t="s">
        <v>429</v>
      </c>
    </row>
    <row r="609" spans="1:14" ht="15" customHeight="1" x14ac:dyDescent="0.25">
      <c r="A609" s="82">
        <v>42884</v>
      </c>
      <c r="B609" t="s">
        <v>424</v>
      </c>
      <c r="C609" t="s">
        <v>454</v>
      </c>
      <c r="D609" t="s">
        <v>455</v>
      </c>
      <c r="E609" t="s">
        <v>425</v>
      </c>
      <c r="F609" t="s">
        <v>426</v>
      </c>
      <c r="G609" t="s">
        <v>421</v>
      </c>
      <c r="H609" t="s">
        <v>428</v>
      </c>
      <c r="I609" t="s">
        <v>427</v>
      </c>
      <c r="J609" t="s">
        <v>430</v>
      </c>
      <c r="N609" t="s">
        <v>429</v>
      </c>
    </row>
    <row r="610" spans="1:14" ht="15" customHeight="1" x14ac:dyDescent="0.25">
      <c r="A610" s="82">
        <v>42885</v>
      </c>
      <c r="B610" t="s">
        <v>429</v>
      </c>
      <c r="C610" t="s">
        <v>422</v>
      </c>
      <c r="D610" t="s">
        <v>466</v>
      </c>
      <c r="E610" t="s">
        <v>425</v>
      </c>
      <c r="F610" t="s">
        <v>426</v>
      </c>
      <c r="G610" t="s">
        <v>430</v>
      </c>
      <c r="H610" t="s">
        <v>428</v>
      </c>
      <c r="I610" t="s">
        <v>455</v>
      </c>
      <c r="J610" t="s">
        <v>427</v>
      </c>
      <c r="N610" t="s">
        <v>421</v>
      </c>
    </row>
    <row r="611" spans="1:14" ht="15" customHeight="1" x14ac:dyDescent="0.25">
      <c r="A611" s="82">
        <v>42886</v>
      </c>
      <c r="B611" t="s">
        <v>421</v>
      </c>
      <c r="C611" t="s">
        <v>422</v>
      </c>
      <c r="D611" t="s">
        <v>466</v>
      </c>
      <c r="E611" t="s">
        <v>425</v>
      </c>
      <c r="F611" t="s">
        <v>426</v>
      </c>
      <c r="G611" t="s">
        <v>430</v>
      </c>
      <c r="H611" t="s">
        <v>428</v>
      </c>
      <c r="I611" t="s">
        <v>429</v>
      </c>
      <c r="J611" t="s">
        <v>455</v>
      </c>
      <c r="N611" t="s">
        <v>427</v>
      </c>
    </row>
    <row r="612" spans="1:14" ht="15" customHeight="1" x14ac:dyDescent="0.25">
      <c r="A612" s="82">
        <v>42887</v>
      </c>
      <c r="B612" t="s">
        <v>427</v>
      </c>
      <c r="C612" t="s">
        <v>422</v>
      </c>
      <c r="D612" t="s">
        <v>421</v>
      </c>
      <c r="E612" t="s">
        <v>425</v>
      </c>
      <c r="F612" t="s">
        <v>426</v>
      </c>
      <c r="G612" t="s">
        <v>422</v>
      </c>
      <c r="H612" t="s">
        <v>428</v>
      </c>
      <c r="I612" t="s">
        <v>424</v>
      </c>
      <c r="J612" t="s">
        <v>426</v>
      </c>
      <c r="N612" t="s">
        <v>455</v>
      </c>
    </row>
    <row r="613" spans="1:14" ht="15" customHeight="1" x14ac:dyDescent="0.25">
      <c r="A613" s="82">
        <v>42888</v>
      </c>
      <c r="B613" t="s">
        <v>455</v>
      </c>
      <c r="C613" t="s">
        <v>428</v>
      </c>
      <c r="D613" t="s">
        <v>424</v>
      </c>
      <c r="E613" t="s">
        <v>425</v>
      </c>
      <c r="F613" t="s">
        <v>429</v>
      </c>
      <c r="G613" t="s">
        <v>422</v>
      </c>
      <c r="H613" t="s">
        <v>427</v>
      </c>
      <c r="I613" t="s">
        <v>425</v>
      </c>
      <c r="J613" t="s">
        <v>426</v>
      </c>
      <c r="N613" t="s">
        <v>421</v>
      </c>
    </row>
    <row r="614" spans="1:14" ht="15" customHeight="1" x14ac:dyDescent="0.25">
      <c r="A614" s="82">
        <v>42889</v>
      </c>
      <c r="B614" t="s">
        <v>423</v>
      </c>
      <c r="C614" t="s">
        <v>428</v>
      </c>
      <c r="D614" t="s">
        <v>424</v>
      </c>
      <c r="E614" t="s">
        <v>430</v>
      </c>
      <c r="F614" t="s">
        <v>429</v>
      </c>
      <c r="G614" t="s">
        <v>422</v>
      </c>
      <c r="H614" t="s">
        <v>455</v>
      </c>
      <c r="I614" t="s">
        <v>425</v>
      </c>
      <c r="J614" t="s">
        <v>426</v>
      </c>
      <c r="N614" t="s">
        <v>427</v>
      </c>
    </row>
    <row r="615" spans="1:14" ht="15" customHeight="1" x14ac:dyDescent="0.25">
      <c r="A615" s="82">
        <v>42890</v>
      </c>
      <c r="B615" t="s">
        <v>423</v>
      </c>
      <c r="C615" t="s">
        <v>428</v>
      </c>
      <c r="D615" t="s">
        <v>424</v>
      </c>
      <c r="E615" t="s">
        <v>430</v>
      </c>
      <c r="F615" t="s">
        <v>429</v>
      </c>
      <c r="G615" t="s">
        <v>422</v>
      </c>
      <c r="H615" t="s">
        <v>427</v>
      </c>
      <c r="I615" t="s">
        <v>425</v>
      </c>
      <c r="J615" t="s">
        <v>426</v>
      </c>
      <c r="N615" t="s">
        <v>455</v>
      </c>
    </row>
    <row r="616" spans="1:14" ht="15" customHeight="1" x14ac:dyDescent="0.25">
      <c r="A616" s="82">
        <v>42891</v>
      </c>
      <c r="B616" t="s">
        <v>421</v>
      </c>
      <c r="C616" t="s">
        <v>428</v>
      </c>
      <c r="D616" t="s">
        <v>427</v>
      </c>
      <c r="E616" t="s">
        <v>430</v>
      </c>
      <c r="F616" t="s">
        <v>429</v>
      </c>
      <c r="G616" t="s">
        <v>422</v>
      </c>
      <c r="H616" t="s">
        <v>455</v>
      </c>
      <c r="I616" t="s">
        <v>425</v>
      </c>
      <c r="J616" t="s">
        <v>426</v>
      </c>
      <c r="N616" t="s">
        <v>424</v>
      </c>
    </row>
    <row r="617" spans="1:14" ht="15" customHeight="1" x14ac:dyDescent="0.25">
      <c r="A617" s="82">
        <v>42892</v>
      </c>
      <c r="B617" t="s">
        <v>430</v>
      </c>
      <c r="C617" t="s">
        <v>428</v>
      </c>
      <c r="D617" t="s">
        <v>455</v>
      </c>
      <c r="E617" t="s">
        <v>427</v>
      </c>
      <c r="F617" t="s">
        <v>421</v>
      </c>
      <c r="G617" t="s">
        <v>422</v>
      </c>
      <c r="H617" t="s">
        <v>424</v>
      </c>
      <c r="I617" t="s">
        <v>425</v>
      </c>
      <c r="J617" t="s">
        <v>426</v>
      </c>
      <c r="N617" t="s">
        <v>429</v>
      </c>
    </row>
    <row r="618" spans="1:14" ht="15" customHeight="1" x14ac:dyDescent="0.25">
      <c r="A618" s="82">
        <v>42893</v>
      </c>
      <c r="B618" t="s">
        <v>430</v>
      </c>
      <c r="C618" t="s">
        <v>428</v>
      </c>
      <c r="D618" t="s">
        <v>429</v>
      </c>
      <c r="E618" t="s">
        <v>455</v>
      </c>
      <c r="F618" t="s">
        <v>427</v>
      </c>
      <c r="G618" t="s">
        <v>422</v>
      </c>
      <c r="H618" t="s">
        <v>424</v>
      </c>
      <c r="I618" t="s">
        <v>425</v>
      </c>
      <c r="J618" t="s">
        <v>426</v>
      </c>
      <c r="N618" t="s">
        <v>421</v>
      </c>
    </row>
    <row r="619" spans="1:14" ht="15" customHeight="1" x14ac:dyDescent="0.25">
      <c r="A619" s="82">
        <v>42894</v>
      </c>
      <c r="B619" t="s">
        <v>485</v>
      </c>
      <c r="C619" t="s">
        <v>428</v>
      </c>
      <c r="D619" t="s">
        <v>424</v>
      </c>
      <c r="E619" t="s">
        <v>486</v>
      </c>
      <c r="F619" t="s">
        <v>455</v>
      </c>
      <c r="G619" t="s">
        <v>422</v>
      </c>
      <c r="H619" t="s">
        <v>421</v>
      </c>
      <c r="I619" t="s">
        <v>425</v>
      </c>
      <c r="J619" t="s">
        <v>426</v>
      </c>
      <c r="N619" t="s">
        <v>427</v>
      </c>
    </row>
    <row r="620" spans="1:14" ht="15" customHeight="1" x14ac:dyDescent="0.25">
      <c r="A620" s="82">
        <v>42895</v>
      </c>
      <c r="B620" t="s">
        <v>485</v>
      </c>
      <c r="C620" t="s">
        <v>427</v>
      </c>
      <c r="D620" t="s">
        <v>425</v>
      </c>
      <c r="E620" t="s">
        <v>486</v>
      </c>
      <c r="F620" t="s">
        <v>421</v>
      </c>
      <c r="G620" t="s">
        <v>428</v>
      </c>
      <c r="H620" t="s">
        <v>424</v>
      </c>
      <c r="I620" t="s">
        <v>425</v>
      </c>
      <c r="J620" t="s">
        <v>429</v>
      </c>
      <c r="N620" t="s">
        <v>455</v>
      </c>
    </row>
    <row r="621" spans="1:14" ht="15" customHeight="1" x14ac:dyDescent="0.25">
      <c r="A621" s="82">
        <v>42896</v>
      </c>
      <c r="B621" t="s">
        <v>485</v>
      </c>
      <c r="C621" t="s">
        <v>455</v>
      </c>
      <c r="D621" t="s">
        <v>425</v>
      </c>
      <c r="E621" t="s">
        <v>486</v>
      </c>
      <c r="F621" t="s">
        <v>427</v>
      </c>
      <c r="G621" t="s">
        <v>428</v>
      </c>
      <c r="H621" t="s">
        <v>439</v>
      </c>
      <c r="I621" t="s">
        <v>430</v>
      </c>
      <c r="J621" t="s">
        <v>503</v>
      </c>
      <c r="N621" t="s">
        <v>421</v>
      </c>
    </row>
    <row r="622" spans="1:14" ht="15" customHeight="1" x14ac:dyDescent="0.25">
      <c r="A622" s="82">
        <v>42897</v>
      </c>
      <c r="B622" t="s">
        <v>485</v>
      </c>
      <c r="C622" t="s">
        <v>427</v>
      </c>
      <c r="D622" t="s">
        <v>425</v>
      </c>
      <c r="E622" t="s">
        <v>486</v>
      </c>
      <c r="F622" t="s">
        <v>455</v>
      </c>
      <c r="G622" t="s">
        <v>428</v>
      </c>
      <c r="H622" t="s">
        <v>424</v>
      </c>
      <c r="I622" t="s">
        <v>430</v>
      </c>
      <c r="J622" t="s">
        <v>429</v>
      </c>
      <c r="N622" t="s">
        <v>421</v>
      </c>
    </row>
    <row r="623" spans="1:14" ht="15" customHeight="1" x14ac:dyDescent="0.25">
      <c r="A623" s="82">
        <v>42898</v>
      </c>
      <c r="B623" t="s">
        <v>485</v>
      </c>
      <c r="C623" t="s">
        <v>455</v>
      </c>
      <c r="D623" t="s">
        <v>425</v>
      </c>
      <c r="E623" t="s">
        <v>486</v>
      </c>
      <c r="F623" t="s">
        <v>424</v>
      </c>
      <c r="G623" t="s">
        <v>428</v>
      </c>
      <c r="H623" t="s">
        <v>427</v>
      </c>
      <c r="I623" t="s">
        <v>430</v>
      </c>
      <c r="J623" t="s">
        <v>429</v>
      </c>
      <c r="N623" t="s">
        <v>421</v>
      </c>
    </row>
    <row r="624" spans="1:14" ht="15" customHeight="1" x14ac:dyDescent="0.25">
      <c r="A624" s="82">
        <v>42899</v>
      </c>
      <c r="B624" t="s">
        <v>485</v>
      </c>
      <c r="C624" t="s">
        <v>424</v>
      </c>
      <c r="D624" t="s">
        <v>425</v>
      </c>
      <c r="E624" t="s">
        <v>486</v>
      </c>
      <c r="F624" t="s">
        <v>429</v>
      </c>
      <c r="G624" t="s">
        <v>428</v>
      </c>
      <c r="H624" t="s">
        <v>455</v>
      </c>
      <c r="I624" t="s">
        <v>427</v>
      </c>
      <c r="J624" t="s">
        <v>421</v>
      </c>
      <c r="N624" t="s">
        <v>430</v>
      </c>
    </row>
    <row r="625" spans="1:14" ht="15" customHeight="1" x14ac:dyDescent="0.25">
      <c r="A625" s="82">
        <v>42900</v>
      </c>
      <c r="B625" t="s">
        <v>485</v>
      </c>
      <c r="C625" t="s">
        <v>424</v>
      </c>
      <c r="D625" t="s">
        <v>425</v>
      </c>
      <c r="E625" t="s">
        <v>486</v>
      </c>
      <c r="F625" t="s">
        <v>421</v>
      </c>
      <c r="G625" t="s">
        <v>428</v>
      </c>
      <c r="H625" t="s">
        <v>429</v>
      </c>
      <c r="I625" t="s">
        <v>455</v>
      </c>
      <c r="J625" t="s">
        <v>427</v>
      </c>
      <c r="N625" t="s">
        <v>430</v>
      </c>
    </row>
    <row r="626" spans="1:14" ht="15" customHeight="1" x14ac:dyDescent="0.25">
      <c r="A626" s="82">
        <v>42901</v>
      </c>
      <c r="B626" t="s">
        <v>485</v>
      </c>
      <c r="C626" t="s">
        <v>421</v>
      </c>
      <c r="D626" t="s">
        <v>425</v>
      </c>
      <c r="E626" t="s">
        <v>486</v>
      </c>
      <c r="F626" t="s">
        <v>427</v>
      </c>
      <c r="G626" t="s">
        <v>428</v>
      </c>
      <c r="H626" t="s">
        <v>424</v>
      </c>
      <c r="I626" t="s">
        <v>486</v>
      </c>
      <c r="J626" t="s">
        <v>455</v>
      </c>
      <c r="N626" t="s">
        <v>485</v>
      </c>
    </row>
    <row r="627" spans="1:14" ht="15" customHeight="1" x14ac:dyDescent="0.25">
      <c r="A627" s="82">
        <v>42902</v>
      </c>
      <c r="B627" t="s">
        <v>428</v>
      </c>
      <c r="C627" t="s">
        <v>424</v>
      </c>
      <c r="D627" t="s">
        <v>425</v>
      </c>
      <c r="E627" t="s">
        <v>429</v>
      </c>
      <c r="F627" t="s">
        <v>455</v>
      </c>
      <c r="G627" t="s">
        <v>427</v>
      </c>
      <c r="H627" t="s">
        <v>425</v>
      </c>
      <c r="I627" t="s">
        <v>486</v>
      </c>
      <c r="J627" t="s">
        <v>421</v>
      </c>
      <c r="N627" t="s">
        <v>485</v>
      </c>
    </row>
    <row r="628" spans="1:14" ht="15" customHeight="1" x14ac:dyDescent="0.25">
      <c r="A628" s="82">
        <v>42903</v>
      </c>
      <c r="B628" t="s">
        <v>428</v>
      </c>
      <c r="C628" t="s">
        <v>424</v>
      </c>
      <c r="D628" t="s">
        <v>430</v>
      </c>
      <c r="E628" t="s">
        <v>429</v>
      </c>
      <c r="F628" t="s">
        <v>421</v>
      </c>
      <c r="G628" t="s">
        <v>455</v>
      </c>
      <c r="H628" t="s">
        <v>425</v>
      </c>
      <c r="I628" t="s">
        <v>486</v>
      </c>
      <c r="J628" t="s">
        <v>427</v>
      </c>
      <c r="N628" t="s">
        <v>485</v>
      </c>
    </row>
    <row r="629" spans="1:14" ht="15" customHeight="1" x14ac:dyDescent="0.25">
      <c r="A629" s="82">
        <v>42904</v>
      </c>
      <c r="B629" t="s">
        <v>428</v>
      </c>
      <c r="C629" t="s">
        <v>424</v>
      </c>
      <c r="D629" t="s">
        <v>430</v>
      </c>
      <c r="E629" t="s">
        <v>429</v>
      </c>
      <c r="F629" t="s">
        <v>421</v>
      </c>
      <c r="G629" t="s">
        <v>427</v>
      </c>
      <c r="H629" t="s">
        <v>425</v>
      </c>
      <c r="I629" t="s">
        <v>486</v>
      </c>
      <c r="J629" t="s">
        <v>455</v>
      </c>
      <c r="N629" t="s">
        <v>485</v>
      </c>
    </row>
    <row r="630" spans="1:14" ht="15" customHeight="1" x14ac:dyDescent="0.25">
      <c r="A630" s="82">
        <v>42905</v>
      </c>
      <c r="B630" t="s">
        <v>428</v>
      </c>
      <c r="C630" t="s">
        <v>427</v>
      </c>
      <c r="D630" t="s">
        <v>430</v>
      </c>
      <c r="E630" t="s">
        <v>429</v>
      </c>
      <c r="F630" t="s">
        <v>421</v>
      </c>
      <c r="G630" t="s">
        <v>455</v>
      </c>
      <c r="H630" t="s">
        <v>425</v>
      </c>
      <c r="I630" t="s">
        <v>486</v>
      </c>
      <c r="J630" t="s">
        <v>424</v>
      </c>
      <c r="N630" t="s">
        <v>485</v>
      </c>
    </row>
    <row r="631" spans="1:14" ht="15" customHeight="1" x14ac:dyDescent="0.25">
      <c r="A631" s="82">
        <v>42906</v>
      </c>
      <c r="B631" t="s">
        <v>428</v>
      </c>
      <c r="C631" t="s">
        <v>455</v>
      </c>
      <c r="D631" t="s">
        <v>427</v>
      </c>
      <c r="E631" t="s">
        <v>421</v>
      </c>
      <c r="F631" t="s">
        <v>430</v>
      </c>
      <c r="G631" t="s">
        <v>424</v>
      </c>
      <c r="H631" t="s">
        <v>425</v>
      </c>
      <c r="I631" t="s">
        <v>486</v>
      </c>
      <c r="J631" t="s">
        <v>429</v>
      </c>
      <c r="N631" t="s">
        <v>485</v>
      </c>
    </row>
    <row r="632" spans="1:14" ht="15" customHeight="1" x14ac:dyDescent="0.25">
      <c r="A632" s="82">
        <v>42907</v>
      </c>
      <c r="B632" t="s">
        <v>428</v>
      </c>
      <c r="C632" t="s">
        <v>429</v>
      </c>
      <c r="D632" t="s">
        <v>455</v>
      </c>
      <c r="E632" t="s">
        <v>427</v>
      </c>
      <c r="F632" t="s">
        <v>430</v>
      </c>
      <c r="G632" t="s">
        <v>424</v>
      </c>
      <c r="H632" t="s">
        <v>425</v>
      </c>
      <c r="I632" t="s">
        <v>486</v>
      </c>
      <c r="J632" t="s">
        <v>421</v>
      </c>
      <c r="N632" t="s">
        <v>485</v>
      </c>
    </row>
    <row r="633" spans="1:14" ht="15" customHeight="1" x14ac:dyDescent="0.25">
      <c r="A633" s="82">
        <v>42908</v>
      </c>
      <c r="B633" t="s">
        <v>428</v>
      </c>
      <c r="C633" t="s">
        <v>424</v>
      </c>
      <c r="D633" t="s">
        <v>486</v>
      </c>
      <c r="E633" t="s">
        <v>455</v>
      </c>
      <c r="F633" t="s">
        <v>485</v>
      </c>
      <c r="G633" t="s">
        <v>421</v>
      </c>
      <c r="H633" t="s">
        <v>425</v>
      </c>
      <c r="I633" t="s">
        <v>486</v>
      </c>
      <c r="J633" t="s">
        <v>427</v>
      </c>
      <c r="N633" t="s">
        <v>485</v>
      </c>
    </row>
    <row r="634" spans="1:14" ht="15" customHeight="1" x14ac:dyDescent="0.25">
      <c r="A634" s="82">
        <v>42909</v>
      </c>
      <c r="B634" t="s">
        <v>427</v>
      </c>
      <c r="C634" t="s">
        <v>425</v>
      </c>
      <c r="D634" t="s">
        <v>504</v>
      </c>
      <c r="E634" t="s">
        <v>421</v>
      </c>
      <c r="F634" t="s">
        <v>485</v>
      </c>
      <c r="G634" t="s">
        <v>424</v>
      </c>
      <c r="H634" t="s">
        <v>425</v>
      </c>
      <c r="I634" t="s">
        <v>429</v>
      </c>
      <c r="J634" t="s">
        <v>455</v>
      </c>
      <c r="N634" t="s">
        <v>428</v>
      </c>
    </row>
    <row r="635" spans="1:14" ht="15" customHeight="1" x14ac:dyDescent="0.25">
      <c r="A635" s="82">
        <v>42910</v>
      </c>
      <c r="B635" t="s">
        <v>421</v>
      </c>
      <c r="C635" t="s">
        <v>425</v>
      </c>
      <c r="D635" t="s">
        <v>504</v>
      </c>
      <c r="E635" t="s">
        <v>427</v>
      </c>
      <c r="F635" t="s">
        <v>485</v>
      </c>
      <c r="G635" t="s">
        <v>424</v>
      </c>
      <c r="H635" t="s">
        <v>430</v>
      </c>
      <c r="I635" t="s">
        <v>429</v>
      </c>
      <c r="J635" t="s">
        <v>421</v>
      </c>
      <c r="N635" t="s">
        <v>428</v>
      </c>
    </row>
    <row r="636" spans="1:14" ht="15" customHeight="1" x14ac:dyDescent="0.25">
      <c r="A636" s="82">
        <v>42911</v>
      </c>
      <c r="B636" t="s">
        <v>427</v>
      </c>
      <c r="C636" t="s">
        <v>425</v>
      </c>
      <c r="D636" t="s">
        <v>504</v>
      </c>
      <c r="E636" t="s">
        <v>455</v>
      </c>
      <c r="F636" t="s">
        <v>485</v>
      </c>
      <c r="G636" t="s">
        <v>424</v>
      </c>
      <c r="H636" t="s">
        <v>430</v>
      </c>
      <c r="I636" t="s">
        <v>429</v>
      </c>
      <c r="J636" t="s">
        <v>421</v>
      </c>
      <c r="N636" t="s">
        <v>428</v>
      </c>
    </row>
    <row r="637" spans="1:14" ht="15" customHeight="1" x14ac:dyDescent="0.25">
      <c r="A637" s="82">
        <v>42912</v>
      </c>
      <c r="B637" t="s">
        <v>455</v>
      </c>
      <c r="C637" t="s">
        <v>425</v>
      </c>
      <c r="D637" t="s">
        <v>486</v>
      </c>
      <c r="E637" t="s">
        <v>424</v>
      </c>
      <c r="F637" t="s">
        <v>485</v>
      </c>
      <c r="G637" t="s">
        <v>427</v>
      </c>
      <c r="H637" t="s">
        <v>430</v>
      </c>
      <c r="I637" t="s">
        <v>429</v>
      </c>
      <c r="J637" t="s">
        <v>421</v>
      </c>
      <c r="N637" t="s">
        <v>428</v>
      </c>
    </row>
    <row r="638" spans="1:14" ht="15" customHeight="1" x14ac:dyDescent="0.25">
      <c r="A638" s="82">
        <v>42913</v>
      </c>
      <c r="B638" t="s">
        <v>424</v>
      </c>
      <c r="C638" t="s">
        <v>425</v>
      </c>
      <c r="D638" t="s">
        <v>486</v>
      </c>
      <c r="E638" t="s">
        <v>429</v>
      </c>
      <c r="F638" t="s">
        <v>485</v>
      </c>
      <c r="G638" t="s">
        <v>455</v>
      </c>
      <c r="H638" t="s">
        <v>427</v>
      </c>
      <c r="I638" t="s">
        <v>421</v>
      </c>
      <c r="J638" t="s">
        <v>430</v>
      </c>
      <c r="N638" t="s">
        <v>428</v>
      </c>
    </row>
    <row r="639" spans="1:14" ht="15" customHeight="1" x14ac:dyDescent="0.25">
      <c r="A639" s="82">
        <v>42914</v>
      </c>
      <c r="B639" t="s">
        <v>424</v>
      </c>
      <c r="C639" t="s">
        <v>425</v>
      </c>
      <c r="D639" t="s">
        <v>486</v>
      </c>
      <c r="E639" t="s">
        <v>421</v>
      </c>
      <c r="F639" t="s">
        <v>485</v>
      </c>
      <c r="G639" t="s">
        <v>429</v>
      </c>
      <c r="H639" t="s">
        <v>455</v>
      </c>
      <c r="I639" t="s">
        <v>427</v>
      </c>
      <c r="J639" t="s">
        <v>430</v>
      </c>
      <c r="N639" t="s">
        <v>428</v>
      </c>
    </row>
    <row r="640" spans="1:14" ht="15" customHeight="1" x14ac:dyDescent="0.25">
      <c r="A640" s="82">
        <v>42915</v>
      </c>
      <c r="B640" t="s">
        <v>424</v>
      </c>
      <c r="C640" t="s">
        <v>425</v>
      </c>
      <c r="D640" t="s">
        <v>486</v>
      </c>
      <c r="E640" t="s">
        <v>427</v>
      </c>
      <c r="F640" t="s">
        <v>485</v>
      </c>
      <c r="G640" t="s">
        <v>424</v>
      </c>
      <c r="H640" t="s">
        <v>486</v>
      </c>
      <c r="I640" t="s">
        <v>455</v>
      </c>
      <c r="J640" t="s">
        <v>485</v>
      </c>
      <c r="N640" t="s">
        <v>428</v>
      </c>
    </row>
    <row r="641" spans="1:14" ht="15" customHeight="1" x14ac:dyDescent="0.25">
      <c r="A641" s="82">
        <v>42916</v>
      </c>
      <c r="B641" t="s">
        <v>424</v>
      </c>
      <c r="C641" t="s">
        <v>425</v>
      </c>
      <c r="D641" t="s">
        <v>429</v>
      </c>
      <c r="E641" t="s">
        <v>455</v>
      </c>
      <c r="F641" t="s">
        <v>428</v>
      </c>
      <c r="G641" t="s">
        <v>425</v>
      </c>
      <c r="H641" t="s">
        <v>486</v>
      </c>
      <c r="I641" t="s">
        <v>421</v>
      </c>
      <c r="J641" t="s">
        <v>485</v>
      </c>
      <c r="N641" t="s">
        <v>427</v>
      </c>
    </row>
    <row r="642" spans="1:14" ht="15" customHeight="1" x14ac:dyDescent="0.25">
      <c r="A642" s="82">
        <v>42917</v>
      </c>
      <c r="B642" t="s">
        <v>424</v>
      </c>
      <c r="C642" t="s">
        <v>430</v>
      </c>
      <c r="D642" t="s">
        <v>429</v>
      </c>
      <c r="E642" t="s">
        <v>421</v>
      </c>
      <c r="F642" t="s">
        <v>428</v>
      </c>
      <c r="G642" t="s">
        <v>425</v>
      </c>
      <c r="H642" t="s">
        <v>486</v>
      </c>
      <c r="I642" t="s">
        <v>427</v>
      </c>
      <c r="J642" t="s">
        <v>485</v>
      </c>
      <c r="N642" t="s">
        <v>455</v>
      </c>
    </row>
    <row r="643" spans="1:14" ht="15" customHeight="1" x14ac:dyDescent="0.25">
      <c r="A643" s="82">
        <v>42918</v>
      </c>
      <c r="B643" t="s">
        <v>424</v>
      </c>
      <c r="C643" t="s">
        <v>430</v>
      </c>
      <c r="D643" t="s">
        <v>429</v>
      </c>
      <c r="E643" t="s">
        <v>421</v>
      </c>
      <c r="F643" t="s">
        <v>428</v>
      </c>
      <c r="G643" t="s">
        <v>425</v>
      </c>
      <c r="H643" t="s">
        <v>486</v>
      </c>
      <c r="I643" t="s">
        <v>455</v>
      </c>
      <c r="J643" t="s">
        <v>485</v>
      </c>
      <c r="N643" t="s">
        <v>427</v>
      </c>
    </row>
    <row r="644" spans="1:14" ht="15" customHeight="1" x14ac:dyDescent="0.25">
      <c r="A644" s="82">
        <v>42919</v>
      </c>
      <c r="B644" t="s">
        <v>427</v>
      </c>
      <c r="C644" t="s">
        <v>430</v>
      </c>
      <c r="D644" t="s">
        <v>429</v>
      </c>
      <c r="E644" t="s">
        <v>421</v>
      </c>
      <c r="F644" t="s">
        <v>428</v>
      </c>
      <c r="G644" t="s">
        <v>425</v>
      </c>
      <c r="H644" t="s">
        <v>486</v>
      </c>
      <c r="I644" t="s">
        <v>424</v>
      </c>
      <c r="J644" t="s">
        <v>485</v>
      </c>
      <c r="N644" t="s">
        <v>455</v>
      </c>
    </row>
    <row r="645" spans="1:14" ht="15" customHeight="1" x14ac:dyDescent="0.25">
      <c r="A645" s="82">
        <v>42920</v>
      </c>
      <c r="B645" t="s">
        <v>455</v>
      </c>
      <c r="C645" t="s">
        <v>427</v>
      </c>
      <c r="D645" t="s">
        <v>421</v>
      </c>
      <c r="E645" t="s">
        <v>430</v>
      </c>
      <c r="F645" t="s">
        <v>428</v>
      </c>
      <c r="G645" t="s">
        <v>425</v>
      </c>
      <c r="H645" t="s">
        <v>486</v>
      </c>
      <c r="I645" t="s">
        <v>429</v>
      </c>
      <c r="J645" t="s">
        <v>485</v>
      </c>
      <c r="N645" t="s">
        <v>424</v>
      </c>
    </row>
    <row r="646" spans="1:14" ht="15" customHeight="1" x14ac:dyDescent="0.25">
      <c r="A646" s="82">
        <v>42921</v>
      </c>
      <c r="B646" t="s">
        <v>429</v>
      </c>
      <c r="C646" t="s">
        <v>455</v>
      </c>
      <c r="D646" t="s">
        <v>427</v>
      </c>
      <c r="E646" t="s">
        <v>430</v>
      </c>
      <c r="F646" t="s">
        <v>428</v>
      </c>
      <c r="G646" t="s">
        <v>425</v>
      </c>
      <c r="H646" t="s">
        <v>486</v>
      </c>
      <c r="I646" t="s">
        <v>421</v>
      </c>
      <c r="J646" t="s">
        <v>485</v>
      </c>
      <c r="N646" t="s">
        <v>424</v>
      </c>
    </row>
    <row r="647" spans="1:14" ht="15" customHeight="1" x14ac:dyDescent="0.25">
      <c r="A647" s="82">
        <v>42922</v>
      </c>
      <c r="B647" t="s">
        <v>421</v>
      </c>
      <c r="C647" t="s">
        <v>486</v>
      </c>
      <c r="D647" t="s">
        <v>455</v>
      </c>
      <c r="E647" t="s">
        <v>485</v>
      </c>
      <c r="F647" t="s">
        <v>428</v>
      </c>
      <c r="G647" t="s">
        <v>425</v>
      </c>
      <c r="H647" t="s">
        <v>486</v>
      </c>
      <c r="I647" t="s">
        <v>427</v>
      </c>
      <c r="J647" t="s">
        <v>485</v>
      </c>
      <c r="N647" t="s">
        <v>421</v>
      </c>
    </row>
    <row r="648" spans="1:14" ht="15" customHeight="1" x14ac:dyDescent="0.25">
      <c r="A648" s="82">
        <v>42923</v>
      </c>
      <c r="B648" t="s">
        <v>425</v>
      </c>
      <c r="C648" t="s">
        <v>486</v>
      </c>
      <c r="D648" t="s">
        <v>421</v>
      </c>
      <c r="E648" t="s">
        <v>485</v>
      </c>
      <c r="F648" t="s">
        <v>427</v>
      </c>
      <c r="G648" t="s">
        <v>425</v>
      </c>
      <c r="H648" t="s">
        <v>429</v>
      </c>
      <c r="I648" t="s">
        <v>455</v>
      </c>
      <c r="J648" t="s">
        <v>428</v>
      </c>
      <c r="N648" t="s">
        <v>424</v>
      </c>
    </row>
    <row r="649" spans="1:14" ht="15" customHeight="1" x14ac:dyDescent="0.25">
      <c r="A649" s="82">
        <v>42924</v>
      </c>
      <c r="B649" t="s">
        <v>425</v>
      </c>
      <c r="C649" t="s">
        <v>486</v>
      </c>
      <c r="D649" t="s">
        <v>427</v>
      </c>
      <c r="E649" t="s">
        <v>485</v>
      </c>
      <c r="F649" t="s">
        <v>455</v>
      </c>
      <c r="G649" t="s">
        <v>430</v>
      </c>
      <c r="H649" t="s">
        <v>429</v>
      </c>
      <c r="I649" t="s">
        <v>421</v>
      </c>
      <c r="J649" t="s">
        <v>428</v>
      </c>
      <c r="N649" t="s">
        <v>424</v>
      </c>
    </row>
    <row r="650" spans="1:14" ht="15" customHeight="1" x14ac:dyDescent="0.25">
      <c r="A650" s="82">
        <v>42925</v>
      </c>
      <c r="B650" t="s">
        <v>425</v>
      </c>
      <c r="C650" t="s">
        <v>486</v>
      </c>
      <c r="D650" t="s">
        <v>455</v>
      </c>
      <c r="E650" t="s">
        <v>485</v>
      </c>
      <c r="F650" t="s">
        <v>427</v>
      </c>
      <c r="G650" t="s">
        <v>430</v>
      </c>
      <c r="H650" t="s">
        <v>429</v>
      </c>
      <c r="I650" t="s">
        <v>421</v>
      </c>
      <c r="J650" t="s">
        <v>428</v>
      </c>
      <c r="N650" t="s">
        <v>424</v>
      </c>
    </row>
    <row r="651" spans="1:14" ht="15" customHeight="1" x14ac:dyDescent="0.25">
      <c r="A651" s="82">
        <v>42926</v>
      </c>
      <c r="B651" t="s">
        <v>425</v>
      </c>
      <c r="C651" t="s">
        <v>486</v>
      </c>
      <c r="D651" t="s">
        <v>424</v>
      </c>
      <c r="E651" t="s">
        <v>485</v>
      </c>
      <c r="F651" t="s">
        <v>455</v>
      </c>
      <c r="G651" t="s">
        <v>430</v>
      </c>
      <c r="H651" t="s">
        <v>429</v>
      </c>
      <c r="I651" t="s">
        <v>421</v>
      </c>
      <c r="J651" t="s">
        <v>428</v>
      </c>
      <c r="N651" t="s">
        <v>427</v>
      </c>
    </row>
    <row r="652" spans="1:14" ht="15" customHeight="1" x14ac:dyDescent="0.25">
      <c r="A652" s="82">
        <v>42927</v>
      </c>
      <c r="B652" t="s">
        <v>425</v>
      </c>
      <c r="C652" t="s">
        <v>486</v>
      </c>
      <c r="D652" t="s">
        <v>429</v>
      </c>
      <c r="E652" t="s">
        <v>485</v>
      </c>
      <c r="F652" t="s">
        <v>424</v>
      </c>
      <c r="G652" t="s">
        <v>427</v>
      </c>
      <c r="H652" t="s">
        <v>421</v>
      </c>
      <c r="I652" t="s">
        <v>430</v>
      </c>
      <c r="J652" t="s">
        <v>428</v>
      </c>
      <c r="N652" t="s">
        <v>455</v>
      </c>
    </row>
    <row r="653" spans="1:14" ht="15" customHeight="1" x14ac:dyDescent="0.25">
      <c r="A653" s="82">
        <v>42928</v>
      </c>
      <c r="B653" t="s">
        <v>425</v>
      </c>
      <c r="C653" t="s">
        <v>486</v>
      </c>
      <c r="D653" t="s">
        <v>421</v>
      </c>
      <c r="E653" t="s">
        <v>485</v>
      </c>
      <c r="F653" t="s">
        <v>424</v>
      </c>
      <c r="G653" t="s">
        <v>455</v>
      </c>
      <c r="H653" t="s">
        <v>427</v>
      </c>
      <c r="I653" t="s">
        <v>430</v>
      </c>
      <c r="J653" t="s">
        <v>428</v>
      </c>
      <c r="N653" t="s">
        <v>429</v>
      </c>
    </row>
    <row r="654" spans="1:14" ht="15" customHeight="1" x14ac:dyDescent="0.25">
      <c r="A654" s="82">
        <v>42929</v>
      </c>
      <c r="B654" t="s">
        <v>425</v>
      </c>
      <c r="C654" t="s">
        <v>486</v>
      </c>
      <c r="D654" t="s">
        <v>427</v>
      </c>
      <c r="E654" t="s">
        <v>485</v>
      </c>
      <c r="F654" t="s">
        <v>421</v>
      </c>
      <c r="G654" t="s">
        <v>486</v>
      </c>
      <c r="H654" t="s">
        <v>455</v>
      </c>
      <c r="I654" t="s">
        <v>485</v>
      </c>
      <c r="J654" t="s">
        <v>428</v>
      </c>
      <c r="N654" t="s">
        <v>424</v>
      </c>
    </row>
    <row r="655" spans="1:14" ht="15" customHeight="1" x14ac:dyDescent="0.25">
      <c r="A655" s="82">
        <v>42930</v>
      </c>
      <c r="B655" t="s">
        <v>425</v>
      </c>
      <c r="C655" t="s">
        <v>429</v>
      </c>
      <c r="D655" t="s">
        <v>455</v>
      </c>
      <c r="E655" t="s">
        <v>428</v>
      </c>
      <c r="F655" t="s">
        <v>424</v>
      </c>
      <c r="G655" t="s">
        <v>486</v>
      </c>
      <c r="H655" t="s">
        <v>421</v>
      </c>
      <c r="I655" t="s">
        <v>485</v>
      </c>
      <c r="J655" t="s">
        <v>427</v>
      </c>
      <c r="N655" t="s">
        <v>425</v>
      </c>
    </row>
    <row r="656" spans="1:14" ht="15" customHeight="1" x14ac:dyDescent="0.25">
      <c r="A656" s="82">
        <v>42931</v>
      </c>
      <c r="B656" t="s">
        <v>430</v>
      </c>
      <c r="C656" t="s">
        <v>429</v>
      </c>
      <c r="D656" t="s">
        <v>421</v>
      </c>
      <c r="E656" t="s">
        <v>428</v>
      </c>
      <c r="F656" t="s">
        <v>424</v>
      </c>
      <c r="G656" t="s">
        <v>486</v>
      </c>
      <c r="H656" t="s">
        <v>427</v>
      </c>
      <c r="I656" t="s">
        <v>485</v>
      </c>
      <c r="J656" t="s">
        <v>455</v>
      </c>
      <c r="N656" t="s">
        <v>425</v>
      </c>
    </row>
    <row r="657" spans="1:14" ht="15" customHeight="1" x14ac:dyDescent="0.25">
      <c r="A657" s="82">
        <v>42932</v>
      </c>
      <c r="B657" t="s">
        <v>430</v>
      </c>
      <c r="C657" t="s">
        <v>429</v>
      </c>
      <c r="D657" t="s">
        <v>421</v>
      </c>
      <c r="E657" t="s">
        <v>428</v>
      </c>
      <c r="F657" t="s">
        <v>424</v>
      </c>
      <c r="G657" t="s">
        <v>486</v>
      </c>
      <c r="H657" t="s">
        <v>455</v>
      </c>
      <c r="I657" t="s">
        <v>485</v>
      </c>
      <c r="J657" t="s">
        <v>427</v>
      </c>
      <c r="N657" t="s">
        <v>425</v>
      </c>
    </row>
    <row r="658" spans="1:14" ht="15" customHeight="1" x14ac:dyDescent="0.25">
      <c r="A658" s="82">
        <v>42933</v>
      </c>
      <c r="B658" t="s">
        <v>430</v>
      </c>
      <c r="C658" t="s">
        <v>429</v>
      </c>
      <c r="D658" t="s">
        <v>421</v>
      </c>
      <c r="E658" t="s">
        <v>428</v>
      </c>
      <c r="F658" t="s">
        <v>427</v>
      </c>
      <c r="G658" t="s">
        <v>486</v>
      </c>
      <c r="H658" t="s">
        <v>424</v>
      </c>
      <c r="I658" t="s">
        <v>485</v>
      </c>
      <c r="J658" t="s">
        <v>455</v>
      </c>
      <c r="N658" t="s">
        <v>425</v>
      </c>
    </row>
    <row r="659" spans="1:14" ht="15" customHeight="1" x14ac:dyDescent="0.25">
      <c r="A659" s="82">
        <v>42934</v>
      </c>
      <c r="B659" t="s">
        <v>427</v>
      </c>
      <c r="C659" t="s">
        <v>421</v>
      </c>
      <c r="D659" t="s">
        <v>430</v>
      </c>
      <c r="E659" t="s">
        <v>428</v>
      </c>
      <c r="F659" t="s">
        <v>455</v>
      </c>
      <c r="G659" t="s">
        <v>486</v>
      </c>
      <c r="H659" t="s">
        <v>429</v>
      </c>
      <c r="I659" t="s">
        <v>485</v>
      </c>
      <c r="J659" t="s">
        <v>424</v>
      </c>
      <c r="N659" t="s">
        <v>425</v>
      </c>
    </row>
    <row r="660" spans="1:14" ht="15" customHeight="1" x14ac:dyDescent="0.25">
      <c r="A660" s="82">
        <v>42935</v>
      </c>
      <c r="B660" t="s">
        <v>455</v>
      </c>
      <c r="C660" t="s">
        <v>427</v>
      </c>
      <c r="D660" t="s">
        <v>430</v>
      </c>
      <c r="E660" t="s">
        <v>428</v>
      </c>
      <c r="F660" t="s">
        <v>429</v>
      </c>
      <c r="G660" t="s">
        <v>486</v>
      </c>
      <c r="H660" t="s">
        <v>421</v>
      </c>
      <c r="I660" t="s">
        <v>485</v>
      </c>
      <c r="J660" t="s">
        <v>424</v>
      </c>
      <c r="N660" t="s">
        <v>425</v>
      </c>
    </row>
    <row r="661" spans="1:14" ht="15" customHeight="1" x14ac:dyDescent="0.25">
      <c r="A661" s="82">
        <v>42936</v>
      </c>
      <c r="B661" t="s">
        <v>486</v>
      </c>
      <c r="C661" t="s">
        <v>455</v>
      </c>
      <c r="D661" t="s">
        <v>485</v>
      </c>
      <c r="E661" t="s">
        <v>428</v>
      </c>
      <c r="F661" t="s">
        <v>424</v>
      </c>
      <c r="G661" t="s">
        <v>486</v>
      </c>
      <c r="H661" t="s">
        <v>427</v>
      </c>
      <c r="I661" t="s">
        <v>485</v>
      </c>
      <c r="J661" t="s">
        <v>421</v>
      </c>
      <c r="N661" t="s">
        <v>425</v>
      </c>
    </row>
    <row r="662" spans="1:14" ht="15" customHeight="1" x14ac:dyDescent="0.25">
      <c r="A662" s="82">
        <v>42937</v>
      </c>
      <c r="B662" t="s">
        <v>486</v>
      </c>
      <c r="C662" t="s">
        <v>421</v>
      </c>
      <c r="D662" t="s">
        <v>485</v>
      </c>
      <c r="E662" t="s">
        <v>427</v>
      </c>
      <c r="F662" t="s">
        <v>425</v>
      </c>
      <c r="G662" t="s">
        <v>429</v>
      </c>
      <c r="H662" t="s">
        <v>455</v>
      </c>
      <c r="I662" t="s">
        <v>428</v>
      </c>
      <c r="J662" t="s">
        <v>424</v>
      </c>
      <c r="N662" t="s">
        <v>425</v>
      </c>
    </row>
    <row r="663" spans="1:14" ht="15" customHeight="1" x14ac:dyDescent="0.25">
      <c r="A663" s="82">
        <v>42938</v>
      </c>
      <c r="B663" t="s">
        <v>486</v>
      </c>
      <c r="C663" t="s">
        <v>427</v>
      </c>
      <c r="D663" t="s">
        <v>485</v>
      </c>
      <c r="E663" t="s">
        <v>455</v>
      </c>
      <c r="F663" t="s">
        <v>425</v>
      </c>
      <c r="G663" t="s">
        <v>429</v>
      </c>
      <c r="H663" t="s">
        <v>421</v>
      </c>
      <c r="I663" t="s">
        <v>428</v>
      </c>
      <c r="J663" t="s">
        <v>424</v>
      </c>
      <c r="N663" t="s">
        <v>430</v>
      </c>
    </row>
    <row r="664" spans="1:14" ht="15" customHeight="1" x14ac:dyDescent="0.25">
      <c r="A664" s="82">
        <v>42939</v>
      </c>
      <c r="B664" t="s">
        <v>486</v>
      </c>
      <c r="C664" t="s">
        <v>455</v>
      </c>
      <c r="D664" t="s">
        <v>485</v>
      </c>
      <c r="E664" t="s">
        <v>427</v>
      </c>
      <c r="F664" t="s">
        <v>425</v>
      </c>
      <c r="G664" t="s">
        <v>429</v>
      </c>
      <c r="H664" t="s">
        <v>421</v>
      </c>
      <c r="I664" t="s">
        <v>428</v>
      </c>
      <c r="J664" t="s">
        <v>424</v>
      </c>
      <c r="N664" t="s">
        <v>430</v>
      </c>
    </row>
    <row r="665" spans="1:14" ht="15" customHeight="1" x14ac:dyDescent="0.25">
      <c r="A665" s="82">
        <v>42940</v>
      </c>
      <c r="B665" t="s">
        <v>486</v>
      </c>
      <c r="C665" t="s">
        <v>424</v>
      </c>
      <c r="D665" t="s">
        <v>485</v>
      </c>
      <c r="E665" t="s">
        <v>455</v>
      </c>
      <c r="F665" t="s">
        <v>425</v>
      </c>
      <c r="G665" t="s">
        <v>429</v>
      </c>
      <c r="H665" t="s">
        <v>421</v>
      </c>
      <c r="I665" t="s">
        <v>428</v>
      </c>
      <c r="J665" t="s">
        <v>427</v>
      </c>
      <c r="N665" t="s">
        <v>430</v>
      </c>
    </row>
    <row r="666" spans="1:14" ht="15" customHeight="1" x14ac:dyDescent="0.25">
      <c r="A666" s="82">
        <v>42941</v>
      </c>
      <c r="B666" t="s">
        <v>486</v>
      </c>
      <c r="C666" t="s">
        <v>429</v>
      </c>
      <c r="D666" t="s">
        <v>485</v>
      </c>
      <c r="E666" t="s">
        <v>424</v>
      </c>
      <c r="F666" t="s">
        <v>425</v>
      </c>
      <c r="G666" t="s">
        <v>421</v>
      </c>
      <c r="H666" t="s">
        <v>430</v>
      </c>
      <c r="I666" t="s">
        <v>428</v>
      </c>
      <c r="J666" t="s">
        <v>455</v>
      </c>
      <c r="N666" t="s">
        <v>427</v>
      </c>
    </row>
    <row r="667" spans="1:14" ht="15" customHeight="1" x14ac:dyDescent="0.25">
      <c r="A667" s="82">
        <v>42942</v>
      </c>
      <c r="B667" t="s">
        <v>486</v>
      </c>
      <c r="C667" t="s">
        <v>421</v>
      </c>
      <c r="D667" t="s">
        <v>485</v>
      </c>
      <c r="E667" t="s">
        <v>424</v>
      </c>
      <c r="F667" t="s">
        <v>425</v>
      </c>
      <c r="G667" t="s">
        <v>427</v>
      </c>
      <c r="H667" t="s">
        <v>430</v>
      </c>
      <c r="I667" t="s">
        <v>428</v>
      </c>
      <c r="J667" t="s">
        <v>429</v>
      </c>
      <c r="N667" t="s">
        <v>455</v>
      </c>
    </row>
    <row r="668" spans="1:14" ht="15" customHeight="1" x14ac:dyDescent="0.25">
      <c r="A668" s="82">
        <v>42943</v>
      </c>
      <c r="B668" t="s">
        <v>486</v>
      </c>
      <c r="C668" t="s">
        <v>427</v>
      </c>
      <c r="D668" t="s">
        <v>485</v>
      </c>
      <c r="E668" t="s">
        <v>421</v>
      </c>
      <c r="F668" t="s">
        <v>425</v>
      </c>
      <c r="G668" t="s">
        <v>455</v>
      </c>
      <c r="H668" t="s">
        <v>485</v>
      </c>
      <c r="I668" t="s">
        <v>428</v>
      </c>
      <c r="J668" t="s">
        <v>424</v>
      </c>
      <c r="N668" t="s">
        <v>486</v>
      </c>
    </row>
    <row r="669" spans="1:14" ht="15" customHeight="1" x14ac:dyDescent="0.25">
      <c r="A669" s="82">
        <v>42944</v>
      </c>
      <c r="B669" t="s">
        <v>429</v>
      </c>
      <c r="C669" t="s">
        <v>455</v>
      </c>
      <c r="D669" t="s">
        <v>428</v>
      </c>
      <c r="E669" t="s">
        <v>424</v>
      </c>
      <c r="F669" t="s">
        <v>425</v>
      </c>
      <c r="G669" t="s">
        <v>421</v>
      </c>
      <c r="H669" t="s">
        <v>485</v>
      </c>
      <c r="I669" t="s">
        <v>427</v>
      </c>
      <c r="J669" t="s">
        <v>425</v>
      </c>
      <c r="N669" t="s">
        <v>486</v>
      </c>
    </row>
    <row r="670" spans="1:14" ht="15" customHeight="1" x14ac:dyDescent="0.25">
      <c r="A670" s="82">
        <v>42945</v>
      </c>
      <c r="B670" t="s">
        <v>429</v>
      </c>
      <c r="C670" t="s">
        <v>421</v>
      </c>
      <c r="D670" t="s">
        <v>428</v>
      </c>
      <c r="E670" t="s">
        <v>424</v>
      </c>
      <c r="F670" t="s">
        <v>430</v>
      </c>
      <c r="G670" t="s">
        <v>427</v>
      </c>
      <c r="H670" t="s">
        <v>485</v>
      </c>
      <c r="I670" t="s">
        <v>455</v>
      </c>
      <c r="J670" t="s">
        <v>425</v>
      </c>
      <c r="N670" t="s">
        <v>486</v>
      </c>
    </row>
    <row r="671" spans="1:14" ht="15" customHeight="1" x14ac:dyDescent="0.25">
      <c r="A671" s="82">
        <v>42946</v>
      </c>
      <c r="B671" t="s">
        <v>429</v>
      </c>
      <c r="C671" t="s">
        <v>421</v>
      </c>
      <c r="D671" t="s">
        <v>428</v>
      </c>
      <c r="E671" t="s">
        <v>424</v>
      </c>
      <c r="F671" t="s">
        <v>430</v>
      </c>
      <c r="G671" t="s">
        <v>455</v>
      </c>
      <c r="H671" t="s">
        <v>485</v>
      </c>
      <c r="I671" t="s">
        <v>427</v>
      </c>
      <c r="J671" t="s">
        <v>425</v>
      </c>
      <c r="N671" t="s">
        <v>486</v>
      </c>
    </row>
    <row r="672" spans="1:14" ht="15" customHeight="1" x14ac:dyDescent="0.25">
      <c r="A672" s="82">
        <v>42947</v>
      </c>
      <c r="B672" t="s">
        <v>429</v>
      </c>
      <c r="C672" t="s">
        <v>421</v>
      </c>
      <c r="D672" t="s">
        <v>428</v>
      </c>
      <c r="E672" t="s">
        <v>427</v>
      </c>
      <c r="F672" t="s">
        <v>430</v>
      </c>
      <c r="G672" t="s">
        <v>424</v>
      </c>
      <c r="H672" t="s">
        <v>485</v>
      </c>
      <c r="I672" t="s">
        <v>455</v>
      </c>
      <c r="J672" t="s">
        <v>425</v>
      </c>
      <c r="N672" t="s">
        <v>486</v>
      </c>
    </row>
    <row r="673" spans="1:14" ht="15" customHeight="1" x14ac:dyDescent="0.25">
      <c r="A673" s="82">
        <v>42948</v>
      </c>
      <c r="B673" t="s">
        <v>421</v>
      </c>
      <c r="C673" t="s">
        <v>430</v>
      </c>
      <c r="D673" t="s">
        <v>428</v>
      </c>
      <c r="E673" t="s">
        <v>455</v>
      </c>
      <c r="F673" t="s">
        <v>427</v>
      </c>
      <c r="G673" t="s">
        <v>429</v>
      </c>
      <c r="H673" t="s">
        <v>485</v>
      </c>
      <c r="I673" t="s">
        <v>424</v>
      </c>
      <c r="J673" t="s">
        <v>425</v>
      </c>
      <c r="N673" t="s">
        <v>486</v>
      </c>
    </row>
    <row r="674" spans="1:14" ht="15" customHeight="1" x14ac:dyDescent="0.25">
      <c r="A674" s="82">
        <v>42949</v>
      </c>
      <c r="B674" t="s">
        <v>427</v>
      </c>
      <c r="C674" t="s">
        <v>430</v>
      </c>
      <c r="D674" t="s">
        <v>428</v>
      </c>
      <c r="E674" t="s">
        <v>429</v>
      </c>
      <c r="F674" t="s">
        <v>455</v>
      </c>
      <c r="G674" t="s">
        <v>421</v>
      </c>
      <c r="H674" t="s">
        <v>485</v>
      </c>
      <c r="I674" t="s">
        <v>424</v>
      </c>
      <c r="J674" t="s">
        <v>425</v>
      </c>
      <c r="N674" t="s">
        <v>486</v>
      </c>
    </row>
    <row r="675" spans="1:14" ht="15" customHeight="1" x14ac:dyDescent="0.25">
      <c r="A675" s="82">
        <v>42950</v>
      </c>
      <c r="B675" t="s">
        <v>455</v>
      </c>
      <c r="C675" t="s">
        <v>485</v>
      </c>
      <c r="D675" t="s">
        <v>428</v>
      </c>
      <c r="E675" t="s">
        <v>424</v>
      </c>
      <c r="F675" t="s">
        <v>486</v>
      </c>
      <c r="G675" t="s">
        <v>427</v>
      </c>
      <c r="H675" t="s">
        <v>485</v>
      </c>
      <c r="I675" t="s">
        <v>421</v>
      </c>
      <c r="J675" t="s">
        <v>425</v>
      </c>
      <c r="N675" t="s">
        <v>486</v>
      </c>
    </row>
    <row r="676" spans="1:14" ht="15" customHeight="1" x14ac:dyDescent="0.25">
      <c r="A676" s="82">
        <v>42951</v>
      </c>
      <c r="B676" t="s">
        <v>421</v>
      </c>
      <c r="C676" t="s">
        <v>485</v>
      </c>
      <c r="D676" t="s">
        <v>427</v>
      </c>
      <c r="E676" t="s">
        <v>425</v>
      </c>
      <c r="F676" t="s">
        <v>486</v>
      </c>
      <c r="G676" t="s">
        <v>455</v>
      </c>
      <c r="H676" t="s">
        <v>428</v>
      </c>
      <c r="I676" t="s">
        <v>424</v>
      </c>
      <c r="J676" t="s">
        <v>425</v>
      </c>
      <c r="N676" t="s">
        <v>429</v>
      </c>
    </row>
    <row r="677" spans="1:14" ht="15" customHeight="1" x14ac:dyDescent="0.25">
      <c r="A677" s="82">
        <v>42952</v>
      </c>
      <c r="B677" t="s">
        <v>427</v>
      </c>
      <c r="C677" t="s">
        <v>485</v>
      </c>
      <c r="D677" t="s">
        <v>455</v>
      </c>
      <c r="E677" t="s">
        <v>425</v>
      </c>
      <c r="F677" t="s">
        <v>486</v>
      </c>
      <c r="G677" t="s">
        <v>421</v>
      </c>
      <c r="H677" t="s">
        <v>428</v>
      </c>
      <c r="I677" t="s">
        <v>424</v>
      </c>
      <c r="J677" t="s">
        <v>430</v>
      </c>
      <c r="N677" t="s">
        <v>429</v>
      </c>
    </row>
    <row r="678" spans="1:14" ht="15" customHeight="1" x14ac:dyDescent="0.25">
      <c r="A678" s="82">
        <v>42953</v>
      </c>
      <c r="B678" t="s">
        <v>455</v>
      </c>
      <c r="C678" t="s">
        <v>485</v>
      </c>
      <c r="D678" t="s">
        <v>427</v>
      </c>
      <c r="E678" t="s">
        <v>425</v>
      </c>
      <c r="F678" t="s">
        <v>486</v>
      </c>
      <c r="G678" t="s">
        <v>421</v>
      </c>
      <c r="H678" t="s">
        <v>428</v>
      </c>
      <c r="I678" t="s">
        <v>424</v>
      </c>
      <c r="J678" t="s">
        <v>430</v>
      </c>
      <c r="N678" t="s">
        <v>429</v>
      </c>
    </row>
    <row r="679" spans="1:14" ht="15" customHeight="1" x14ac:dyDescent="0.25">
      <c r="A679" s="82">
        <v>42954</v>
      </c>
      <c r="B679" t="s">
        <v>424</v>
      </c>
      <c r="C679" t="s">
        <v>485</v>
      </c>
      <c r="D679" t="s">
        <v>455</v>
      </c>
      <c r="E679" t="s">
        <v>425</v>
      </c>
      <c r="F679" t="s">
        <v>486</v>
      </c>
      <c r="G679" t="s">
        <v>421</v>
      </c>
      <c r="H679" t="s">
        <v>428</v>
      </c>
      <c r="I679" t="s">
        <v>427</v>
      </c>
      <c r="J679" t="s">
        <v>430</v>
      </c>
      <c r="N679" t="s">
        <v>429</v>
      </c>
    </row>
    <row r="680" spans="1:14" ht="15" customHeight="1" x14ac:dyDescent="0.25">
      <c r="A680" s="82">
        <v>42955</v>
      </c>
      <c r="B680" t="s">
        <v>429</v>
      </c>
      <c r="C680" t="s">
        <v>485</v>
      </c>
      <c r="D680" t="s">
        <v>424</v>
      </c>
      <c r="E680" t="s">
        <v>425</v>
      </c>
      <c r="F680" t="s">
        <v>486</v>
      </c>
      <c r="G680" t="s">
        <v>430</v>
      </c>
      <c r="H680" t="s">
        <v>428</v>
      </c>
      <c r="I680" t="s">
        <v>455</v>
      </c>
      <c r="J680" t="s">
        <v>427</v>
      </c>
      <c r="N680" t="s">
        <v>421</v>
      </c>
    </row>
    <row r="681" spans="1:14" ht="15" customHeight="1" x14ac:dyDescent="0.25">
      <c r="A681" s="82">
        <v>42956</v>
      </c>
      <c r="B681" t="s">
        <v>421</v>
      </c>
      <c r="C681" t="s">
        <v>485</v>
      </c>
      <c r="D681" t="s">
        <v>424</v>
      </c>
      <c r="E681" t="s">
        <v>425</v>
      </c>
      <c r="F681" t="s">
        <v>486</v>
      </c>
      <c r="G681" t="s">
        <v>430</v>
      </c>
      <c r="H681" t="s">
        <v>428</v>
      </c>
      <c r="I681" t="s">
        <v>429</v>
      </c>
      <c r="J681" t="s">
        <v>455</v>
      </c>
      <c r="N681" t="s">
        <v>427</v>
      </c>
    </row>
    <row r="682" spans="1:14" ht="15" customHeight="1" x14ac:dyDescent="0.25">
      <c r="A682" s="82">
        <v>42957</v>
      </c>
      <c r="B682" t="s">
        <v>427</v>
      </c>
      <c r="C682" t="s">
        <v>485</v>
      </c>
      <c r="D682" t="s">
        <v>421</v>
      </c>
      <c r="E682" t="s">
        <v>425</v>
      </c>
      <c r="F682" t="s">
        <v>486</v>
      </c>
      <c r="G682" t="s">
        <v>485</v>
      </c>
      <c r="H682" t="s">
        <v>428</v>
      </c>
      <c r="I682" t="s">
        <v>424</v>
      </c>
      <c r="J682" t="s">
        <v>486</v>
      </c>
      <c r="N682" t="s">
        <v>455</v>
      </c>
    </row>
    <row r="683" spans="1:14" ht="15" customHeight="1" x14ac:dyDescent="0.25">
      <c r="A683" s="82">
        <v>42958</v>
      </c>
      <c r="B683" t="s">
        <v>455</v>
      </c>
      <c r="C683" t="s">
        <v>428</v>
      </c>
      <c r="D683" t="s">
        <v>424</v>
      </c>
      <c r="E683" t="s">
        <v>425</v>
      </c>
      <c r="F683" t="s">
        <v>429</v>
      </c>
      <c r="G683" t="s">
        <v>485</v>
      </c>
      <c r="H683" t="s">
        <v>427</v>
      </c>
      <c r="I683" t="s">
        <v>425</v>
      </c>
      <c r="J683" t="s">
        <v>486</v>
      </c>
      <c r="N683" t="s">
        <v>421</v>
      </c>
    </row>
    <row r="684" spans="1:14" ht="15" customHeight="1" x14ac:dyDescent="0.25">
      <c r="A684" s="82">
        <v>42959</v>
      </c>
      <c r="B684" t="s">
        <v>421</v>
      </c>
      <c r="C684" t="s">
        <v>428</v>
      </c>
      <c r="D684" t="s">
        <v>505</v>
      </c>
      <c r="E684" t="s">
        <v>430</v>
      </c>
      <c r="F684" t="s">
        <v>429</v>
      </c>
      <c r="G684" t="s">
        <v>485</v>
      </c>
      <c r="H684" t="s">
        <v>455</v>
      </c>
      <c r="I684" t="s">
        <v>425</v>
      </c>
      <c r="J684" t="s">
        <v>486</v>
      </c>
      <c r="N684" t="s">
        <v>427</v>
      </c>
    </row>
    <row r="685" spans="1:14" ht="15" customHeight="1" x14ac:dyDescent="0.25">
      <c r="A685" s="82">
        <v>42960</v>
      </c>
      <c r="B685" t="s">
        <v>421</v>
      </c>
      <c r="C685" t="s">
        <v>428</v>
      </c>
      <c r="D685" t="s">
        <v>505</v>
      </c>
      <c r="E685" t="s">
        <v>430</v>
      </c>
      <c r="F685" t="s">
        <v>429</v>
      </c>
      <c r="G685" t="s">
        <v>485</v>
      </c>
      <c r="H685" t="s">
        <v>427</v>
      </c>
      <c r="I685" t="s">
        <v>425</v>
      </c>
      <c r="J685" t="s">
        <v>486</v>
      </c>
      <c r="N685" t="s">
        <v>455</v>
      </c>
    </row>
    <row r="686" spans="1:14" ht="15" customHeight="1" x14ac:dyDescent="0.25">
      <c r="A686" s="82">
        <v>42961</v>
      </c>
      <c r="B686" t="s">
        <v>421</v>
      </c>
      <c r="C686" t="s">
        <v>428</v>
      </c>
      <c r="D686" t="s">
        <v>427</v>
      </c>
      <c r="E686" t="s">
        <v>430</v>
      </c>
      <c r="F686" t="s">
        <v>429</v>
      </c>
      <c r="G686" t="s">
        <v>485</v>
      </c>
      <c r="H686" t="s">
        <v>455</v>
      </c>
      <c r="I686" t="s">
        <v>425</v>
      </c>
      <c r="J686" t="s">
        <v>486</v>
      </c>
      <c r="N686" t="s">
        <v>424</v>
      </c>
    </row>
    <row r="687" spans="1:14" ht="15" customHeight="1" x14ac:dyDescent="0.25">
      <c r="A687" s="82">
        <v>42962</v>
      </c>
      <c r="B687" t="s">
        <v>455</v>
      </c>
      <c r="C687" t="s">
        <v>428</v>
      </c>
      <c r="D687" t="s">
        <v>505</v>
      </c>
      <c r="E687" t="s">
        <v>427</v>
      </c>
      <c r="F687" t="s">
        <v>421</v>
      </c>
      <c r="G687" t="s">
        <v>485</v>
      </c>
      <c r="H687" t="s">
        <v>424</v>
      </c>
      <c r="I687" t="s">
        <v>425</v>
      </c>
      <c r="J687" t="s">
        <v>486</v>
      </c>
      <c r="N687" t="s">
        <v>429</v>
      </c>
    </row>
    <row r="688" spans="1:14" ht="15" customHeight="1" x14ac:dyDescent="0.25">
      <c r="A688" s="82">
        <v>42963</v>
      </c>
      <c r="B688" t="s">
        <v>430</v>
      </c>
      <c r="C688" t="s">
        <v>428</v>
      </c>
      <c r="D688" t="s">
        <v>429</v>
      </c>
      <c r="E688" t="s">
        <v>455</v>
      </c>
      <c r="F688" t="s">
        <v>427</v>
      </c>
      <c r="G688" t="s">
        <v>485</v>
      </c>
      <c r="H688" t="s">
        <v>424</v>
      </c>
      <c r="I688" t="s">
        <v>425</v>
      </c>
      <c r="J688" t="s">
        <v>486</v>
      </c>
      <c r="N688" t="s">
        <v>421</v>
      </c>
    </row>
    <row r="689" spans="1:14" ht="15" customHeight="1" x14ac:dyDescent="0.25">
      <c r="A689" s="82">
        <v>42964</v>
      </c>
      <c r="B689" t="s">
        <v>485</v>
      </c>
      <c r="C689" t="s">
        <v>428</v>
      </c>
      <c r="D689" t="s">
        <v>424</v>
      </c>
      <c r="E689" t="s">
        <v>486</v>
      </c>
      <c r="F689" t="s">
        <v>455</v>
      </c>
      <c r="G689" t="s">
        <v>485</v>
      </c>
      <c r="H689" t="s">
        <v>421</v>
      </c>
      <c r="I689" t="s">
        <v>425</v>
      </c>
      <c r="J689" t="s">
        <v>486</v>
      </c>
      <c r="N689" t="s">
        <v>427</v>
      </c>
    </row>
    <row r="690" spans="1:14" ht="15" customHeight="1" x14ac:dyDescent="0.25">
      <c r="A690" s="82">
        <v>42965</v>
      </c>
      <c r="B690" t="s">
        <v>485</v>
      </c>
      <c r="C690" t="s">
        <v>427</v>
      </c>
      <c r="D690" t="s">
        <v>425</v>
      </c>
      <c r="E690" t="s">
        <v>486</v>
      </c>
      <c r="F690" t="s">
        <v>421</v>
      </c>
      <c r="G690" t="s">
        <v>428</v>
      </c>
      <c r="H690" t="s">
        <v>424</v>
      </c>
      <c r="I690" t="s">
        <v>425</v>
      </c>
      <c r="J690" t="s">
        <v>429</v>
      </c>
      <c r="N690" t="s">
        <v>455</v>
      </c>
    </row>
    <row r="691" spans="1:14" ht="15" customHeight="1" x14ac:dyDescent="0.25">
      <c r="A691" s="82">
        <v>42966</v>
      </c>
      <c r="B691" t="s">
        <v>485</v>
      </c>
      <c r="C691" t="s">
        <v>455</v>
      </c>
      <c r="D691" t="s">
        <v>425</v>
      </c>
      <c r="E691" t="s">
        <v>486</v>
      </c>
      <c r="F691" t="s">
        <v>427</v>
      </c>
      <c r="G691" t="s">
        <v>428</v>
      </c>
      <c r="H691" t="s">
        <v>424</v>
      </c>
      <c r="I691" t="s">
        <v>430</v>
      </c>
      <c r="J691" t="s">
        <v>429</v>
      </c>
      <c r="N691" t="s">
        <v>421</v>
      </c>
    </row>
    <row r="692" spans="1:14" ht="15" customHeight="1" x14ac:dyDescent="0.25">
      <c r="A692" s="82">
        <v>42967</v>
      </c>
      <c r="B692" t="s">
        <v>485</v>
      </c>
      <c r="C692" t="s">
        <v>427</v>
      </c>
      <c r="D692" t="s">
        <v>425</v>
      </c>
      <c r="E692" t="s">
        <v>486</v>
      </c>
      <c r="F692" t="s">
        <v>455</v>
      </c>
      <c r="G692" t="s">
        <v>428</v>
      </c>
      <c r="H692" t="s">
        <v>424</v>
      </c>
      <c r="I692" t="s">
        <v>430</v>
      </c>
      <c r="J692" t="s">
        <v>429</v>
      </c>
      <c r="N692" t="s">
        <v>421</v>
      </c>
    </row>
    <row r="693" spans="1:14" ht="15" customHeight="1" x14ac:dyDescent="0.25">
      <c r="A693" s="82">
        <v>42968</v>
      </c>
      <c r="B693" t="s">
        <v>485</v>
      </c>
      <c r="C693" t="s">
        <v>455</v>
      </c>
      <c r="D693" t="s">
        <v>425</v>
      </c>
      <c r="E693" t="s">
        <v>486</v>
      </c>
      <c r="F693" t="s">
        <v>424</v>
      </c>
      <c r="G693" t="s">
        <v>428</v>
      </c>
      <c r="H693" t="s">
        <v>427</v>
      </c>
      <c r="I693" t="s">
        <v>430</v>
      </c>
      <c r="J693" t="s">
        <v>429</v>
      </c>
      <c r="N693" t="s">
        <v>421</v>
      </c>
    </row>
    <row r="694" spans="1:14" ht="15" customHeight="1" x14ac:dyDescent="0.25">
      <c r="A694" s="82">
        <v>42969</v>
      </c>
      <c r="B694" t="s">
        <v>485</v>
      </c>
      <c r="C694" t="s">
        <v>424</v>
      </c>
      <c r="D694" t="s">
        <v>425</v>
      </c>
      <c r="E694" t="s">
        <v>486</v>
      </c>
      <c r="F694" t="s">
        <v>429</v>
      </c>
      <c r="G694" t="s">
        <v>428</v>
      </c>
      <c r="H694" t="s">
        <v>455</v>
      </c>
      <c r="I694" t="s">
        <v>427</v>
      </c>
      <c r="J694" t="s">
        <v>421</v>
      </c>
      <c r="N694" t="s">
        <v>430</v>
      </c>
    </row>
    <row r="695" spans="1:14" ht="15" customHeight="1" x14ac:dyDescent="0.25">
      <c r="A695" s="82">
        <v>42970</v>
      </c>
      <c r="B695" t="s">
        <v>485</v>
      </c>
      <c r="C695" t="s">
        <v>424</v>
      </c>
      <c r="D695" t="s">
        <v>425</v>
      </c>
      <c r="E695" t="s">
        <v>486</v>
      </c>
      <c r="F695" t="s">
        <v>421</v>
      </c>
      <c r="G695" t="s">
        <v>428</v>
      </c>
      <c r="H695" t="s">
        <v>429</v>
      </c>
      <c r="I695" t="s">
        <v>455</v>
      </c>
      <c r="J695" t="s">
        <v>427</v>
      </c>
      <c r="N695" t="s">
        <v>430</v>
      </c>
    </row>
    <row r="696" spans="1:14" ht="15" customHeight="1" x14ac:dyDescent="0.25">
      <c r="A696" s="82">
        <v>42971</v>
      </c>
      <c r="B696" t="s">
        <v>485</v>
      </c>
      <c r="C696" t="s">
        <v>421</v>
      </c>
      <c r="D696" t="s">
        <v>425</v>
      </c>
      <c r="E696" t="s">
        <v>486</v>
      </c>
      <c r="F696" t="s">
        <v>427</v>
      </c>
      <c r="G696" t="s">
        <v>428</v>
      </c>
      <c r="H696" t="s">
        <v>424</v>
      </c>
      <c r="I696" t="s">
        <v>486</v>
      </c>
      <c r="J696" t="s">
        <v>455</v>
      </c>
      <c r="N696" t="s">
        <v>485</v>
      </c>
    </row>
    <row r="697" spans="1:14" ht="15" customHeight="1" x14ac:dyDescent="0.25">
      <c r="A697" s="82">
        <v>42972</v>
      </c>
      <c r="B697" t="s">
        <v>428</v>
      </c>
      <c r="C697" t="s">
        <v>424</v>
      </c>
      <c r="D697" t="s">
        <v>425</v>
      </c>
      <c r="E697" t="s">
        <v>429</v>
      </c>
      <c r="F697" t="s">
        <v>455</v>
      </c>
      <c r="G697" t="s">
        <v>427</v>
      </c>
      <c r="H697" t="s">
        <v>425</v>
      </c>
      <c r="I697" t="s">
        <v>486</v>
      </c>
      <c r="J697" t="s">
        <v>421</v>
      </c>
      <c r="N697" t="s">
        <v>485</v>
      </c>
    </row>
    <row r="698" spans="1:14" ht="15" customHeight="1" x14ac:dyDescent="0.25">
      <c r="A698" s="82">
        <v>42973</v>
      </c>
      <c r="B698" t="s">
        <v>428</v>
      </c>
      <c r="C698" t="s">
        <v>424</v>
      </c>
      <c r="D698" t="s">
        <v>430</v>
      </c>
      <c r="E698" t="s">
        <v>429</v>
      </c>
      <c r="F698" t="s">
        <v>421</v>
      </c>
      <c r="G698" t="s">
        <v>455</v>
      </c>
      <c r="H698" t="s">
        <v>425</v>
      </c>
      <c r="I698" t="s">
        <v>486</v>
      </c>
      <c r="J698" t="s">
        <v>427</v>
      </c>
      <c r="N698" t="s">
        <v>485</v>
      </c>
    </row>
    <row r="699" spans="1:14" ht="15" customHeight="1" x14ac:dyDescent="0.25">
      <c r="A699" s="82">
        <v>42974</v>
      </c>
      <c r="B699" t="s">
        <v>428</v>
      </c>
      <c r="C699" t="s">
        <v>424</v>
      </c>
      <c r="D699" t="s">
        <v>430</v>
      </c>
      <c r="E699" t="s">
        <v>429</v>
      </c>
      <c r="F699" t="s">
        <v>421</v>
      </c>
      <c r="G699" t="s">
        <v>427</v>
      </c>
      <c r="H699" t="s">
        <v>425</v>
      </c>
      <c r="I699" t="s">
        <v>486</v>
      </c>
      <c r="J699" t="s">
        <v>455</v>
      </c>
      <c r="N699" t="s">
        <v>485</v>
      </c>
    </row>
    <row r="700" spans="1:14" ht="15" customHeight="1" x14ac:dyDescent="0.25">
      <c r="A700" s="82">
        <v>42975</v>
      </c>
      <c r="B700" t="s">
        <v>428</v>
      </c>
      <c r="C700" t="s">
        <v>427</v>
      </c>
      <c r="D700" t="s">
        <v>430</v>
      </c>
      <c r="E700" t="s">
        <v>429</v>
      </c>
      <c r="F700" t="s">
        <v>421</v>
      </c>
      <c r="G700" t="s">
        <v>455</v>
      </c>
      <c r="H700" t="s">
        <v>425</v>
      </c>
      <c r="I700" t="s">
        <v>486</v>
      </c>
      <c r="J700" t="s">
        <v>424</v>
      </c>
      <c r="N700" t="s">
        <v>485</v>
      </c>
    </row>
    <row r="701" spans="1:14" ht="15" customHeight="1" x14ac:dyDescent="0.25">
      <c r="A701" s="82">
        <v>42976</v>
      </c>
      <c r="B701" t="s">
        <v>428</v>
      </c>
      <c r="C701" t="s">
        <v>455</v>
      </c>
      <c r="D701" t="s">
        <v>427</v>
      </c>
      <c r="E701" t="s">
        <v>421</v>
      </c>
      <c r="F701" t="s">
        <v>430</v>
      </c>
      <c r="G701" t="s">
        <v>424</v>
      </c>
      <c r="H701" t="s">
        <v>425</v>
      </c>
      <c r="I701" t="s">
        <v>486</v>
      </c>
      <c r="J701" t="s">
        <v>429</v>
      </c>
      <c r="N701" t="s">
        <v>485</v>
      </c>
    </row>
    <row r="702" spans="1:14" ht="15" customHeight="1" x14ac:dyDescent="0.25">
      <c r="A702" s="82">
        <v>42977</v>
      </c>
      <c r="B702" t="s">
        <v>428</v>
      </c>
      <c r="C702" t="s">
        <v>429</v>
      </c>
      <c r="D702" t="s">
        <v>455</v>
      </c>
      <c r="E702" t="s">
        <v>427</v>
      </c>
      <c r="F702" t="s">
        <v>430</v>
      </c>
      <c r="G702" t="s">
        <v>424</v>
      </c>
      <c r="H702" t="s">
        <v>425</v>
      </c>
      <c r="I702" t="s">
        <v>486</v>
      </c>
      <c r="J702" t="s">
        <v>421</v>
      </c>
      <c r="N702" t="s">
        <v>485</v>
      </c>
    </row>
    <row r="703" spans="1:14" ht="15" customHeight="1" x14ac:dyDescent="0.25">
      <c r="A703" s="82">
        <v>42978</v>
      </c>
      <c r="B703" t="s">
        <v>428</v>
      </c>
      <c r="C703" t="s">
        <v>424</v>
      </c>
      <c r="D703" t="s">
        <v>426</v>
      </c>
      <c r="E703" t="s">
        <v>455</v>
      </c>
      <c r="F703" t="s">
        <v>485</v>
      </c>
      <c r="G703" t="s">
        <v>421</v>
      </c>
      <c r="H703" t="s">
        <v>425</v>
      </c>
      <c r="I703" t="s">
        <v>486</v>
      </c>
      <c r="J703" t="s">
        <v>427</v>
      </c>
      <c r="N703" t="s">
        <v>485</v>
      </c>
    </row>
    <row r="704" spans="1:14" ht="15" customHeight="1" x14ac:dyDescent="0.25">
      <c r="A704" s="82">
        <v>42979</v>
      </c>
      <c r="B704" t="s">
        <v>427</v>
      </c>
      <c r="C704" t="s">
        <v>425</v>
      </c>
      <c r="D704" t="s">
        <v>426</v>
      </c>
      <c r="E704" t="s">
        <v>421</v>
      </c>
      <c r="F704" t="s">
        <v>485</v>
      </c>
      <c r="G704" t="s">
        <v>424</v>
      </c>
      <c r="H704" t="s">
        <v>425</v>
      </c>
      <c r="I704" t="s">
        <v>429</v>
      </c>
      <c r="J704" t="s">
        <v>455</v>
      </c>
      <c r="N704" t="s">
        <v>428</v>
      </c>
    </row>
    <row r="705" spans="1:14" ht="15" customHeight="1" x14ac:dyDescent="0.25">
      <c r="A705" s="82">
        <v>42980</v>
      </c>
      <c r="B705" t="s">
        <v>455</v>
      </c>
      <c r="C705" t="s">
        <v>425</v>
      </c>
      <c r="D705" t="s">
        <v>426</v>
      </c>
      <c r="E705" t="s">
        <v>427</v>
      </c>
      <c r="F705" t="s">
        <v>485</v>
      </c>
      <c r="G705" t="s">
        <v>424</v>
      </c>
      <c r="H705" t="s">
        <v>430</v>
      </c>
      <c r="I705" t="s">
        <v>429</v>
      </c>
      <c r="J705" t="s">
        <v>421</v>
      </c>
      <c r="N705" t="s">
        <v>428</v>
      </c>
    </row>
    <row r="706" spans="1:14" ht="15" customHeight="1" x14ac:dyDescent="0.25">
      <c r="A706" s="82">
        <v>42981</v>
      </c>
      <c r="B706" t="s">
        <v>427</v>
      </c>
      <c r="C706" t="s">
        <v>425</v>
      </c>
      <c r="D706" t="s">
        <v>426</v>
      </c>
      <c r="E706" t="s">
        <v>455</v>
      </c>
      <c r="F706" t="s">
        <v>485</v>
      </c>
      <c r="G706" t="s">
        <v>424</v>
      </c>
      <c r="H706" t="s">
        <v>430</v>
      </c>
      <c r="I706" t="s">
        <v>429</v>
      </c>
      <c r="J706" t="s">
        <v>421</v>
      </c>
      <c r="N706" t="s">
        <v>428</v>
      </c>
    </row>
    <row r="707" spans="1:14" ht="15" customHeight="1" x14ac:dyDescent="0.25">
      <c r="A707" s="82">
        <v>42982</v>
      </c>
      <c r="B707" t="s">
        <v>455</v>
      </c>
      <c r="C707" t="s">
        <v>425</v>
      </c>
      <c r="D707" t="s">
        <v>426</v>
      </c>
      <c r="E707" t="s">
        <v>424</v>
      </c>
      <c r="F707" t="s">
        <v>485</v>
      </c>
      <c r="G707" t="s">
        <v>427</v>
      </c>
      <c r="H707" t="s">
        <v>430</v>
      </c>
      <c r="I707" t="s">
        <v>429</v>
      </c>
      <c r="J707" t="s">
        <v>421</v>
      </c>
      <c r="N707" t="s">
        <v>428</v>
      </c>
    </row>
    <row r="708" spans="1:14" ht="15" customHeight="1" x14ac:dyDescent="0.25">
      <c r="A708" s="82">
        <v>42983</v>
      </c>
      <c r="B708" t="s">
        <v>424</v>
      </c>
      <c r="C708" t="s">
        <v>425</v>
      </c>
      <c r="D708" t="s">
        <v>426</v>
      </c>
      <c r="E708" t="s">
        <v>429</v>
      </c>
      <c r="F708" t="s">
        <v>485</v>
      </c>
      <c r="G708" t="s">
        <v>455</v>
      </c>
      <c r="H708" t="s">
        <v>427</v>
      </c>
      <c r="I708" t="s">
        <v>421</v>
      </c>
      <c r="J708" t="s">
        <v>430</v>
      </c>
      <c r="N708" t="s">
        <v>428</v>
      </c>
    </row>
    <row r="709" spans="1:14" ht="15" customHeight="1" x14ac:dyDescent="0.25">
      <c r="A709" s="82">
        <v>42984</v>
      </c>
      <c r="B709" t="s">
        <v>424</v>
      </c>
      <c r="C709" t="s">
        <v>425</v>
      </c>
      <c r="D709" t="s">
        <v>426</v>
      </c>
      <c r="E709" t="s">
        <v>421</v>
      </c>
      <c r="F709" t="s">
        <v>485</v>
      </c>
      <c r="G709" t="s">
        <v>429</v>
      </c>
      <c r="H709" t="s">
        <v>455</v>
      </c>
      <c r="I709" t="s">
        <v>427</v>
      </c>
      <c r="J709" t="s">
        <v>430</v>
      </c>
      <c r="N709" t="s">
        <v>428</v>
      </c>
    </row>
    <row r="710" spans="1:14" ht="15" customHeight="1" x14ac:dyDescent="0.25">
      <c r="A710" s="82">
        <v>42985</v>
      </c>
      <c r="B710" t="s">
        <v>421</v>
      </c>
      <c r="C710" t="s">
        <v>425</v>
      </c>
      <c r="D710" t="s">
        <v>426</v>
      </c>
      <c r="E710" t="s">
        <v>427</v>
      </c>
      <c r="F710" t="s">
        <v>485</v>
      </c>
      <c r="G710" t="s">
        <v>424</v>
      </c>
      <c r="H710" t="s">
        <v>426</v>
      </c>
      <c r="I710" t="s">
        <v>455</v>
      </c>
      <c r="J710" t="s">
        <v>485</v>
      </c>
      <c r="N710" t="s">
        <v>428</v>
      </c>
    </row>
    <row r="711" spans="1:14" ht="15" customHeight="1" x14ac:dyDescent="0.25">
      <c r="A711" s="82">
        <v>42986</v>
      </c>
      <c r="B711" t="s">
        <v>424</v>
      </c>
      <c r="C711" t="s">
        <v>425</v>
      </c>
      <c r="D711" t="s">
        <v>429</v>
      </c>
      <c r="E711" t="s">
        <v>455</v>
      </c>
      <c r="F711" t="s">
        <v>428</v>
      </c>
      <c r="G711" t="s">
        <v>425</v>
      </c>
      <c r="H711" t="s">
        <v>426</v>
      </c>
      <c r="I711" t="s">
        <v>421</v>
      </c>
      <c r="J711" t="s">
        <v>485</v>
      </c>
      <c r="N711" t="s">
        <v>427</v>
      </c>
    </row>
    <row r="712" spans="1:14" ht="15" customHeight="1" x14ac:dyDescent="0.25">
      <c r="A712" s="82">
        <v>42987</v>
      </c>
      <c r="B712" t="s">
        <v>424</v>
      </c>
      <c r="C712" t="s">
        <v>430</v>
      </c>
      <c r="D712" t="s">
        <v>429</v>
      </c>
      <c r="E712" t="s">
        <v>421</v>
      </c>
      <c r="F712" t="s">
        <v>428</v>
      </c>
      <c r="G712" t="s">
        <v>425</v>
      </c>
      <c r="H712" t="s">
        <v>426</v>
      </c>
      <c r="I712" t="s">
        <v>427</v>
      </c>
      <c r="J712" t="s">
        <v>485</v>
      </c>
      <c r="N712" t="s">
        <v>455</v>
      </c>
    </row>
    <row r="713" spans="1:14" ht="15" customHeight="1" x14ac:dyDescent="0.25">
      <c r="A713" s="82">
        <v>42988</v>
      </c>
      <c r="B713" t="s">
        <v>424</v>
      </c>
      <c r="C713" t="s">
        <v>430</v>
      </c>
      <c r="D713" t="s">
        <v>429</v>
      </c>
      <c r="E713" t="s">
        <v>421</v>
      </c>
      <c r="F713" t="s">
        <v>428</v>
      </c>
      <c r="G713" t="s">
        <v>425</v>
      </c>
      <c r="H713" t="s">
        <v>426</v>
      </c>
      <c r="I713" t="s">
        <v>455</v>
      </c>
      <c r="J713" t="s">
        <v>485</v>
      </c>
      <c r="N713" t="s">
        <v>427</v>
      </c>
    </row>
    <row r="714" spans="1:14" ht="15" customHeight="1" x14ac:dyDescent="0.25">
      <c r="A714" s="82">
        <v>42989</v>
      </c>
      <c r="B714" t="s">
        <v>427</v>
      </c>
      <c r="C714" t="s">
        <v>430</v>
      </c>
      <c r="D714" t="s">
        <v>429</v>
      </c>
      <c r="E714" t="s">
        <v>421</v>
      </c>
      <c r="F714" t="s">
        <v>428</v>
      </c>
      <c r="G714" t="s">
        <v>425</v>
      </c>
      <c r="H714" t="s">
        <v>426</v>
      </c>
      <c r="I714" t="s">
        <v>424</v>
      </c>
      <c r="J714" t="s">
        <v>485</v>
      </c>
      <c r="N714" t="s">
        <v>455</v>
      </c>
    </row>
    <row r="715" spans="1:14" ht="15" customHeight="1" x14ac:dyDescent="0.25">
      <c r="A715" s="82">
        <v>42990</v>
      </c>
      <c r="B715" t="s">
        <v>455</v>
      </c>
      <c r="C715" t="s">
        <v>427</v>
      </c>
      <c r="D715" t="s">
        <v>421</v>
      </c>
      <c r="E715" t="s">
        <v>430</v>
      </c>
      <c r="F715" t="s">
        <v>428</v>
      </c>
      <c r="G715" t="s">
        <v>425</v>
      </c>
      <c r="H715" t="s">
        <v>426</v>
      </c>
      <c r="I715" t="s">
        <v>429</v>
      </c>
      <c r="J715" t="s">
        <v>485</v>
      </c>
      <c r="N715" t="s">
        <v>424</v>
      </c>
    </row>
    <row r="716" spans="1:14" ht="15" customHeight="1" x14ac:dyDescent="0.25">
      <c r="A716" s="82">
        <v>42991</v>
      </c>
      <c r="B716" t="s">
        <v>429</v>
      </c>
      <c r="C716" t="s">
        <v>455</v>
      </c>
      <c r="D716" t="s">
        <v>427</v>
      </c>
      <c r="E716" t="s">
        <v>430</v>
      </c>
      <c r="F716" t="s">
        <v>428</v>
      </c>
      <c r="G716" t="s">
        <v>425</v>
      </c>
      <c r="H716" t="s">
        <v>426</v>
      </c>
      <c r="I716" t="s">
        <v>421</v>
      </c>
      <c r="J716" t="s">
        <v>485</v>
      </c>
      <c r="N716" t="s">
        <v>424</v>
      </c>
    </row>
    <row r="717" spans="1:14" ht="15" customHeight="1" x14ac:dyDescent="0.25">
      <c r="A717" s="82">
        <v>42992</v>
      </c>
      <c r="B717" t="s">
        <v>424</v>
      </c>
      <c r="C717" t="s">
        <v>426</v>
      </c>
      <c r="D717" t="s">
        <v>455</v>
      </c>
      <c r="E717" t="s">
        <v>422</v>
      </c>
      <c r="F717" t="s">
        <v>428</v>
      </c>
      <c r="G717" t="s">
        <v>425</v>
      </c>
      <c r="H717" t="s">
        <v>426</v>
      </c>
      <c r="I717" t="s">
        <v>427</v>
      </c>
      <c r="J717" t="s">
        <v>485</v>
      </c>
      <c r="N717" t="s">
        <v>421</v>
      </c>
    </row>
    <row r="718" spans="1:14" ht="15" customHeight="1" x14ac:dyDescent="0.25">
      <c r="A718" s="82">
        <v>42993</v>
      </c>
      <c r="B718" t="s">
        <v>425</v>
      </c>
      <c r="C718" t="s">
        <v>426</v>
      </c>
      <c r="D718" t="s">
        <v>421</v>
      </c>
      <c r="E718" t="s">
        <v>422</v>
      </c>
      <c r="F718" t="s">
        <v>427</v>
      </c>
      <c r="G718" t="s">
        <v>425</v>
      </c>
      <c r="H718" t="s">
        <v>429</v>
      </c>
      <c r="I718" t="s">
        <v>455</v>
      </c>
      <c r="J718" t="s">
        <v>428</v>
      </c>
      <c r="N718" t="s">
        <v>424</v>
      </c>
    </row>
    <row r="719" spans="1:14" ht="15" customHeight="1" x14ac:dyDescent="0.25">
      <c r="A719" s="82">
        <v>42994</v>
      </c>
      <c r="B719" t="s">
        <v>425</v>
      </c>
      <c r="C719" t="s">
        <v>426</v>
      </c>
      <c r="D719" t="s">
        <v>427</v>
      </c>
      <c r="E719" t="s">
        <v>422</v>
      </c>
      <c r="F719" t="s">
        <v>455</v>
      </c>
      <c r="G719" t="s">
        <v>430</v>
      </c>
      <c r="H719" t="s">
        <v>429</v>
      </c>
      <c r="I719" t="s">
        <v>421</v>
      </c>
      <c r="J719" t="s">
        <v>428</v>
      </c>
      <c r="N719" t="s">
        <v>424</v>
      </c>
    </row>
    <row r="720" spans="1:14" ht="15" customHeight="1" x14ac:dyDescent="0.25">
      <c r="A720" s="82">
        <v>42995</v>
      </c>
      <c r="B720" t="s">
        <v>425</v>
      </c>
      <c r="C720" t="s">
        <v>426</v>
      </c>
      <c r="D720" t="s">
        <v>455</v>
      </c>
      <c r="E720" t="s">
        <v>422</v>
      </c>
      <c r="F720" t="s">
        <v>427</v>
      </c>
      <c r="G720" t="s">
        <v>430</v>
      </c>
      <c r="H720" t="s">
        <v>429</v>
      </c>
      <c r="I720" t="s">
        <v>421</v>
      </c>
      <c r="J720" t="s">
        <v>428</v>
      </c>
      <c r="N720" t="s">
        <v>424</v>
      </c>
    </row>
    <row r="721" spans="1:14" ht="15" customHeight="1" x14ac:dyDescent="0.25">
      <c r="A721" s="82">
        <v>42996</v>
      </c>
      <c r="B721" t="s">
        <v>425</v>
      </c>
      <c r="C721" t="s">
        <v>426</v>
      </c>
      <c r="D721" t="s">
        <v>424</v>
      </c>
      <c r="E721" t="s">
        <v>422</v>
      </c>
      <c r="F721" t="s">
        <v>455</v>
      </c>
      <c r="G721" t="s">
        <v>430</v>
      </c>
      <c r="H721" t="s">
        <v>429</v>
      </c>
      <c r="I721" t="s">
        <v>421</v>
      </c>
      <c r="J721" t="s">
        <v>428</v>
      </c>
      <c r="N721" t="s">
        <v>427</v>
      </c>
    </row>
    <row r="722" spans="1:14" ht="15" customHeight="1" x14ac:dyDescent="0.25">
      <c r="A722" s="82">
        <v>42997</v>
      </c>
      <c r="B722" t="s">
        <v>425</v>
      </c>
      <c r="C722" t="s">
        <v>426</v>
      </c>
      <c r="D722" t="s">
        <v>429</v>
      </c>
      <c r="E722" t="s">
        <v>422</v>
      </c>
      <c r="F722" t="s">
        <v>424</v>
      </c>
      <c r="G722" t="s">
        <v>427</v>
      </c>
      <c r="H722" t="s">
        <v>421</v>
      </c>
      <c r="I722" t="s">
        <v>430</v>
      </c>
      <c r="J722" t="s">
        <v>428</v>
      </c>
      <c r="N722" t="s">
        <v>455</v>
      </c>
    </row>
    <row r="723" spans="1:14" ht="15" customHeight="1" x14ac:dyDescent="0.25">
      <c r="A723" s="82">
        <v>42998</v>
      </c>
      <c r="B723" t="s">
        <v>425</v>
      </c>
      <c r="C723" t="s">
        <v>426</v>
      </c>
      <c r="D723" t="s">
        <v>421</v>
      </c>
      <c r="E723" t="s">
        <v>422</v>
      </c>
      <c r="F723" t="s">
        <v>424</v>
      </c>
      <c r="G723" t="s">
        <v>455</v>
      </c>
      <c r="H723" t="s">
        <v>427</v>
      </c>
      <c r="I723" t="s">
        <v>430</v>
      </c>
      <c r="J723" t="s">
        <v>428</v>
      </c>
      <c r="N723" t="s">
        <v>429</v>
      </c>
    </row>
    <row r="724" spans="1:14" ht="15" customHeight="1" x14ac:dyDescent="0.25">
      <c r="A724" s="82">
        <v>42999</v>
      </c>
      <c r="B724" t="s">
        <v>425</v>
      </c>
      <c r="C724" t="s">
        <v>426</v>
      </c>
      <c r="D724" t="s">
        <v>427</v>
      </c>
      <c r="E724" t="s">
        <v>422</v>
      </c>
      <c r="F724" t="s">
        <v>421</v>
      </c>
      <c r="G724" t="s">
        <v>426</v>
      </c>
      <c r="H724" t="s">
        <v>455</v>
      </c>
      <c r="I724" t="s">
        <v>422</v>
      </c>
      <c r="J724" t="s">
        <v>428</v>
      </c>
      <c r="N724" t="s">
        <v>424</v>
      </c>
    </row>
    <row r="725" spans="1:14" ht="15" customHeight="1" x14ac:dyDescent="0.25">
      <c r="A725" s="82">
        <v>43000</v>
      </c>
      <c r="B725" t="s">
        <v>425</v>
      </c>
      <c r="C725" t="s">
        <v>429</v>
      </c>
      <c r="D725" t="s">
        <v>455</v>
      </c>
      <c r="E725" t="s">
        <v>428</v>
      </c>
      <c r="F725" t="s">
        <v>424</v>
      </c>
      <c r="G725" t="s">
        <v>426</v>
      </c>
      <c r="H725" t="s">
        <v>421</v>
      </c>
      <c r="I725" t="s">
        <v>422</v>
      </c>
      <c r="J725" t="s">
        <v>427</v>
      </c>
      <c r="N725" t="s">
        <v>425</v>
      </c>
    </row>
    <row r="726" spans="1:14" ht="15" customHeight="1" x14ac:dyDescent="0.25">
      <c r="A726" s="82">
        <v>43001</v>
      </c>
      <c r="B726" t="s">
        <v>430</v>
      </c>
      <c r="C726" t="s">
        <v>429</v>
      </c>
      <c r="D726" t="s">
        <v>421</v>
      </c>
      <c r="E726" t="s">
        <v>428</v>
      </c>
      <c r="F726" t="s">
        <v>424</v>
      </c>
      <c r="G726" t="s">
        <v>426</v>
      </c>
      <c r="H726" t="s">
        <v>427</v>
      </c>
      <c r="I726" t="s">
        <v>422</v>
      </c>
      <c r="J726" t="s">
        <v>455</v>
      </c>
      <c r="N726" t="s">
        <v>425</v>
      </c>
    </row>
    <row r="727" spans="1:14" ht="15" customHeight="1" x14ac:dyDescent="0.25">
      <c r="A727" s="82">
        <v>43002</v>
      </c>
      <c r="B727" t="s">
        <v>430</v>
      </c>
      <c r="C727" t="s">
        <v>429</v>
      </c>
      <c r="D727" t="s">
        <v>421</v>
      </c>
      <c r="E727" t="s">
        <v>428</v>
      </c>
      <c r="F727" t="s">
        <v>424</v>
      </c>
      <c r="G727" t="s">
        <v>426</v>
      </c>
      <c r="H727" t="s">
        <v>455</v>
      </c>
      <c r="I727" t="s">
        <v>422</v>
      </c>
      <c r="J727" t="s">
        <v>427</v>
      </c>
      <c r="N727" t="s">
        <v>425</v>
      </c>
    </row>
    <row r="728" spans="1:14" ht="15" customHeight="1" x14ac:dyDescent="0.25">
      <c r="A728" s="82">
        <v>43003</v>
      </c>
      <c r="B728" t="s">
        <v>430</v>
      </c>
      <c r="C728" t="s">
        <v>429</v>
      </c>
      <c r="D728" t="s">
        <v>421</v>
      </c>
      <c r="E728" t="s">
        <v>428</v>
      </c>
      <c r="F728" t="s">
        <v>427</v>
      </c>
      <c r="G728" t="s">
        <v>426</v>
      </c>
      <c r="H728" t="s">
        <v>424</v>
      </c>
      <c r="I728" t="s">
        <v>422</v>
      </c>
      <c r="J728" t="s">
        <v>455</v>
      </c>
      <c r="N728" t="s">
        <v>425</v>
      </c>
    </row>
    <row r="729" spans="1:14" ht="15" customHeight="1" x14ac:dyDescent="0.25">
      <c r="A729" s="82">
        <v>43004</v>
      </c>
      <c r="B729" t="s">
        <v>427</v>
      </c>
      <c r="C729" t="s">
        <v>421</v>
      </c>
      <c r="D729" t="s">
        <v>430</v>
      </c>
      <c r="E729" t="s">
        <v>428</v>
      </c>
      <c r="F729" t="s">
        <v>455</v>
      </c>
      <c r="G729" t="s">
        <v>426</v>
      </c>
      <c r="H729" t="s">
        <v>429</v>
      </c>
      <c r="I729" t="s">
        <v>422</v>
      </c>
      <c r="J729" t="s">
        <v>424</v>
      </c>
      <c r="N729" t="s">
        <v>425</v>
      </c>
    </row>
    <row r="730" spans="1:14" ht="15" customHeight="1" x14ac:dyDescent="0.25">
      <c r="A730" s="82">
        <v>43005</v>
      </c>
      <c r="B730" t="s">
        <v>455</v>
      </c>
      <c r="C730" t="s">
        <v>427</v>
      </c>
      <c r="D730" t="s">
        <v>430</v>
      </c>
      <c r="E730" t="s">
        <v>428</v>
      </c>
      <c r="F730" t="s">
        <v>429</v>
      </c>
      <c r="G730" t="s">
        <v>426</v>
      </c>
      <c r="H730" t="s">
        <v>421</v>
      </c>
      <c r="I730" t="s">
        <v>422</v>
      </c>
      <c r="J730" t="s">
        <v>424</v>
      </c>
      <c r="N730" t="s">
        <v>425</v>
      </c>
    </row>
    <row r="731" spans="1:14" ht="15" customHeight="1" x14ac:dyDescent="0.25">
      <c r="A731" s="82">
        <v>43006</v>
      </c>
      <c r="B731" t="s">
        <v>426</v>
      </c>
      <c r="C731" t="s">
        <v>455</v>
      </c>
      <c r="D731" t="s">
        <v>422</v>
      </c>
      <c r="E731" t="s">
        <v>428</v>
      </c>
      <c r="F731" t="s">
        <v>424</v>
      </c>
      <c r="G731" t="s">
        <v>426</v>
      </c>
      <c r="H731" t="s">
        <v>427</v>
      </c>
      <c r="I731" t="s">
        <v>422</v>
      </c>
      <c r="J731" t="s">
        <v>421</v>
      </c>
      <c r="N731" t="s">
        <v>425</v>
      </c>
    </row>
    <row r="732" spans="1:14" ht="15" customHeight="1" x14ac:dyDescent="0.25">
      <c r="A732" s="82">
        <v>43007</v>
      </c>
      <c r="B732" t="s">
        <v>426</v>
      </c>
      <c r="C732" t="s">
        <v>421</v>
      </c>
      <c r="D732" t="s">
        <v>422</v>
      </c>
      <c r="E732" t="s">
        <v>427</v>
      </c>
      <c r="F732" t="s">
        <v>425</v>
      </c>
      <c r="G732" t="s">
        <v>429</v>
      </c>
      <c r="H732" t="s">
        <v>455</v>
      </c>
      <c r="I732" t="s">
        <v>428</v>
      </c>
      <c r="J732" t="s">
        <v>424</v>
      </c>
      <c r="N732" t="s">
        <v>425</v>
      </c>
    </row>
    <row r="733" spans="1:14" ht="15" customHeight="1" x14ac:dyDescent="0.25">
      <c r="A733" s="82">
        <v>43008</v>
      </c>
      <c r="B733" t="s">
        <v>426</v>
      </c>
      <c r="C733" t="s">
        <v>427</v>
      </c>
      <c r="D733" t="s">
        <v>422</v>
      </c>
      <c r="E733" t="s">
        <v>455</v>
      </c>
      <c r="F733" t="s">
        <v>425</v>
      </c>
      <c r="G733" t="s">
        <v>429</v>
      </c>
      <c r="H733" t="s">
        <v>421</v>
      </c>
      <c r="I733" t="s">
        <v>428</v>
      </c>
      <c r="J733" t="s">
        <v>424</v>
      </c>
      <c r="N733" t="s">
        <v>430</v>
      </c>
    </row>
    <row r="734" spans="1:14" ht="15" customHeight="1" x14ac:dyDescent="0.25">
      <c r="A734" s="82">
        <v>43009</v>
      </c>
      <c r="B734" t="s">
        <v>426</v>
      </c>
      <c r="C734" t="s">
        <v>455</v>
      </c>
      <c r="D734" t="s">
        <v>422</v>
      </c>
      <c r="E734" t="s">
        <v>427</v>
      </c>
      <c r="F734" t="s">
        <v>425</v>
      </c>
      <c r="G734" t="s">
        <v>429</v>
      </c>
      <c r="H734" t="s">
        <v>421</v>
      </c>
      <c r="I734" t="s">
        <v>428</v>
      </c>
      <c r="J734" t="s">
        <v>424</v>
      </c>
      <c r="N734" t="s">
        <v>430</v>
      </c>
    </row>
    <row r="735" spans="1:14" ht="15" customHeight="1" x14ac:dyDescent="0.25">
      <c r="A735" s="82">
        <v>43010</v>
      </c>
      <c r="B735" t="s">
        <v>426</v>
      </c>
      <c r="C735" t="s">
        <v>424</v>
      </c>
      <c r="D735" t="s">
        <v>422</v>
      </c>
      <c r="E735" t="s">
        <v>455</v>
      </c>
      <c r="F735" t="s">
        <v>425</v>
      </c>
      <c r="G735" t="s">
        <v>429</v>
      </c>
      <c r="H735" t="s">
        <v>421</v>
      </c>
      <c r="I735" t="s">
        <v>428</v>
      </c>
      <c r="J735" t="s">
        <v>427</v>
      </c>
      <c r="N735" t="s">
        <v>430</v>
      </c>
    </row>
    <row r="736" spans="1:14" ht="15" customHeight="1" x14ac:dyDescent="0.25">
      <c r="A736" s="82">
        <v>43011</v>
      </c>
      <c r="B736" t="s">
        <v>426</v>
      </c>
      <c r="C736" t="s">
        <v>429</v>
      </c>
      <c r="D736" t="s">
        <v>422</v>
      </c>
      <c r="E736" t="s">
        <v>424</v>
      </c>
      <c r="F736" t="s">
        <v>425</v>
      </c>
      <c r="G736" t="s">
        <v>421</v>
      </c>
      <c r="H736" t="s">
        <v>430</v>
      </c>
      <c r="I736" t="s">
        <v>428</v>
      </c>
      <c r="J736" t="s">
        <v>455</v>
      </c>
      <c r="N736" t="s">
        <v>427</v>
      </c>
    </row>
    <row r="737" spans="1:14" ht="15" customHeight="1" x14ac:dyDescent="0.25">
      <c r="A737" s="82">
        <v>43012</v>
      </c>
      <c r="B737" t="s">
        <v>426</v>
      </c>
      <c r="C737" t="s">
        <v>421</v>
      </c>
      <c r="D737" t="s">
        <v>422</v>
      </c>
      <c r="E737" t="s">
        <v>424</v>
      </c>
      <c r="F737" t="s">
        <v>425</v>
      </c>
      <c r="G737" t="s">
        <v>427</v>
      </c>
      <c r="H737" t="s">
        <v>430</v>
      </c>
      <c r="I737" t="s">
        <v>428</v>
      </c>
      <c r="J737" t="s">
        <v>429</v>
      </c>
      <c r="N737" t="s">
        <v>455</v>
      </c>
    </row>
    <row r="738" spans="1:14" ht="15" customHeight="1" x14ac:dyDescent="0.25">
      <c r="A738" s="82">
        <v>43013</v>
      </c>
      <c r="B738" t="s">
        <v>426</v>
      </c>
      <c r="C738" t="s">
        <v>427</v>
      </c>
      <c r="D738" t="s">
        <v>422</v>
      </c>
      <c r="E738" t="s">
        <v>421</v>
      </c>
      <c r="F738" t="s">
        <v>425</v>
      </c>
      <c r="G738" t="s">
        <v>455</v>
      </c>
      <c r="H738" t="s">
        <v>422</v>
      </c>
      <c r="I738" t="s">
        <v>428</v>
      </c>
      <c r="J738" t="s">
        <v>424</v>
      </c>
      <c r="N738" t="s">
        <v>426</v>
      </c>
    </row>
    <row r="739" spans="1:14" ht="15" customHeight="1" x14ac:dyDescent="0.25">
      <c r="A739" s="82">
        <v>43014</v>
      </c>
      <c r="B739" t="s">
        <v>429</v>
      </c>
      <c r="C739" t="s">
        <v>455</v>
      </c>
      <c r="D739" t="s">
        <v>428</v>
      </c>
      <c r="E739" t="s">
        <v>424</v>
      </c>
      <c r="F739" t="s">
        <v>425</v>
      </c>
      <c r="G739" t="s">
        <v>421</v>
      </c>
      <c r="H739" t="s">
        <v>422</v>
      </c>
      <c r="I739" t="s">
        <v>427</v>
      </c>
      <c r="J739" t="s">
        <v>425</v>
      </c>
      <c r="N739" t="s">
        <v>426</v>
      </c>
    </row>
    <row r="740" spans="1:14" ht="15" customHeight="1" x14ac:dyDescent="0.25">
      <c r="A740" s="82">
        <v>43015</v>
      </c>
      <c r="B740" t="s">
        <v>429</v>
      </c>
      <c r="C740" t="s">
        <v>421</v>
      </c>
      <c r="D740" t="s">
        <v>428</v>
      </c>
      <c r="E740" t="s">
        <v>424</v>
      </c>
      <c r="F740" t="s">
        <v>430</v>
      </c>
      <c r="G740" t="s">
        <v>427</v>
      </c>
      <c r="H740" t="s">
        <v>422</v>
      </c>
      <c r="I740" t="s">
        <v>455</v>
      </c>
      <c r="J740" t="s">
        <v>425</v>
      </c>
      <c r="N740" t="s">
        <v>426</v>
      </c>
    </row>
    <row r="741" spans="1:14" ht="15" customHeight="1" x14ac:dyDescent="0.25">
      <c r="A741" s="82">
        <v>43016</v>
      </c>
      <c r="B741" t="s">
        <v>429</v>
      </c>
      <c r="C741" t="s">
        <v>421</v>
      </c>
      <c r="D741" t="s">
        <v>428</v>
      </c>
      <c r="E741" t="s">
        <v>424</v>
      </c>
      <c r="F741" t="s">
        <v>430</v>
      </c>
      <c r="G741" t="s">
        <v>455</v>
      </c>
      <c r="H741" t="s">
        <v>422</v>
      </c>
      <c r="I741" t="s">
        <v>427</v>
      </c>
      <c r="J741" t="s">
        <v>425</v>
      </c>
      <c r="N741" t="s">
        <v>426</v>
      </c>
    </row>
    <row r="742" spans="1:14" ht="15" customHeight="1" x14ac:dyDescent="0.25">
      <c r="A742" s="82">
        <v>43017</v>
      </c>
      <c r="B742" t="s">
        <v>429</v>
      </c>
      <c r="C742" t="s">
        <v>421</v>
      </c>
      <c r="D742" t="s">
        <v>428</v>
      </c>
      <c r="E742" t="s">
        <v>427</v>
      </c>
      <c r="F742" t="s">
        <v>430</v>
      </c>
      <c r="G742" t="s">
        <v>424</v>
      </c>
      <c r="H742" t="s">
        <v>422</v>
      </c>
      <c r="I742" t="s">
        <v>455</v>
      </c>
      <c r="J742" t="s">
        <v>425</v>
      </c>
      <c r="N742" t="s">
        <v>426</v>
      </c>
    </row>
    <row r="743" spans="1:14" ht="15" customHeight="1" x14ac:dyDescent="0.25">
      <c r="A743" s="82">
        <v>43018</v>
      </c>
      <c r="B743" t="s">
        <v>421</v>
      </c>
      <c r="C743" t="s">
        <v>430</v>
      </c>
      <c r="D743" t="s">
        <v>428</v>
      </c>
      <c r="E743" t="s">
        <v>455</v>
      </c>
      <c r="F743" t="s">
        <v>427</v>
      </c>
      <c r="G743" t="s">
        <v>429</v>
      </c>
      <c r="H743" t="s">
        <v>422</v>
      </c>
      <c r="I743" t="s">
        <v>424</v>
      </c>
      <c r="J743" t="s">
        <v>425</v>
      </c>
      <c r="N743" t="s">
        <v>426</v>
      </c>
    </row>
    <row r="744" spans="1:14" ht="15" customHeight="1" x14ac:dyDescent="0.25">
      <c r="A744" s="82">
        <v>43019</v>
      </c>
      <c r="B744" t="s">
        <v>427</v>
      </c>
      <c r="C744" t="s">
        <v>430</v>
      </c>
      <c r="D744" t="s">
        <v>428</v>
      </c>
      <c r="E744" t="s">
        <v>429</v>
      </c>
      <c r="F744" t="s">
        <v>455</v>
      </c>
      <c r="G744" t="s">
        <v>421</v>
      </c>
      <c r="H744" t="s">
        <v>422</v>
      </c>
      <c r="I744" t="s">
        <v>424</v>
      </c>
      <c r="J744" t="s">
        <v>425</v>
      </c>
      <c r="N744" t="s">
        <v>426</v>
      </c>
    </row>
    <row r="745" spans="1:14" ht="15" customHeight="1" x14ac:dyDescent="0.25">
      <c r="A745" s="82">
        <v>43020</v>
      </c>
      <c r="B745" t="s">
        <v>455</v>
      </c>
      <c r="C745" t="s">
        <v>422</v>
      </c>
      <c r="D745" t="s">
        <v>428</v>
      </c>
      <c r="E745" t="s">
        <v>424</v>
      </c>
      <c r="F745" t="s">
        <v>426</v>
      </c>
      <c r="G745" t="s">
        <v>427</v>
      </c>
      <c r="H745" t="s">
        <v>422</v>
      </c>
      <c r="I745" t="s">
        <v>421</v>
      </c>
      <c r="J745" t="s">
        <v>425</v>
      </c>
      <c r="N745" t="s">
        <v>426</v>
      </c>
    </row>
    <row r="746" spans="1:14" ht="15" customHeight="1" x14ac:dyDescent="0.25">
      <c r="A746" s="82">
        <v>43021</v>
      </c>
      <c r="B746" t="s">
        <v>421</v>
      </c>
      <c r="C746" t="s">
        <v>422</v>
      </c>
      <c r="D746" t="s">
        <v>427</v>
      </c>
      <c r="E746" t="s">
        <v>425</v>
      </c>
      <c r="F746" t="s">
        <v>426</v>
      </c>
      <c r="G746" t="s">
        <v>455</v>
      </c>
      <c r="H746" t="s">
        <v>428</v>
      </c>
      <c r="I746" t="s">
        <v>424</v>
      </c>
      <c r="J746" t="s">
        <v>425</v>
      </c>
      <c r="N746" t="s">
        <v>429</v>
      </c>
    </row>
    <row r="747" spans="1:14" ht="15" customHeight="1" x14ac:dyDescent="0.25">
      <c r="A747" s="82">
        <v>43022</v>
      </c>
      <c r="B747" t="s">
        <v>427</v>
      </c>
      <c r="C747" t="s">
        <v>422</v>
      </c>
      <c r="D747" t="s">
        <v>455</v>
      </c>
      <c r="E747" t="s">
        <v>425</v>
      </c>
      <c r="F747" t="s">
        <v>426</v>
      </c>
      <c r="G747" t="s">
        <v>421</v>
      </c>
      <c r="H747" t="s">
        <v>428</v>
      </c>
      <c r="I747" t="s">
        <v>424</v>
      </c>
      <c r="J747" t="s">
        <v>430</v>
      </c>
      <c r="N747" t="s">
        <v>429</v>
      </c>
    </row>
    <row r="748" spans="1:14" ht="15" customHeight="1" x14ac:dyDescent="0.25">
      <c r="A748" s="82">
        <v>43023</v>
      </c>
      <c r="B748" t="s">
        <v>421</v>
      </c>
      <c r="C748" t="s">
        <v>422</v>
      </c>
      <c r="D748" t="s">
        <v>427</v>
      </c>
      <c r="E748" t="s">
        <v>425</v>
      </c>
      <c r="F748" t="s">
        <v>426</v>
      </c>
      <c r="G748" t="s">
        <v>421</v>
      </c>
      <c r="H748" t="s">
        <v>428</v>
      </c>
      <c r="I748" t="s">
        <v>424</v>
      </c>
      <c r="J748" t="s">
        <v>430</v>
      </c>
      <c r="N748" t="s">
        <v>429</v>
      </c>
    </row>
    <row r="749" spans="1:14" ht="15" customHeight="1" x14ac:dyDescent="0.25">
      <c r="A749" s="82">
        <v>43024</v>
      </c>
      <c r="B749" t="s">
        <v>424</v>
      </c>
      <c r="C749" t="s">
        <v>422</v>
      </c>
      <c r="D749" t="s">
        <v>455</v>
      </c>
      <c r="E749" t="s">
        <v>425</v>
      </c>
      <c r="F749" t="s">
        <v>426</v>
      </c>
      <c r="G749" t="s">
        <v>421</v>
      </c>
      <c r="H749" t="s">
        <v>428</v>
      </c>
      <c r="I749" t="s">
        <v>427</v>
      </c>
      <c r="J749" t="s">
        <v>430</v>
      </c>
      <c r="N749" t="s">
        <v>429</v>
      </c>
    </row>
    <row r="750" spans="1:14" ht="15" customHeight="1" x14ac:dyDescent="0.25">
      <c r="A750" s="82">
        <v>43025</v>
      </c>
      <c r="B750" t="s">
        <v>429</v>
      </c>
      <c r="C750" t="s">
        <v>422</v>
      </c>
      <c r="D750" t="s">
        <v>424</v>
      </c>
      <c r="E750" t="s">
        <v>425</v>
      </c>
      <c r="F750" t="s">
        <v>426</v>
      </c>
      <c r="G750" t="s">
        <v>430</v>
      </c>
      <c r="H750" t="s">
        <v>428</v>
      </c>
      <c r="I750" t="s">
        <v>455</v>
      </c>
      <c r="J750" t="s">
        <v>427</v>
      </c>
      <c r="N750" t="s">
        <v>421</v>
      </c>
    </row>
    <row r="751" spans="1:14" ht="15" customHeight="1" x14ac:dyDescent="0.25">
      <c r="A751" s="82">
        <v>43026</v>
      </c>
      <c r="B751" t="s">
        <v>421</v>
      </c>
      <c r="C751" t="s">
        <v>422</v>
      </c>
      <c r="D751" t="s">
        <v>424</v>
      </c>
      <c r="E751" t="s">
        <v>425</v>
      </c>
      <c r="F751" t="s">
        <v>426</v>
      </c>
      <c r="G751" t="s">
        <v>430</v>
      </c>
      <c r="H751" t="s">
        <v>428</v>
      </c>
      <c r="I751" t="s">
        <v>429</v>
      </c>
      <c r="J751" t="s">
        <v>455</v>
      </c>
      <c r="N751" t="s">
        <v>427</v>
      </c>
    </row>
    <row r="752" spans="1:14" ht="15" customHeight="1" x14ac:dyDescent="0.25">
      <c r="A752" s="82">
        <v>43027</v>
      </c>
      <c r="B752" t="s">
        <v>427</v>
      </c>
      <c r="C752" t="s">
        <v>422</v>
      </c>
      <c r="D752" t="s">
        <v>421</v>
      </c>
      <c r="E752" t="s">
        <v>425</v>
      </c>
      <c r="F752" t="s">
        <v>426</v>
      </c>
      <c r="G752" t="s">
        <v>422</v>
      </c>
      <c r="H752" t="s">
        <v>428</v>
      </c>
      <c r="I752" t="s">
        <v>424</v>
      </c>
      <c r="J752" t="s">
        <v>426</v>
      </c>
      <c r="N752" t="s">
        <v>455</v>
      </c>
    </row>
    <row r="753" spans="1:14" ht="15" customHeight="1" x14ac:dyDescent="0.25">
      <c r="A753" s="82">
        <v>43028</v>
      </c>
      <c r="B753" t="s">
        <v>455</v>
      </c>
      <c r="C753" t="s">
        <v>428</v>
      </c>
      <c r="D753" t="s">
        <v>424</v>
      </c>
      <c r="E753" t="s">
        <v>425</v>
      </c>
      <c r="F753" t="s">
        <v>429</v>
      </c>
      <c r="G753" t="s">
        <v>422</v>
      </c>
      <c r="H753" t="s">
        <v>427</v>
      </c>
      <c r="I753" t="s">
        <v>425</v>
      </c>
      <c r="J753" t="s">
        <v>426</v>
      </c>
      <c r="N753" t="s">
        <v>421</v>
      </c>
    </row>
    <row r="754" spans="1:14" ht="15" customHeight="1" x14ac:dyDescent="0.25">
      <c r="A754" s="82">
        <v>43029</v>
      </c>
      <c r="B754" t="s">
        <v>423</v>
      </c>
      <c r="C754" t="s">
        <v>428</v>
      </c>
      <c r="D754" t="s">
        <v>424</v>
      </c>
      <c r="E754" t="s">
        <v>430</v>
      </c>
      <c r="F754" t="s">
        <v>429</v>
      </c>
      <c r="G754" t="s">
        <v>422</v>
      </c>
      <c r="H754" t="s">
        <v>455</v>
      </c>
      <c r="I754" t="s">
        <v>425</v>
      </c>
      <c r="J754" t="s">
        <v>426</v>
      </c>
      <c r="N754" t="s">
        <v>427</v>
      </c>
    </row>
    <row r="755" spans="1:14" ht="15" customHeight="1" x14ac:dyDescent="0.25">
      <c r="A755" s="82">
        <v>43030</v>
      </c>
      <c r="B755" t="s">
        <v>423</v>
      </c>
      <c r="C755" t="s">
        <v>428</v>
      </c>
      <c r="D755" t="s">
        <v>424</v>
      </c>
      <c r="E755" t="s">
        <v>430</v>
      </c>
      <c r="F755" t="s">
        <v>429</v>
      </c>
      <c r="G755" t="s">
        <v>422</v>
      </c>
      <c r="H755" t="s">
        <v>427</v>
      </c>
      <c r="I755" t="s">
        <v>425</v>
      </c>
      <c r="J755" t="s">
        <v>426</v>
      </c>
      <c r="N755" t="s">
        <v>455</v>
      </c>
    </row>
    <row r="756" spans="1:14" ht="15" customHeight="1" x14ac:dyDescent="0.25">
      <c r="A756" s="82">
        <v>43031</v>
      </c>
      <c r="B756" t="s">
        <v>421</v>
      </c>
      <c r="C756" t="s">
        <v>428</v>
      </c>
      <c r="D756" t="s">
        <v>427</v>
      </c>
      <c r="E756" t="s">
        <v>430</v>
      </c>
      <c r="F756" t="s">
        <v>429</v>
      </c>
      <c r="G756" t="s">
        <v>422</v>
      </c>
      <c r="H756" t="s">
        <v>455</v>
      </c>
      <c r="I756" t="s">
        <v>425</v>
      </c>
      <c r="J756" t="s">
        <v>426</v>
      </c>
      <c r="N756" t="s">
        <v>424</v>
      </c>
    </row>
    <row r="757" spans="1:14" ht="15" customHeight="1" x14ac:dyDescent="0.25">
      <c r="A757" s="82">
        <v>43032</v>
      </c>
      <c r="B757" t="s">
        <v>430</v>
      </c>
      <c r="C757" t="s">
        <v>428</v>
      </c>
      <c r="D757" t="s">
        <v>455</v>
      </c>
      <c r="E757" t="s">
        <v>427</v>
      </c>
      <c r="F757" t="s">
        <v>421</v>
      </c>
      <c r="G757" t="s">
        <v>506</v>
      </c>
      <c r="H757" t="s">
        <v>424</v>
      </c>
      <c r="I757" t="s">
        <v>425</v>
      </c>
      <c r="J757" t="s">
        <v>507</v>
      </c>
      <c r="N757" t="s">
        <v>429</v>
      </c>
    </row>
    <row r="758" spans="1:14" ht="15" customHeight="1" x14ac:dyDescent="0.25">
      <c r="A758" s="82">
        <v>43033</v>
      </c>
      <c r="B758" t="s">
        <v>430</v>
      </c>
      <c r="C758" t="s">
        <v>428</v>
      </c>
      <c r="D758" t="s">
        <v>429</v>
      </c>
      <c r="E758" t="s">
        <v>455</v>
      </c>
      <c r="F758" t="s">
        <v>427</v>
      </c>
      <c r="G758" t="s">
        <v>422</v>
      </c>
      <c r="H758" t="s">
        <v>424</v>
      </c>
      <c r="I758" t="s">
        <v>425</v>
      </c>
      <c r="J758" t="s">
        <v>426</v>
      </c>
      <c r="N758" t="s">
        <v>421</v>
      </c>
    </row>
    <row r="759" spans="1:14" ht="15" customHeight="1" x14ac:dyDescent="0.25">
      <c r="A759" s="82">
        <v>43034</v>
      </c>
      <c r="B759" t="s">
        <v>422</v>
      </c>
      <c r="C759" t="s">
        <v>428</v>
      </c>
      <c r="D759" t="s">
        <v>424</v>
      </c>
      <c r="E759" t="s">
        <v>426</v>
      </c>
      <c r="F759" t="s">
        <v>455</v>
      </c>
      <c r="G759" t="s">
        <v>422</v>
      </c>
      <c r="H759" t="s">
        <v>421</v>
      </c>
      <c r="I759" t="s">
        <v>425</v>
      </c>
      <c r="J759" t="s">
        <v>426</v>
      </c>
      <c r="N759" t="s">
        <v>427</v>
      </c>
    </row>
    <row r="760" spans="1:14" ht="15" customHeight="1" x14ac:dyDescent="0.25">
      <c r="A760" s="82">
        <v>43035</v>
      </c>
      <c r="B760" t="s">
        <v>422</v>
      </c>
      <c r="C760" t="s">
        <v>427</v>
      </c>
      <c r="D760" t="s">
        <v>425</v>
      </c>
      <c r="E760" t="s">
        <v>426</v>
      </c>
      <c r="F760" t="s">
        <v>421</v>
      </c>
      <c r="G760" t="s">
        <v>428</v>
      </c>
      <c r="H760" t="s">
        <v>424</v>
      </c>
      <c r="I760" t="s">
        <v>425</v>
      </c>
      <c r="J760" t="s">
        <v>429</v>
      </c>
      <c r="N760" t="s">
        <v>455</v>
      </c>
    </row>
    <row r="761" spans="1:14" ht="15" customHeight="1" x14ac:dyDescent="0.25">
      <c r="A761" s="82">
        <v>43036</v>
      </c>
      <c r="B761" t="s">
        <v>422</v>
      </c>
      <c r="C761" t="s">
        <v>455</v>
      </c>
      <c r="D761" t="s">
        <v>425</v>
      </c>
      <c r="E761" t="s">
        <v>426</v>
      </c>
      <c r="F761" t="s">
        <v>427</v>
      </c>
      <c r="G761" t="s">
        <v>428</v>
      </c>
      <c r="H761" t="s">
        <v>424</v>
      </c>
      <c r="I761" t="s">
        <v>430</v>
      </c>
      <c r="J761" t="s">
        <v>429</v>
      </c>
      <c r="N761" t="s">
        <v>421</v>
      </c>
    </row>
    <row r="762" spans="1:14" ht="15" customHeight="1" x14ac:dyDescent="0.25">
      <c r="A762" s="82">
        <v>43037</v>
      </c>
      <c r="B762" t="s">
        <v>422</v>
      </c>
      <c r="C762" t="s">
        <v>427</v>
      </c>
      <c r="D762" t="s">
        <v>425</v>
      </c>
      <c r="E762" t="s">
        <v>426</v>
      </c>
      <c r="F762" t="s">
        <v>455</v>
      </c>
      <c r="G762" t="s">
        <v>428</v>
      </c>
      <c r="H762" t="s">
        <v>424</v>
      </c>
      <c r="I762" t="s">
        <v>430</v>
      </c>
      <c r="J762" t="s">
        <v>429</v>
      </c>
      <c r="N762" t="s">
        <v>421</v>
      </c>
    </row>
    <row r="763" spans="1:14" ht="15" customHeight="1" x14ac:dyDescent="0.25">
      <c r="A763" s="82">
        <v>43038</v>
      </c>
      <c r="B763" t="s">
        <v>422</v>
      </c>
      <c r="C763" t="s">
        <v>455</v>
      </c>
      <c r="D763" t="s">
        <v>425</v>
      </c>
      <c r="E763" t="s">
        <v>426</v>
      </c>
      <c r="F763" t="s">
        <v>424</v>
      </c>
      <c r="G763" t="s">
        <v>428</v>
      </c>
      <c r="H763" t="s">
        <v>427</v>
      </c>
      <c r="I763" t="s">
        <v>430</v>
      </c>
      <c r="J763" t="s">
        <v>429</v>
      </c>
      <c r="N763" t="s">
        <v>421</v>
      </c>
    </row>
    <row r="764" spans="1:14" ht="15" customHeight="1" x14ac:dyDescent="0.25">
      <c r="A764" s="82">
        <v>43039</v>
      </c>
      <c r="B764" t="s">
        <v>422</v>
      </c>
      <c r="C764" t="s">
        <v>424</v>
      </c>
      <c r="D764" t="s">
        <v>425</v>
      </c>
      <c r="E764" t="s">
        <v>426</v>
      </c>
      <c r="F764" t="s">
        <v>429</v>
      </c>
      <c r="G764" t="s">
        <v>428</v>
      </c>
      <c r="H764" t="s">
        <v>455</v>
      </c>
      <c r="I764" t="s">
        <v>427</v>
      </c>
      <c r="J764" t="s">
        <v>421</v>
      </c>
      <c r="N764" t="s">
        <v>430</v>
      </c>
    </row>
    <row r="765" spans="1:14" ht="15" customHeight="1" x14ac:dyDescent="0.25">
      <c r="A765" s="82">
        <v>43040</v>
      </c>
      <c r="B765" t="s">
        <v>422</v>
      </c>
      <c r="C765" t="s">
        <v>424</v>
      </c>
      <c r="D765" t="s">
        <v>425</v>
      </c>
      <c r="E765" t="s">
        <v>426</v>
      </c>
      <c r="F765" t="s">
        <v>421</v>
      </c>
      <c r="G765" t="s">
        <v>428</v>
      </c>
      <c r="H765" t="s">
        <v>429</v>
      </c>
      <c r="I765" t="s">
        <v>455</v>
      </c>
      <c r="J765" t="s">
        <v>427</v>
      </c>
      <c r="N765" t="s">
        <v>430</v>
      </c>
    </row>
    <row r="766" spans="1:14" ht="15" customHeight="1" x14ac:dyDescent="0.25">
      <c r="A766" s="82">
        <v>43041</v>
      </c>
      <c r="B766" t="s">
        <v>422</v>
      </c>
      <c r="C766" t="s">
        <v>421</v>
      </c>
      <c r="D766" t="s">
        <v>425</v>
      </c>
      <c r="E766" t="s">
        <v>426</v>
      </c>
      <c r="F766" t="s">
        <v>427</v>
      </c>
      <c r="G766" t="s">
        <v>428</v>
      </c>
      <c r="H766" t="s">
        <v>424</v>
      </c>
      <c r="I766" t="s">
        <v>426</v>
      </c>
      <c r="J766" t="s">
        <v>455</v>
      </c>
      <c r="N766" t="s">
        <v>422</v>
      </c>
    </row>
    <row r="767" spans="1:14" ht="15" customHeight="1" x14ac:dyDescent="0.25">
      <c r="A767" s="82">
        <v>43042</v>
      </c>
      <c r="B767" t="s">
        <v>428</v>
      </c>
      <c r="C767" t="s">
        <v>424</v>
      </c>
      <c r="D767" t="s">
        <v>425</v>
      </c>
      <c r="E767" t="s">
        <v>429</v>
      </c>
      <c r="F767" t="s">
        <v>455</v>
      </c>
      <c r="G767" t="s">
        <v>427</v>
      </c>
      <c r="H767" t="s">
        <v>425</v>
      </c>
      <c r="I767" t="s">
        <v>426</v>
      </c>
      <c r="J767" t="s">
        <v>421</v>
      </c>
      <c r="N767" t="s">
        <v>422</v>
      </c>
    </row>
    <row r="768" spans="1:14" ht="15" customHeight="1" x14ac:dyDescent="0.25">
      <c r="A768" s="82">
        <v>43043</v>
      </c>
      <c r="B768" t="s">
        <v>428</v>
      </c>
      <c r="C768" t="s">
        <v>424</v>
      </c>
      <c r="D768" t="s">
        <v>430</v>
      </c>
      <c r="E768" t="s">
        <v>429</v>
      </c>
      <c r="F768" t="s">
        <v>421</v>
      </c>
      <c r="G768" t="s">
        <v>455</v>
      </c>
      <c r="H768" t="s">
        <v>425</v>
      </c>
      <c r="I768" t="s">
        <v>426</v>
      </c>
      <c r="J768" t="s">
        <v>427</v>
      </c>
      <c r="N768" t="s">
        <v>422</v>
      </c>
    </row>
    <row r="769" spans="1:14" ht="15" customHeight="1" x14ac:dyDescent="0.25">
      <c r="A769" s="82">
        <v>43044</v>
      </c>
      <c r="B769" t="s">
        <v>428</v>
      </c>
      <c r="C769" t="s">
        <v>424</v>
      </c>
      <c r="D769" t="s">
        <v>430</v>
      </c>
      <c r="E769" t="s">
        <v>429</v>
      </c>
      <c r="F769" t="s">
        <v>421</v>
      </c>
      <c r="G769" t="s">
        <v>427</v>
      </c>
      <c r="H769" t="s">
        <v>425</v>
      </c>
      <c r="I769" t="s">
        <v>426</v>
      </c>
      <c r="J769" t="s">
        <v>455</v>
      </c>
      <c r="N769" t="s">
        <v>422</v>
      </c>
    </row>
    <row r="770" spans="1:14" ht="15" customHeight="1" x14ac:dyDescent="0.25">
      <c r="A770" s="82">
        <v>43045</v>
      </c>
      <c r="B770" t="s">
        <v>428</v>
      </c>
      <c r="C770" t="s">
        <v>427</v>
      </c>
      <c r="D770" t="s">
        <v>430</v>
      </c>
      <c r="E770" t="s">
        <v>429</v>
      </c>
      <c r="F770" t="s">
        <v>421</v>
      </c>
      <c r="G770" t="s">
        <v>455</v>
      </c>
      <c r="H770" t="s">
        <v>425</v>
      </c>
      <c r="I770" t="s">
        <v>426</v>
      </c>
      <c r="J770" t="s">
        <v>424</v>
      </c>
      <c r="N770" t="s">
        <v>422</v>
      </c>
    </row>
    <row r="771" spans="1:14" ht="15" customHeight="1" x14ac:dyDescent="0.25">
      <c r="A771" s="82">
        <v>43046</v>
      </c>
      <c r="B771" t="s">
        <v>428</v>
      </c>
      <c r="C771" t="s">
        <v>455</v>
      </c>
      <c r="D771" t="s">
        <v>427</v>
      </c>
      <c r="E771" t="s">
        <v>421</v>
      </c>
      <c r="F771" t="s">
        <v>430</v>
      </c>
      <c r="G771" t="s">
        <v>424</v>
      </c>
      <c r="H771" t="s">
        <v>425</v>
      </c>
      <c r="I771" t="s">
        <v>426</v>
      </c>
      <c r="J771" t="s">
        <v>429</v>
      </c>
      <c r="N771" t="s">
        <v>422</v>
      </c>
    </row>
    <row r="772" spans="1:14" ht="15" customHeight="1" x14ac:dyDescent="0.25">
      <c r="A772" s="82">
        <v>43047</v>
      </c>
      <c r="B772" t="s">
        <v>428</v>
      </c>
      <c r="C772" t="s">
        <v>429</v>
      </c>
      <c r="D772" t="s">
        <v>455</v>
      </c>
      <c r="E772" t="s">
        <v>427</v>
      </c>
      <c r="F772" t="s">
        <v>430</v>
      </c>
      <c r="G772" t="s">
        <v>424</v>
      </c>
      <c r="H772" t="s">
        <v>425</v>
      </c>
      <c r="I772" t="s">
        <v>426</v>
      </c>
      <c r="J772" t="s">
        <v>421</v>
      </c>
      <c r="N772" t="s">
        <v>422</v>
      </c>
    </row>
    <row r="773" spans="1:14" ht="15" customHeight="1" x14ac:dyDescent="0.25">
      <c r="A773" s="82">
        <v>43048</v>
      </c>
      <c r="B773" t="s">
        <v>428</v>
      </c>
      <c r="C773" t="s">
        <v>424</v>
      </c>
      <c r="D773" t="s">
        <v>426</v>
      </c>
      <c r="E773" t="s">
        <v>455</v>
      </c>
      <c r="F773" t="s">
        <v>422</v>
      </c>
      <c r="G773" t="s">
        <v>421</v>
      </c>
      <c r="H773" t="s">
        <v>425</v>
      </c>
      <c r="I773" t="s">
        <v>426</v>
      </c>
      <c r="J773" t="s">
        <v>427</v>
      </c>
      <c r="N773" t="s">
        <v>422</v>
      </c>
    </row>
    <row r="774" spans="1:14" ht="15" customHeight="1" x14ac:dyDescent="0.25">
      <c r="A774" s="82">
        <v>43049</v>
      </c>
      <c r="B774" t="s">
        <v>427</v>
      </c>
      <c r="C774" t="s">
        <v>425</v>
      </c>
      <c r="D774" t="s">
        <v>426</v>
      </c>
      <c r="E774" t="s">
        <v>421</v>
      </c>
      <c r="F774" t="s">
        <v>422</v>
      </c>
      <c r="G774" t="s">
        <v>424</v>
      </c>
      <c r="H774" t="s">
        <v>425</v>
      </c>
      <c r="I774" t="s">
        <v>429</v>
      </c>
      <c r="J774" t="s">
        <v>455</v>
      </c>
      <c r="N774" t="s">
        <v>428</v>
      </c>
    </row>
    <row r="775" spans="1:14" ht="15" customHeight="1" x14ac:dyDescent="0.25">
      <c r="A775" s="82">
        <v>43050</v>
      </c>
      <c r="B775" t="s">
        <v>421</v>
      </c>
      <c r="C775" t="s">
        <v>425</v>
      </c>
      <c r="D775" t="s">
        <v>426</v>
      </c>
      <c r="E775" t="s">
        <v>427</v>
      </c>
      <c r="F775" t="s">
        <v>422</v>
      </c>
      <c r="G775" t="s">
        <v>424</v>
      </c>
      <c r="H775" t="s">
        <v>430</v>
      </c>
      <c r="I775" t="s">
        <v>429</v>
      </c>
      <c r="J775" t="s">
        <v>421</v>
      </c>
      <c r="N775" t="s">
        <v>428</v>
      </c>
    </row>
    <row r="776" spans="1:14" ht="15" customHeight="1" x14ac:dyDescent="0.25">
      <c r="A776" s="82">
        <v>43051</v>
      </c>
      <c r="B776" t="s">
        <v>427</v>
      </c>
      <c r="C776" t="s">
        <v>425</v>
      </c>
      <c r="D776" t="s">
        <v>426</v>
      </c>
      <c r="E776" t="s">
        <v>455</v>
      </c>
      <c r="F776" t="s">
        <v>422</v>
      </c>
      <c r="G776" t="s">
        <v>424</v>
      </c>
      <c r="H776" t="s">
        <v>430</v>
      </c>
      <c r="I776" t="s">
        <v>429</v>
      </c>
      <c r="J776" t="s">
        <v>421</v>
      </c>
      <c r="N776" t="s">
        <v>428</v>
      </c>
    </row>
    <row r="777" spans="1:14" ht="15" customHeight="1" x14ac:dyDescent="0.25">
      <c r="A777" s="82">
        <v>43052</v>
      </c>
      <c r="B777" t="s">
        <v>455</v>
      </c>
      <c r="C777" t="s">
        <v>425</v>
      </c>
      <c r="D777" t="s">
        <v>426</v>
      </c>
      <c r="E777" t="s">
        <v>424</v>
      </c>
      <c r="F777" t="s">
        <v>422</v>
      </c>
      <c r="G777" t="s">
        <v>427</v>
      </c>
      <c r="H777" t="s">
        <v>430</v>
      </c>
      <c r="I777" t="s">
        <v>429</v>
      </c>
      <c r="J777" t="s">
        <v>421</v>
      </c>
      <c r="N777" t="s">
        <v>428</v>
      </c>
    </row>
    <row r="778" spans="1:14" ht="15" customHeight="1" x14ac:dyDescent="0.25">
      <c r="A778" s="82">
        <v>43053</v>
      </c>
      <c r="B778" t="s">
        <v>424</v>
      </c>
      <c r="C778" t="s">
        <v>425</v>
      </c>
      <c r="D778" t="s">
        <v>426</v>
      </c>
      <c r="E778" t="s">
        <v>429</v>
      </c>
      <c r="F778" t="s">
        <v>422</v>
      </c>
      <c r="G778" t="s">
        <v>455</v>
      </c>
      <c r="H778" t="s">
        <v>427</v>
      </c>
      <c r="I778" t="s">
        <v>421</v>
      </c>
      <c r="J778" t="s">
        <v>430</v>
      </c>
      <c r="N778" t="s">
        <v>428</v>
      </c>
    </row>
    <row r="779" spans="1:14" ht="15" customHeight="1" x14ac:dyDescent="0.25">
      <c r="A779" s="82">
        <v>43054</v>
      </c>
      <c r="B779" t="s">
        <v>424</v>
      </c>
      <c r="C779" t="s">
        <v>425</v>
      </c>
      <c r="D779" t="s">
        <v>426</v>
      </c>
      <c r="E779" t="s">
        <v>421</v>
      </c>
      <c r="F779" t="s">
        <v>422</v>
      </c>
      <c r="G779" t="s">
        <v>429</v>
      </c>
      <c r="H779" t="s">
        <v>455</v>
      </c>
      <c r="I779" t="s">
        <v>427</v>
      </c>
      <c r="J779" t="s">
        <v>430</v>
      </c>
      <c r="N779" t="s">
        <v>428</v>
      </c>
    </row>
    <row r="780" spans="1:14" ht="15" customHeight="1" x14ac:dyDescent="0.25">
      <c r="A780" s="82">
        <v>43055</v>
      </c>
      <c r="B780" t="s">
        <v>424</v>
      </c>
      <c r="C780" t="s">
        <v>425</v>
      </c>
      <c r="D780" t="s">
        <v>426</v>
      </c>
      <c r="E780" t="s">
        <v>427</v>
      </c>
      <c r="F780" t="s">
        <v>422</v>
      </c>
      <c r="G780" t="s">
        <v>424</v>
      </c>
      <c r="H780" t="s">
        <v>426</v>
      </c>
      <c r="I780" t="s">
        <v>455</v>
      </c>
      <c r="J780" t="s">
        <v>422</v>
      </c>
      <c r="N780" t="s">
        <v>428</v>
      </c>
    </row>
    <row r="781" spans="1:14" ht="15" customHeight="1" x14ac:dyDescent="0.25">
      <c r="A781" s="82">
        <v>43056</v>
      </c>
      <c r="B781" t="s">
        <v>424</v>
      </c>
      <c r="C781" t="s">
        <v>425</v>
      </c>
      <c r="D781" t="s">
        <v>429</v>
      </c>
      <c r="E781" t="s">
        <v>455</v>
      </c>
      <c r="F781" t="s">
        <v>428</v>
      </c>
      <c r="G781" t="s">
        <v>425</v>
      </c>
      <c r="H781" t="s">
        <v>426</v>
      </c>
      <c r="I781" t="s">
        <v>421</v>
      </c>
      <c r="J781" t="s">
        <v>422</v>
      </c>
      <c r="N781" t="s">
        <v>427</v>
      </c>
    </row>
    <row r="782" spans="1:14" ht="15" customHeight="1" x14ac:dyDescent="0.25">
      <c r="A782" s="82">
        <v>43057</v>
      </c>
      <c r="B782" t="s">
        <v>424</v>
      </c>
      <c r="C782" t="s">
        <v>430</v>
      </c>
      <c r="D782" t="s">
        <v>429</v>
      </c>
      <c r="E782" t="s">
        <v>421</v>
      </c>
      <c r="F782" t="s">
        <v>428</v>
      </c>
      <c r="G782" t="s">
        <v>425</v>
      </c>
      <c r="H782" t="s">
        <v>426</v>
      </c>
      <c r="I782" t="s">
        <v>427</v>
      </c>
      <c r="J782" t="s">
        <v>422</v>
      </c>
      <c r="N782" t="s">
        <v>455</v>
      </c>
    </row>
    <row r="783" spans="1:14" ht="15" customHeight="1" x14ac:dyDescent="0.25">
      <c r="A783" s="82">
        <v>43058</v>
      </c>
      <c r="B783" t="s">
        <v>424</v>
      </c>
      <c r="C783" t="s">
        <v>430</v>
      </c>
      <c r="D783" t="s">
        <v>429</v>
      </c>
      <c r="E783" t="s">
        <v>421</v>
      </c>
      <c r="F783" t="s">
        <v>428</v>
      </c>
      <c r="G783" t="s">
        <v>425</v>
      </c>
      <c r="H783" t="s">
        <v>426</v>
      </c>
      <c r="I783" t="s">
        <v>455</v>
      </c>
      <c r="J783" t="s">
        <v>422</v>
      </c>
      <c r="N783" t="s">
        <v>427</v>
      </c>
    </row>
    <row r="784" spans="1:14" ht="15" customHeight="1" x14ac:dyDescent="0.25">
      <c r="A784" s="82">
        <v>43059</v>
      </c>
      <c r="B784" t="s">
        <v>427</v>
      </c>
      <c r="C784" t="s">
        <v>430</v>
      </c>
      <c r="D784" t="s">
        <v>429</v>
      </c>
      <c r="E784" t="s">
        <v>421</v>
      </c>
      <c r="F784" t="s">
        <v>428</v>
      </c>
      <c r="G784" t="s">
        <v>425</v>
      </c>
      <c r="H784" t="s">
        <v>426</v>
      </c>
      <c r="I784" t="s">
        <v>424</v>
      </c>
      <c r="J784" t="s">
        <v>422</v>
      </c>
      <c r="N784" t="s">
        <v>455</v>
      </c>
    </row>
    <row r="785" spans="1:14" ht="15" customHeight="1" x14ac:dyDescent="0.25">
      <c r="A785" s="82">
        <v>43060</v>
      </c>
      <c r="B785" t="s">
        <v>455</v>
      </c>
      <c r="C785" t="s">
        <v>427</v>
      </c>
      <c r="D785" t="s">
        <v>421</v>
      </c>
      <c r="E785" t="s">
        <v>430</v>
      </c>
      <c r="F785" t="s">
        <v>428</v>
      </c>
      <c r="G785" t="s">
        <v>425</v>
      </c>
      <c r="H785" t="s">
        <v>426</v>
      </c>
      <c r="I785" t="s">
        <v>429</v>
      </c>
      <c r="J785" t="s">
        <v>422</v>
      </c>
      <c r="N785" t="s">
        <v>424</v>
      </c>
    </row>
    <row r="786" spans="1:14" ht="15" customHeight="1" x14ac:dyDescent="0.25">
      <c r="A786" s="82">
        <v>43061</v>
      </c>
      <c r="B786" t="s">
        <v>429</v>
      </c>
      <c r="C786" t="s">
        <v>455</v>
      </c>
      <c r="D786" t="s">
        <v>427</v>
      </c>
      <c r="E786" t="s">
        <v>430</v>
      </c>
      <c r="F786" t="s">
        <v>428</v>
      </c>
      <c r="G786" t="s">
        <v>425</v>
      </c>
      <c r="H786" t="s">
        <v>426</v>
      </c>
      <c r="I786" t="s">
        <v>421</v>
      </c>
      <c r="J786" t="s">
        <v>422</v>
      </c>
      <c r="N786" t="s">
        <v>424</v>
      </c>
    </row>
    <row r="787" spans="1:14" ht="15" customHeight="1" x14ac:dyDescent="0.25">
      <c r="A787" s="82">
        <v>43062</v>
      </c>
      <c r="B787" t="s">
        <v>421</v>
      </c>
      <c r="C787" t="s">
        <v>426</v>
      </c>
      <c r="D787" t="s">
        <v>455</v>
      </c>
      <c r="E787" t="s">
        <v>422</v>
      </c>
      <c r="F787" t="s">
        <v>428</v>
      </c>
      <c r="G787" t="s">
        <v>425</v>
      </c>
      <c r="H787" t="s">
        <v>426</v>
      </c>
      <c r="I787" t="s">
        <v>427</v>
      </c>
      <c r="J787" t="s">
        <v>422</v>
      </c>
      <c r="N787" t="s">
        <v>421</v>
      </c>
    </row>
    <row r="788" spans="1:14" ht="15" customHeight="1" x14ac:dyDescent="0.25">
      <c r="A788" s="82">
        <v>43063</v>
      </c>
      <c r="B788" t="s">
        <v>425</v>
      </c>
      <c r="C788" t="s">
        <v>426</v>
      </c>
      <c r="D788" t="s">
        <v>421</v>
      </c>
      <c r="E788" t="s">
        <v>422</v>
      </c>
      <c r="F788" t="s">
        <v>427</v>
      </c>
      <c r="G788" t="s">
        <v>425</v>
      </c>
      <c r="H788" t="s">
        <v>429</v>
      </c>
      <c r="I788" t="s">
        <v>455</v>
      </c>
      <c r="J788" t="s">
        <v>428</v>
      </c>
      <c r="N788" t="s">
        <v>424</v>
      </c>
    </row>
    <row r="789" spans="1:14" ht="15" customHeight="1" x14ac:dyDescent="0.25">
      <c r="A789" s="82">
        <v>43064</v>
      </c>
      <c r="B789" t="s">
        <v>425</v>
      </c>
      <c r="C789" t="s">
        <v>426</v>
      </c>
      <c r="D789" t="s">
        <v>427</v>
      </c>
      <c r="E789" t="s">
        <v>422</v>
      </c>
      <c r="F789" t="s">
        <v>455</v>
      </c>
      <c r="G789" t="s">
        <v>430</v>
      </c>
      <c r="H789" t="s">
        <v>429</v>
      </c>
      <c r="I789" t="s">
        <v>421</v>
      </c>
      <c r="J789" t="s">
        <v>428</v>
      </c>
      <c r="N789" t="s">
        <v>424</v>
      </c>
    </row>
    <row r="790" spans="1:14" ht="15" customHeight="1" x14ac:dyDescent="0.25">
      <c r="A790" s="82">
        <v>43065</v>
      </c>
      <c r="B790" t="s">
        <v>425</v>
      </c>
      <c r="C790" t="s">
        <v>426</v>
      </c>
      <c r="D790" t="s">
        <v>455</v>
      </c>
      <c r="E790" t="s">
        <v>422</v>
      </c>
      <c r="F790" t="s">
        <v>427</v>
      </c>
      <c r="G790" t="s">
        <v>430</v>
      </c>
      <c r="H790" t="s">
        <v>429</v>
      </c>
      <c r="I790" t="s">
        <v>421</v>
      </c>
      <c r="J790" t="s">
        <v>428</v>
      </c>
      <c r="N790" t="s">
        <v>424</v>
      </c>
    </row>
    <row r="791" spans="1:14" ht="15" customHeight="1" x14ac:dyDescent="0.25">
      <c r="A791" s="82">
        <v>43066</v>
      </c>
      <c r="B791" t="s">
        <v>425</v>
      </c>
      <c r="C791" t="s">
        <v>426</v>
      </c>
      <c r="D791" t="s">
        <v>424</v>
      </c>
      <c r="E791" t="s">
        <v>422</v>
      </c>
      <c r="F791" t="s">
        <v>455</v>
      </c>
      <c r="G791" t="s">
        <v>430</v>
      </c>
      <c r="H791" t="s">
        <v>429</v>
      </c>
      <c r="I791" t="s">
        <v>421</v>
      </c>
      <c r="J791" t="s">
        <v>428</v>
      </c>
      <c r="N791" t="s">
        <v>427</v>
      </c>
    </row>
    <row r="792" spans="1:14" ht="15" customHeight="1" x14ac:dyDescent="0.25">
      <c r="A792" s="82">
        <v>43067</v>
      </c>
      <c r="B792" t="s">
        <v>425</v>
      </c>
      <c r="C792" t="s">
        <v>426</v>
      </c>
      <c r="D792" t="s">
        <v>429</v>
      </c>
      <c r="E792" t="s">
        <v>422</v>
      </c>
      <c r="F792" t="s">
        <v>424</v>
      </c>
      <c r="G792" t="s">
        <v>427</v>
      </c>
      <c r="H792" t="s">
        <v>421</v>
      </c>
      <c r="I792" t="s">
        <v>430</v>
      </c>
      <c r="J792" t="s">
        <v>428</v>
      </c>
      <c r="N792" t="s">
        <v>455</v>
      </c>
    </row>
    <row r="793" spans="1:14" ht="15" customHeight="1" x14ac:dyDescent="0.25">
      <c r="A793" s="82">
        <v>43068</v>
      </c>
      <c r="B793" t="s">
        <v>425</v>
      </c>
      <c r="C793" t="s">
        <v>426</v>
      </c>
      <c r="D793" t="s">
        <v>421</v>
      </c>
      <c r="E793" t="s">
        <v>422</v>
      </c>
      <c r="F793" t="s">
        <v>424</v>
      </c>
      <c r="G793" t="s">
        <v>455</v>
      </c>
      <c r="H793" t="s">
        <v>427</v>
      </c>
      <c r="I793" t="s">
        <v>430</v>
      </c>
      <c r="J793" t="s">
        <v>428</v>
      </c>
      <c r="N793" t="s">
        <v>429</v>
      </c>
    </row>
    <row r="794" spans="1:14" ht="15" customHeight="1" x14ac:dyDescent="0.25">
      <c r="A794" s="82">
        <v>43069</v>
      </c>
      <c r="B794" t="s">
        <v>425</v>
      </c>
      <c r="C794" t="s">
        <v>426</v>
      </c>
      <c r="D794" t="s">
        <v>427</v>
      </c>
      <c r="E794" t="s">
        <v>422</v>
      </c>
      <c r="F794" t="s">
        <v>421</v>
      </c>
      <c r="G794" t="s">
        <v>426</v>
      </c>
      <c r="H794" t="s">
        <v>455</v>
      </c>
      <c r="I794" t="s">
        <v>422</v>
      </c>
      <c r="J794" t="s">
        <v>428</v>
      </c>
      <c r="N794" t="s">
        <v>424</v>
      </c>
    </row>
    <row r="795" spans="1:14" ht="15" customHeight="1" x14ac:dyDescent="0.25">
      <c r="A795" s="82">
        <v>43070</v>
      </c>
      <c r="B795" t="s">
        <v>425</v>
      </c>
      <c r="C795" t="s">
        <v>429</v>
      </c>
      <c r="D795" t="s">
        <v>455</v>
      </c>
      <c r="E795" t="s">
        <v>428</v>
      </c>
      <c r="F795" t="s">
        <v>424</v>
      </c>
      <c r="G795" t="s">
        <v>426</v>
      </c>
      <c r="H795" t="s">
        <v>421</v>
      </c>
      <c r="I795" t="s">
        <v>422</v>
      </c>
      <c r="J795" t="s">
        <v>427</v>
      </c>
      <c r="N795" t="s">
        <v>425</v>
      </c>
    </row>
    <row r="796" spans="1:14" ht="15" customHeight="1" x14ac:dyDescent="0.25">
      <c r="A796" s="82">
        <v>43071</v>
      </c>
      <c r="B796" t="s">
        <v>430</v>
      </c>
      <c r="C796" t="s">
        <v>429</v>
      </c>
      <c r="D796" t="s">
        <v>421</v>
      </c>
      <c r="E796" t="s">
        <v>428</v>
      </c>
      <c r="F796" t="s">
        <v>424</v>
      </c>
      <c r="G796" t="s">
        <v>426</v>
      </c>
      <c r="H796" t="s">
        <v>427</v>
      </c>
      <c r="I796" t="s">
        <v>422</v>
      </c>
      <c r="J796" t="s">
        <v>455</v>
      </c>
      <c r="N796" t="s">
        <v>425</v>
      </c>
    </row>
    <row r="797" spans="1:14" ht="15" customHeight="1" x14ac:dyDescent="0.25">
      <c r="A797" s="82">
        <v>43072</v>
      </c>
      <c r="B797" t="s">
        <v>430</v>
      </c>
      <c r="C797" t="s">
        <v>429</v>
      </c>
      <c r="D797" t="s">
        <v>421</v>
      </c>
      <c r="E797" t="s">
        <v>428</v>
      </c>
      <c r="F797" t="s">
        <v>424</v>
      </c>
      <c r="G797" t="s">
        <v>426</v>
      </c>
      <c r="H797" t="s">
        <v>455</v>
      </c>
      <c r="I797" t="s">
        <v>422</v>
      </c>
      <c r="J797" t="s">
        <v>427</v>
      </c>
      <c r="N797" t="s">
        <v>425</v>
      </c>
    </row>
    <row r="798" spans="1:14" ht="15" customHeight="1" x14ac:dyDescent="0.25">
      <c r="A798" s="82">
        <v>43073</v>
      </c>
      <c r="B798" t="s">
        <v>430</v>
      </c>
      <c r="C798" t="s">
        <v>429</v>
      </c>
      <c r="D798" t="s">
        <v>421</v>
      </c>
      <c r="E798" t="s">
        <v>428</v>
      </c>
      <c r="F798" t="s">
        <v>427</v>
      </c>
      <c r="G798" t="s">
        <v>426</v>
      </c>
      <c r="H798" t="s">
        <v>424</v>
      </c>
      <c r="I798" t="s">
        <v>422</v>
      </c>
      <c r="J798" t="s">
        <v>455</v>
      </c>
      <c r="N798" t="s">
        <v>425</v>
      </c>
    </row>
    <row r="799" spans="1:14" ht="15" customHeight="1" x14ac:dyDescent="0.25">
      <c r="A799" s="82">
        <v>43074</v>
      </c>
      <c r="B799" t="s">
        <v>427</v>
      </c>
      <c r="C799" t="s">
        <v>421</v>
      </c>
      <c r="D799" t="s">
        <v>430</v>
      </c>
      <c r="E799" t="s">
        <v>428</v>
      </c>
      <c r="F799" t="s">
        <v>455</v>
      </c>
      <c r="G799" t="s">
        <v>426</v>
      </c>
      <c r="H799" t="s">
        <v>429</v>
      </c>
      <c r="I799" t="s">
        <v>422</v>
      </c>
      <c r="J799" t="s">
        <v>424</v>
      </c>
      <c r="N799" t="s">
        <v>425</v>
      </c>
    </row>
    <row r="800" spans="1:14" ht="15" customHeight="1" x14ac:dyDescent="0.25">
      <c r="A800" s="82">
        <v>43075</v>
      </c>
      <c r="B800" t="s">
        <v>455</v>
      </c>
      <c r="C800" t="s">
        <v>427</v>
      </c>
      <c r="D800" t="s">
        <v>430</v>
      </c>
      <c r="E800" t="s">
        <v>428</v>
      </c>
      <c r="F800" t="s">
        <v>429</v>
      </c>
      <c r="G800" t="s">
        <v>426</v>
      </c>
      <c r="H800" t="s">
        <v>421</v>
      </c>
      <c r="I800" t="s">
        <v>422</v>
      </c>
      <c r="J800" t="s">
        <v>424</v>
      </c>
      <c r="N800" t="s">
        <v>425</v>
      </c>
    </row>
    <row r="801" spans="1:14" ht="15" customHeight="1" x14ac:dyDescent="0.25">
      <c r="A801" s="82">
        <v>43076</v>
      </c>
      <c r="B801" t="s">
        <v>426</v>
      </c>
      <c r="C801" t="s">
        <v>455</v>
      </c>
      <c r="D801" t="s">
        <v>422</v>
      </c>
      <c r="E801" t="s">
        <v>428</v>
      </c>
      <c r="F801" t="s">
        <v>424</v>
      </c>
      <c r="G801" t="s">
        <v>426</v>
      </c>
      <c r="H801" t="s">
        <v>427</v>
      </c>
      <c r="I801" t="s">
        <v>422</v>
      </c>
      <c r="J801" t="s">
        <v>421</v>
      </c>
      <c r="N801" t="s">
        <v>425</v>
      </c>
    </row>
    <row r="802" spans="1:14" ht="15" customHeight="1" x14ac:dyDescent="0.25">
      <c r="A802" s="82">
        <v>43077</v>
      </c>
      <c r="B802" t="s">
        <v>426</v>
      </c>
      <c r="C802" t="s">
        <v>421</v>
      </c>
      <c r="D802" t="s">
        <v>422</v>
      </c>
      <c r="E802" t="s">
        <v>427</v>
      </c>
      <c r="F802" t="s">
        <v>425</v>
      </c>
      <c r="G802" t="s">
        <v>429</v>
      </c>
      <c r="H802" t="s">
        <v>455</v>
      </c>
      <c r="I802" t="s">
        <v>428</v>
      </c>
      <c r="J802" t="s">
        <v>424</v>
      </c>
      <c r="N802" t="s">
        <v>425</v>
      </c>
    </row>
    <row r="803" spans="1:14" ht="15" customHeight="1" x14ac:dyDescent="0.25">
      <c r="A803" s="82">
        <v>43078</v>
      </c>
      <c r="B803" t="s">
        <v>426</v>
      </c>
      <c r="C803" t="s">
        <v>427</v>
      </c>
      <c r="D803" t="s">
        <v>422</v>
      </c>
      <c r="E803" t="s">
        <v>455</v>
      </c>
      <c r="F803" t="s">
        <v>425</v>
      </c>
      <c r="G803" t="s">
        <v>429</v>
      </c>
      <c r="H803" t="s">
        <v>421</v>
      </c>
      <c r="I803" t="s">
        <v>428</v>
      </c>
      <c r="J803" t="s">
        <v>424</v>
      </c>
      <c r="N803" t="s">
        <v>430</v>
      </c>
    </row>
    <row r="804" spans="1:14" ht="15" customHeight="1" x14ac:dyDescent="0.25">
      <c r="A804" s="82">
        <v>43079</v>
      </c>
      <c r="B804" t="s">
        <v>426</v>
      </c>
      <c r="C804" t="s">
        <v>421</v>
      </c>
      <c r="D804" t="s">
        <v>422</v>
      </c>
      <c r="E804" t="s">
        <v>427</v>
      </c>
      <c r="F804" t="s">
        <v>425</v>
      </c>
      <c r="G804" t="s">
        <v>429</v>
      </c>
      <c r="H804" t="s">
        <v>421</v>
      </c>
      <c r="I804" t="s">
        <v>428</v>
      </c>
      <c r="J804" t="s">
        <v>424</v>
      </c>
      <c r="N804" t="s">
        <v>430</v>
      </c>
    </row>
    <row r="805" spans="1:14" ht="15" customHeight="1" x14ac:dyDescent="0.25">
      <c r="A805" s="82">
        <v>43080</v>
      </c>
      <c r="B805" t="s">
        <v>426</v>
      </c>
      <c r="C805" t="s">
        <v>424</v>
      </c>
      <c r="D805" t="s">
        <v>422</v>
      </c>
      <c r="E805" t="s">
        <v>455</v>
      </c>
      <c r="F805" t="s">
        <v>425</v>
      </c>
      <c r="G805" t="s">
        <v>429</v>
      </c>
      <c r="H805" t="s">
        <v>421</v>
      </c>
      <c r="I805" t="s">
        <v>428</v>
      </c>
      <c r="J805" t="s">
        <v>427</v>
      </c>
      <c r="N805" t="s">
        <v>430</v>
      </c>
    </row>
    <row r="806" spans="1:14" ht="15" customHeight="1" x14ac:dyDescent="0.25">
      <c r="A806" s="82">
        <v>43081</v>
      </c>
      <c r="B806" t="s">
        <v>426</v>
      </c>
      <c r="C806" t="s">
        <v>429</v>
      </c>
      <c r="D806" t="s">
        <v>422</v>
      </c>
      <c r="E806" t="s">
        <v>424</v>
      </c>
      <c r="F806" t="s">
        <v>425</v>
      </c>
      <c r="G806" t="s">
        <v>421</v>
      </c>
      <c r="H806" t="s">
        <v>430</v>
      </c>
      <c r="I806" t="s">
        <v>428</v>
      </c>
      <c r="J806" t="s">
        <v>455</v>
      </c>
      <c r="N806" t="s">
        <v>427</v>
      </c>
    </row>
    <row r="807" spans="1:14" ht="15" customHeight="1" x14ac:dyDescent="0.25">
      <c r="A807" s="82">
        <v>43082</v>
      </c>
      <c r="B807" t="s">
        <v>426</v>
      </c>
      <c r="C807" t="s">
        <v>421</v>
      </c>
      <c r="D807" t="s">
        <v>422</v>
      </c>
      <c r="E807" t="s">
        <v>424</v>
      </c>
      <c r="F807" t="s">
        <v>425</v>
      </c>
      <c r="G807" t="s">
        <v>427</v>
      </c>
      <c r="H807" t="s">
        <v>430</v>
      </c>
      <c r="I807" t="s">
        <v>428</v>
      </c>
      <c r="J807" t="s">
        <v>429</v>
      </c>
      <c r="N807" t="s">
        <v>455</v>
      </c>
    </row>
    <row r="808" spans="1:14" ht="15" customHeight="1" x14ac:dyDescent="0.25">
      <c r="A808" s="82">
        <v>43083</v>
      </c>
      <c r="B808" t="s">
        <v>426</v>
      </c>
      <c r="C808" t="s">
        <v>427</v>
      </c>
      <c r="D808" t="s">
        <v>422</v>
      </c>
      <c r="E808" t="s">
        <v>421</v>
      </c>
      <c r="F808" t="s">
        <v>425</v>
      </c>
      <c r="G808" t="s">
        <v>455</v>
      </c>
      <c r="H808" t="s">
        <v>422</v>
      </c>
      <c r="I808" t="s">
        <v>428</v>
      </c>
      <c r="J808" t="s">
        <v>424</v>
      </c>
      <c r="N808" t="s">
        <v>426</v>
      </c>
    </row>
    <row r="809" spans="1:14" ht="15" customHeight="1" x14ac:dyDescent="0.25">
      <c r="A809" s="82">
        <v>43084</v>
      </c>
      <c r="B809" t="s">
        <v>429</v>
      </c>
      <c r="C809" t="s">
        <v>455</v>
      </c>
      <c r="D809" t="s">
        <v>428</v>
      </c>
      <c r="E809" t="s">
        <v>425</v>
      </c>
      <c r="F809" t="s">
        <v>425</v>
      </c>
      <c r="G809" t="s">
        <v>421</v>
      </c>
      <c r="H809" t="s">
        <v>422</v>
      </c>
      <c r="I809" t="s">
        <v>427</v>
      </c>
      <c r="J809" t="s">
        <v>424</v>
      </c>
      <c r="N809" t="s">
        <v>426</v>
      </c>
    </row>
    <row r="810" spans="1:14" ht="15" customHeight="1" x14ac:dyDescent="0.25">
      <c r="A810" s="82">
        <v>43085</v>
      </c>
      <c r="B810" t="s">
        <v>429</v>
      </c>
      <c r="C810" t="s">
        <v>421</v>
      </c>
      <c r="D810" t="s">
        <v>428</v>
      </c>
      <c r="E810" t="s">
        <v>425</v>
      </c>
      <c r="F810" t="s">
        <v>430</v>
      </c>
      <c r="G810" t="s">
        <v>427</v>
      </c>
      <c r="H810" t="s">
        <v>422</v>
      </c>
      <c r="I810" t="s">
        <v>455</v>
      </c>
      <c r="J810" t="s">
        <v>424</v>
      </c>
      <c r="N810" t="s">
        <v>426</v>
      </c>
    </row>
    <row r="811" spans="1:14" ht="15" customHeight="1" x14ac:dyDescent="0.25">
      <c r="A811" s="82">
        <v>43086</v>
      </c>
      <c r="B811" t="s">
        <v>429</v>
      </c>
      <c r="C811" t="s">
        <v>421</v>
      </c>
      <c r="D811" t="s">
        <v>428</v>
      </c>
      <c r="E811" t="s">
        <v>425</v>
      </c>
      <c r="F811" t="s">
        <v>430</v>
      </c>
      <c r="G811" t="s">
        <v>455</v>
      </c>
      <c r="H811" t="s">
        <v>422</v>
      </c>
      <c r="I811" t="s">
        <v>427</v>
      </c>
      <c r="J811" t="s">
        <v>424</v>
      </c>
      <c r="N811" t="s">
        <v>426</v>
      </c>
    </row>
    <row r="812" spans="1:14" ht="15" customHeight="1" x14ac:dyDescent="0.25">
      <c r="A812" s="82">
        <v>43087</v>
      </c>
      <c r="B812" t="s">
        <v>429</v>
      </c>
      <c r="C812" t="s">
        <v>421</v>
      </c>
      <c r="D812" t="s">
        <v>428</v>
      </c>
      <c r="E812" t="s">
        <v>425</v>
      </c>
      <c r="F812" t="s">
        <v>430</v>
      </c>
      <c r="G812" t="s">
        <v>424</v>
      </c>
      <c r="H812" t="s">
        <v>422</v>
      </c>
      <c r="I812" t="s">
        <v>455</v>
      </c>
      <c r="J812" t="s">
        <v>427</v>
      </c>
      <c r="N812" t="s">
        <v>426</v>
      </c>
    </row>
    <row r="813" spans="1:14" ht="15" customHeight="1" x14ac:dyDescent="0.25">
      <c r="A813" s="82">
        <v>43088</v>
      </c>
      <c r="B813" t="s">
        <v>421</v>
      </c>
      <c r="C813" t="s">
        <v>430</v>
      </c>
      <c r="D813" t="s">
        <v>428</v>
      </c>
      <c r="E813" t="s">
        <v>425</v>
      </c>
      <c r="F813" t="s">
        <v>427</v>
      </c>
      <c r="G813" t="s">
        <v>429</v>
      </c>
      <c r="H813" t="s">
        <v>422</v>
      </c>
      <c r="I813" t="s">
        <v>424</v>
      </c>
      <c r="J813" t="s">
        <v>455</v>
      </c>
      <c r="N813" t="s">
        <v>426</v>
      </c>
    </row>
    <row r="814" spans="1:14" ht="15" customHeight="1" x14ac:dyDescent="0.25">
      <c r="A814" s="82">
        <v>43089</v>
      </c>
      <c r="B814" t="s">
        <v>427</v>
      </c>
      <c r="C814" t="s">
        <v>430</v>
      </c>
      <c r="D814" t="s">
        <v>428</v>
      </c>
      <c r="E814" t="s">
        <v>425</v>
      </c>
      <c r="F814" t="s">
        <v>455</v>
      </c>
      <c r="G814" t="s">
        <v>421</v>
      </c>
      <c r="H814" t="s">
        <v>422</v>
      </c>
      <c r="I814" t="s">
        <v>424</v>
      </c>
      <c r="J814" t="s">
        <v>429</v>
      </c>
      <c r="N814" t="s">
        <v>426</v>
      </c>
    </row>
    <row r="815" spans="1:14" ht="15" customHeight="1" x14ac:dyDescent="0.25">
      <c r="A815" s="82">
        <v>43090</v>
      </c>
      <c r="B815" t="s">
        <v>455</v>
      </c>
      <c r="C815" t="s">
        <v>422</v>
      </c>
      <c r="D815" t="s">
        <v>428</v>
      </c>
      <c r="E815" t="s">
        <v>425</v>
      </c>
      <c r="F815" t="s">
        <v>426</v>
      </c>
      <c r="G815" t="s">
        <v>427</v>
      </c>
      <c r="H815" t="s">
        <v>422</v>
      </c>
      <c r="I815" t="s">
        <v>421</v>
      </c>
      <c r="J815" t="s">
        <v>424</v>
      </c>
      <c r="N815" t="s">
        <v>429</v>
      </c>
    </row>
    <row r="816" spans="1:14" ht="15" customHeight="1" x14ac:dyDescent="0.25">
      <c r="A816" s="82">
        <v>43091</v>
      </c>
      <c r="B816" t="s">
        <v>424</v>
      </c>
      <c r="C816" t="s">
        <v>421</v>
      </c>
      <c r="D816" t="s">
        <v>427</v>
      </c>
      <c r="E816" t="s">
        <v>425</v>
      </c>
      <c r="F816" t="s">
        <v>426</v>
      </c>
      <c r="G816" t="s">
        <v>455</v>
      </c>
      <c r="H816" t="s">
        <v>428</v>
      </c>
      <c r="I816" t="s">
        <v>422</v>
      </c>
      <c r="J816" t="s">
        <v>425</v>
      </c>
      <c r="N816" t="s">
        <v>429</v>
      </c>
    </row>
    <row r="817" spans="1:14" ht="15" customHeight="1" x14ac:dyDescent="0.25">
      <c r="A817" s="82">
        <v>43092</v>
      </c>
      <c r="B817" t="s">
        <v>421</v>
      </c>
      <c r="C817" t="s">
        <v>427</v>
      </c>
      <c r="D817" t="s">
        <v>455</v>
      </c>
      <c r="E817" t="s">
        <v>430</v>
      </c>
      <c r="F817" t="s">
        <v>426</v>
      </c>
      <c r="G817" t="s">
        <v>424</v>
      </c>
      <c r="H817" t="s">
        <v>428</v>
      </c>
      <c r="I817" t="s">
        <v>422</v>
      </c>
      <c r="J817" t="s">
        <v>425</v>
      </c>
      <c r="N817" t="s">
        <v>429</v>
      </c>
    </row>
    <row r="818" spans="1:14" ht="15" customHeight="1" x14ac:dyDescent="0.25">
      <c r="A818" s="82">
        <v>43093</v>
      </c>
      <c r="B818" t="s">
        <v>421</v>
      </c>
      <c r="C818" t="s">
        <v>455</v>
      </c>
      <c r="D818" t="s">
        <v>427</v>
      </c>
      <c r="E818" t="s">
        <v>430</v>
      </c>
      <c r="F818" t="s">
        <v>426</v>
      </c>
      <c r="G818" t="s">
        <v>424</v>
      </c>
      <c r="H818" t="s">
        <v>428</v>
      </c>
      <c r="I818" t="s">
        <v>422</v>
      </c>
      <c r="J818" t="s">
        <v>425</v>
      </c>
      <c r="N818" t="s">
        <v>429</v>
      </c>
    </row>
    <row r="819" spans="1:14" ht="15" customHeight="1" x14ac:dyDescent="0.25">
      <c r="A819" s="82">
        <v>43094</v>
      </c>
      <c r="B819" t="s">
        <v>427</v>
      </c>
      <c r="C819" t="s">
        <v>421</v>
      </c>
      <c r="D819" t="s">
        <v>455</v>
      </c>
      <c r="E819" t="s">
        <v>430</v>
      </c>
      <c r="F819" t="s">
        <v>426</v>
      </c>
      <c r="G819" t="s">
        <v>424</v>
      </c>
      <c r="H819" t="s">
        <v>428</v>
      </c>
      <c r="I819" t="s">
        <v>422</v>
      </c>
      <c r="J819" t="s">
        <v>425</v>
      </c>
      <c r="N819" t="s">
        <v>429</v>
      </c>
    </row>
    <row r="820" spans="1:14" ht="15" customHeight="1" x14ac:dyDescent="0.25">
      <c r="A820" s="82">
        <v>43095</v>
      </c>
      <c r="B820" t="s">
        <v>455</v>
      </c>
      <c r="C820" t="s">
        <v>427</v>
      </c>
      <c r="D820" t="s">
        <v>421</v>
      </c>
      <c r="E820" t="s">
        <v>430</v>
      </c>
      <c r="F820" t="s">
        <v>426</v>
      </c>
      <c r="G820" t="s">
        <v>424</v>
      </c>
      <c r="H820" t="s">
        <v>428</v>
      </c>
      <c r="I820" t="s">
        <v>422</v>
      </c>
      <c r="J820" t="s">
        <v>425</v>
      </c>
      <c r="N820" t="s">
        <v>429</v>
      </c>
    </row>
    <row r="821" spans="1:14" ht="15" customHeight="1" x14ac:dyDescent="0.25">
      <c r="A821" s="82">
        <v>43096</v>
      </c>
      <c r="B821" t="s">
        <v>421</v>
      </c>
      <c r="C821" t="s">
        <v>455</v>
      </c>
      <c r="D821" t="s">
        <v>424</v>
      </c>
      <c r="E821" t="s">
        <v>422</v>
      </c>
      <c r="F821" t="s">
        <v>426</v>
      </c>
      <c r="G821" t="s">
        <v>430</v>
      </c>
      <c r="H821" t="s">
        <v>428</v>
      </c>
      <c r="I821" t="s">
        <v>429</v>
      </c>
      <c r="J821" t="s">
        <v>425</v>
      </c>
      <c r="N821" t="s">
        <v>427</v>
      </c>
    </row>
    <row r="822" spans="1:14" ht="15" customHeight="1" x14ac:dyDescent="0.25">
      <c r="A822" s="82">
        <v>43097</v>
      </c>
      <c r="B822" t="s">
        <v>427</v>
      </c>
      <c r="C822" t="s">
        <v>430</v>
      </c>
      <c r="D822" t="s">
        <v>421</v>
      </c>
      <c r="E822" t="s">
        <v>426</v>
      </c>
      <c r="F822" t="s">
        <v>429</v>
      </c>
      <c r="G822" t="s">
        <v>422</v>
      </c>
      <c r="H822" t="s">
        <v>428</v>
      </c>
      <c r="I822" t="s">
        <v>424</v>
      </c>
      <c r="J822" t="s">
        <v>425</v>
      </c>
      <c r="N822" t="s">
        <v>455</v>
      </c>
    </row>
    <row r="823" spans="1:14" ht="15" customHeight="1" x14ac:dyDescent="0.25">
      <c r="A823" s="82">
        <v>43098</v>
      </c>
      <c r="B823" t="s">
        <v>455</v>
      </c>
      <c r="C823" t="s">
        <v>428</v>
      </c>
      <c r="D823" t="s">
        <v>429</v>
      </c>
      <c r="E823" t="s">
        <v>426</v>
      </c>
      <c r="F823" t="s">
        <v>424</v>
      </c>
      <c r="G823" t="s">
        <v>422</v>
      </c>
      <c r="H823" t="s">
        <v>427</v>
      </c>
      <c r="I823" t="s">
        <v>425</v>
      </c>
      <c r="J823" t="s">
        <v>425</v>
      </c>
      <c r="N823" t="s">
        <v>421</v>
      </c>
    </row>
    <row r="824" spans="1:14" ht="15" customHeight="1" x14ac:dyDescent="0.25">
      <c r="A824" s="82">
        <v>43099</v>
      </c>
      <c r="B824" t="s">
        <v>429</v>
      </c>
      <c r="C824" t="s">
        <v>428</v>
      </c>
      <c r="D824" t="s">
        <v>424</v>
      </c>
      <c r="E824" t="s">
        <v>426</v>
      </c>
      <c r="F824" t="s">
        <v>421</v>
      </c>
      <c r="G824" t="s">
        <v>422</v>
      </c>
      <c r="H824" t="s">
        <v>455</v>
      </c>
      <c r="I824" t="s">
        <v>425</v>
      </c>
      <c r="J824" t="s">
        <v>430</v>
      </c>
      <c r="N824" t="s">
        <v>427</v>
      </c>
    </row>
    <row r="825" spans="1:14" ht="15" customHeight="1" x14ac:dyDescent="0.25">
      <c r="A825" s="82">
        <v>43100</v>
      </c>
      <c r="B825" t="s">
        <v>429</v>
      </c>
      <c r="C825" t="s">
        <v>428</v>
      </c>
      <c r="D825" t="s">
        <v>424</v>
      </c>
      <c r="E825" t="s">
        <v>426</v>
      </c>
      <c r="F825" t="s">
        <v>421</v>
      </c>
      <c r="G825" t="s">
        <v>422</v>
      </c>
      <c r="H825" t="s">
        <v>427</v>
      </c>
      <c r="I825" t="s">
        <v>425</v>
      </c>
      <c r="J825" t="s">
        <v>430</v>
      </c>
      <c r="N825" t="s">
        <v>455</v>
      </c>
    </row>
    <row r="826" spans="1:14" ht="15" customHeight="1" x14ac:dyDescent="0.25">
      <c r="A826" s="82">
        <v>43101</v>
      </c>
      <c r="B826" t="s">
        <v>429</v>
      </c>
      <c r="C826" t="s">
        <v>428</v>
      </c>
      <c r="D826" t="s">
        <v>424</v>
      </c>
      <c r="E826" t="s">
        <v>426</v>
      </c>
      <c r="F826" t="s">
        <v>421</v>
      </c>
      <c r="G826" t="s">
        <v>422</v>
      </c>
      <c r="H826" t="s">
        <v>455</v>
      </c>
      <c r="I826" t="s">
        <v>425</v>
      </c>
      <c r="J826" t="s">
        <v>430</v>
      </c>
      <c r="N826" t="s">
        <v>427</v>
      </c>
    </row>
    <row r="827" spans="1:14" ht="15" customHeight="1" x14ac:dyDescent="0.25">
      <c r="A827" s="82">
        <v>43102</v>
      </c>
      <c r="B827" t="s">
        <v>429</v>
      </c>
      <c r="C827" t="s">
        <v>428</v>
      </c>
      <c r="D827" t="s">
        <v>424</v>
      </c>
      <c r="E827" t="s">
        <v>426</v>
      </c>
      <c r="F827" t="s">
        <v>427</v>
      </c>
      <c r="G827" t="s">
        <v>422</v>
      </c>
      <c r="H827" t="s">
        <v>421</v>
      </c>
      <c r="I827" t="s">
        <v>425</v>
      </c>
      <c r="J827" t="s">
        <v>430</v>
      </c>
      <c r="N827" t="s">
        <v>455</v>
      </c>
    </row>
    <row r="828" spans="1:14" ht="15" customHeight="1" x14ac:dyDescent="0.25">
      <c r="A828" s="82">
        <v>43103</v>
      </c>
      <c r="B828" t="s">
        <v>430</v>
      </c>
      <c r="C828" t="s">
        <v>428</v>
      </c>
      <c r="D828" t="s">
        <v>429</v>
      </c>
      <c r="E828" t="s">
        <v>427</v>
      </c>
      <c r="F828" t="s">
        <v>455</v>
      </c>
      <c r="G828" t="s">
        <v>422</v>
      </c>
      <c r="H828" t="s">
        <v>424</v>
      </c>
      <c r="I828" t="s">
        <v>425</v>
      </c>
      <c r="J828" t="s">
        <v>426</v>
      </c>
      <c r="N828" t="s">
        <v>421</v>
      </c>
    </row>
    <row r="829" spans="1:14" ht="15" customHeight="1" x14ac:dyDescent="0.25">
      <c r="A829" s="82">
        <v>43104</v>
      </c>
      <c r="B829" t="s">
        <v>422</v>
      </c>
      <c r="C829" t="s">
        <v>428</v>
      </c>
      <c r="D829" t="s">
        <v>424</v>
      </c>
      <c r="E829" t="s">
        <v>455</v>
      </c>
      <c r="F829" t="s">
        <v>426</v>
      </c>
      <c r="G829" t="s">
        <v>422</v>
      </c>
      <c r="H829" t="s">
        <v>421</v>
      </c>
      <c r="I829" t="s">
        <v>425</v>
      </c>
      <c r="J829" t="s">
        <v>426</v>
      </c>
      <c r="N829" t="s">
        <v>427</v>
      </c>
    </row>
    <row r="830" spans="1:14" ht="15" customHeight="1" x14ac:dyDescent="0.25">
      <c r="A830" s="82">
        <v>43105</v>
      </c>
      <c r="B830" t="s">
        <v>426</v>
      </c>
      <c r="C830" t="s">
        <v>427</v>
      </c>
      <c r="D830" t="s">
        <v>425</v>
      </c>
      <c r="E830" t="s">
        <v>426</v>
      </c>
      <c r="F830" t="s">
        <v>421</v>
      </c>
      <c r="G830" t="s">
        <v>428</v>
      </c>
      <c r="H830" t="s">
        <v>424</v>
      </c>
      <c r="I830" t="s">
        <v>425</v>
      </c>
      <c r="J830" t="s">
        <v>429</v>
      </c>
      <c r="N830" t="s">
        <v>455</v>
      </c>
    </row>
    <row r="831" spans="1:14" ht="15" customHeight="1" x14ac:dyDescent="0.25">
      <c r="A831" s="82">
        <v>43106</v>
      </c>
      <c r="B831" t="s">
        <v>426</v>
      </c>
      <c r="C831" t="s">
        <v>428</v>
      </c>
      <c r="D831" t="s">
        <v>425</v>
      </c>
      <c r="E831" t="s">
        <v>421</v>
      </c>
      <c r="F831" t="s">
        <v>427</v>
      </c>
      <c r="G831" t="s">
        <v>428</v>
      </c>
      <c r="H831" t="s">
        <v>424</v>
      </c>
      <c r="I831" t="s">
        <v>430</v>
      </c>
      <c r="J831" t="s">
        <v>429</v>
      </c>
    </row>
    <row r="832" spans="1:14" ht="15" customHeight="1" x14ac:dyDescent="0.25">
      <c r="A832" s="82">
        <v>43107</v>
      </c>
      <c r="B832" t="s">
        <v>426</v>
      </c>
      <c r="C832" t="s">
        <v>427</v>
      </c>
      <c r="D832" t="s">
        <v>425</v>
      </c>
      <c r="E832" t="s">
        <v>421</v>
      </c>
      <c r="F832" t="s">
        <v>455</v>
      </c>
      <c r="G832" t="s">
        <v>428</v>
      </c>
      <c r="H832" t="s">
        <v>424</v>
      </c>
      <c r="I832" t="s">
        <v>430</v>
      </c>
      <c r="J832" t="s">
        <v>429</v>
      </c>
    </row>
    <row r="833" spans="1:10" ht="15" customHeight="1" x14ac:dyDescent="0.25">
      <c r="A833" s="82">
        <v>43108</v>
      </c>
      <c r="B833" t="s">
        <v>426</v>
      </c>
      <c r="C833" t="s">
        <v>455</v>
      </c>
      <c r="D833" t="s">
        <v>425</v>
      </c>
      <c r="E833" t="s">
        <v>427</v>
      </c>
      <c r="F833" t="s">
        <v>421</v>
      </c>
      <c r="G833" t="s">
        <v>428</v>
      </c>
      <c r="H833" t="s">
        <v>424</v>
      </c>
      <c r="I833" t="s">
        <v>430</v>
      </c>
      <c r="J833" t="s">
        <v>429</v>
      </c>
    </row>
    <row r="834" spans="1:10" ht="15" customHeight="1" x14ac:dyDescent="0.25">
      <c r="A834" s="82">
        <v>43109</v>
      </c>
      <c r="B834" t="s">
        <v>426</v>
      </c>
      <c r="C834" t="s">
        <v>421</v>
      </c>
      <c r="D834" t="s">
        <v>425</v>
      </c>
      <c r="E834" t="s">
        <v>455</v>
      </c>
      <c r="F834" t="s">
        <v>427</v>
      </c>
      <c r="G834" t="s">
        <v>428</v>
      </c>
      <c r="H834" t="s">
        <v>424</v>
      </c>
      <c r="I834" t="s">
        <v>430</v>
      </c>
      <c r="J834" t="s">
        <v>429</v>
      </c>
    </row>
    <row r="835" spans="1:10" ht="15" customHeight="1" x14ac:dyDescent="0.25">
      <c r="A835" s="82">
        <v>43110</v>
      </c>
      <c r="B835" t="s">
        <v>426</v>
      </c>
      <c r="C835" t="s">
        <v>421</v>
      </c>
      <c r="D835" t="s">
        <v>425</v>
      </c>
      <c r="E835" t="s">
        <v>427</v>
      </c>
      <c r="F835" t="s">
        <v>455</v>
      </c>
      <c r="G835" t="s">
        <v>428</v>
      </c>
      <c r="H835" t="s">
        <v>424</v>
      </c>
      <c r="I835" t="s">
        <v>430</v>
      </c>
      <c r="J835" t="s">
        <v>429</v>
      </c>
    </row>
    <row r="836" spans="1:10" ht="15" customHeight="1" x14ac:dyDescent="0.25">
      <c r="A836" s="82">
        <v>43111</v>
      </c>
      <c r="B836" t="s">
        <v>426</v>
      </c>
      <c r="C836" t="s">
        <v>427</v>
      </c>
      <c r="D836" t="s">
        <v>425</v>
      </c>
      <c r="E836" t="s">
        <v>455</v>
      </c>
      <c r="F836" t="s">
        <v>421</v>
      </c>
      <c r="G836" t="s">
        <v>428</v>
      </c>
      <c r="H836" t="s">
        <v>424</v>
      </c>
      <c r="I836" t="s">
        <v>467</v>
      </c>
      <c r="J836" t="s">
        <v>508</v>
      </c>
    </row>
    <row r="837" spans="1:10" ht="15" customHeight="1" x14ac:dyDescent="0.25">
      <c r="A837" s="82">
        <v>43112</v>
      </c>
      <c r="B837" t="s">
        <v>421</v>
      </c>
      <c r="C837" t="s">
        <v>455</v>
      </c>
      <c r="D837" t="s">
        <v>425</v>
      </c>
      <c r="E837" t="s">
        <v>429</v>
      </c>
      <c r="F837" t="s">
        <v>430</v>
      </c>
      <c r="G837" t="s">
        <v>427</v>
      </c>
      <c r="H837" t="s">
        <v>425</v>
      </c>
      <c r="I837" t="s">
        <v>428</v>
      </c>
      <c r="J837" t="s">
        <v>426</v>
      </c>
    </row>
    <row r="838" spans="1:10" ht="15" customHeight="1" x14ac:dyDescent="0.25">
      <c r="A838" s="82">
        <v>43113</v>
      </c>
      <c r="B838" t="s">
        <v>427</v>
      </c>
      <c r="C838" t="s">
        <v>424</v>
      </c>
      <c r="D838" t="s">
        <v>421</v>
      </c>
      <c r="E838" t="s">
        <v>429</v>
      </c>
      <c r="F838" t="s">
        <v>430</v>
      </c>
      <c r="G838" t="s">
        <v>455</v>
      </c>
      <c r="H838" t="s">
        <v>425</v>
      </c>
      <c r="I838" t="s">
        <v>428</v>
      </c>
      <c r="J838" t="s">
        <v>426</v>
      </c>
    </row>
    <row r="839" spans="1:10" ht="15" customHeight="1" x14ac:dyDescent="0.25">
      <c r="A839" s="82">
        <v>43114</v>
      </c>
      <c r="B839" t="s">
        <v>455</v>
      </c>
      <c r="C839" t="s">
        <v>424</v>
      </c>
      <c r="D839" t="s">
        <v>421</v>
      </c>
      <c r="E839" t="s">
        <v>429</v>
      </c>
      <c r="F839" t="s">
        <v>430</v>
      </c>
      <c r="G839" t="s">
        <v>427</v>
      </c>
      <c r="H839" t="s">
        <v>425</v>
      </c>
      <c r="I839" t="s">
        <v>428</v>
      </c>
      <c r="J839" t="s">
        <v>426</v>
      </c>
    </row>
    <row r="840" spans="1:10" ht="15" customHeight="1" x14ac:dyDescent="0.25">
      <c r="A840" s="82">
        <v>43115</v>
      </c>
      <c r="B840" t="s">
        <v>421</v>
      </c>
      <c r="C840" t="s">
        <v>424</v>
      </c>
      <c r="D840" t="s">
        <v>427</v>
      </c>
      <c r="E840" t="s">
        <v>429</v>
      </c>
      <c r="F840" t="s">
        <v>430</v>
      </c>
      <c r="G840" t="s">
        <v>455</v>
      </c>
      <c r="H840" t="s">
        <v>425</v>
      </c>
      <c r="I840" t="s">
        <v>428</v>
      </c>
      <c r="J840" t="s">
        <v>426</v>
      </c>
    </row>
    <row r="841" spans="1:10" ht="15" customHeight="1" x14ac:dyDescent="0.25">
      <c r="A841" s="82">
        <v>43116</v>
      </c>
      <c r="B841" t="s">
        <v>427</v>
      </c>
      <c r="C841" t="s">
        <v>421</v>
      </c>
      <c r="D841" t="s">
        <v>455</v>
      </c>
      <c r="E841" t="s">
        <v>429</v>
      </c>
      <c r="F841" t="s">
        <v>430</v>
      </c>
      <c r="G841" t="s">
        <v>424</v>
      </c>
      <c r="H841" t="s">
        <v>425</v>
      </c>
      <c r="I841" t="s">
        <v>428</v>
      </c>
      <c r="J841" t="s">
        <v>426</v>
      </c>
    </row>
    <row r="842" spans="1:10" ht="15" customHeight="1" x14ac:dyDescent="0.25">
      <c r="A842" s="82">
        <v>43117</v>
      </c>
      <c r="B842" t="s">
        <v>455</v>
      </c>
      <c r="C842" t="s">
        <v>421</v>
      </c>
      <c r="D842" t="s">
        <v>427</v>
      </c>
      <c r="E842" t="s">
        <v>429</v>
      </c>
      <c r="F842" t="s">
        <v>430</v>
      </c>
      <c r="G842" t="s">
        <v>424</v>
      </c>
      <c r="H842" t="s">
        <v>425</v>
      </c>
      <c r="I842" t="s">
        <v>428</v>
      </c>
      <c r="J842" t="s">
        <v>426</v>
      </c>
    </row>
    <row r="843" spans="1:10" ht="15" customHeight="1" x14ac:dyDescent="0.25">
      <c r="A843" s="82">
        <v>43118</v>
      </c>
      <c r="B843" t="s">
        <v>421</v>
      </c>
      <c r="C843" t="s">
        <v>427</v>
      </c>
      <c r="D843" t="s">
        <v>455</v>
      </c>
      <c r="E843" t="s">
        <v>429</v>
      </c>
      <c r="F843" t="s">
        <v>430</v>
      </c>
      <c r="G843" t="s">
        <v>424</v>
      </c>
      <c r="H843" t="s">
        <v>425</v>
      </c>
      <c r="I843" t="s">
        <v>428</v>
      </c>
      <c r="J843" t="s">
        <v>426</v>
      </c>
    </row>
    <row r="844" spans="1:10" ht="15" customHeight="1" x14ac:dyDescent="0.25">
      <c r="A844" s="82">
        <v>43119</v>
      </c>
      <c r="B844" t="s">
        <v>430</v>
      </c>
      <c r="C844" t="s">
        <v>455</v>
      </c>
      <c r="D844" t="s">
        <v>429</v>
      </c>
      <c r="E844" t="s">
        <v>426</v>
      </c>
      <c r="F844" t="s">
        <v>428</v>
      </c>
      <c r="G844" t="s">
        <v>425</v>
      </c>
      <c r="H844" t="s">
        <v>425</v>
      </c>
      <c r="I844" t="s">
        <v>427</v>
      </c>
      <c r="J844" t="s">
        <v>421</v>
      </c>
    </row>
    <row r="845" spans="1:10" ht="15" customHeight="1" x14ac:dyDescent="0.25">
      <c r="A845" s="82">
        <v>43120</v>
      </c>
      <c r="B845" t="s">
        <v>430</v>
      </c>
      <c r="C845" t="s">
        <v>424</v>
      </c>
      <c r="D845" t="s">
        <v>429</v>
      </c>
      <c r="E845" t="s">
        <v>426</v>
      </c>
      <c r="F845" t="s">
        <v>428</v>
      </c>
      <c r="G845" t="s">
        <v>425</v>
      </c>
      <c r="H845" t="s">
        <v>421</v>
      </c>
      <c r="I845" t="s">
        <v>455</v>
      </c>
      <c r="J845" t="s">
        <v>427</v>
      </c>
    </row>
    <row r="846" spans="1:10" ht="15" customHeight="1" x14ac:dyDescent="0.25">
      <c r="A846" s="82">
        <v>43121</v>
      </c>
      <c r="B846" t="s">
        <v>430</v>
      </c>
      <c r="C846" t="s">
        <v>424</v>
      </c>
      <c r="D846" t="s">
        <v>429</v>
      </c>
      <c r="E846" t="s">
        <v>426</v>
      </c>
      <c r="F846" t="s">
        <v>428</v>
      </c>
      <c r="G846" t="s">
        <v>425</v>
      </c>
      <c r="H846" t="s">
        <v>421</v>
      </c>
      <c r="I846" t="s">
        <v>427</v>
      </c>
      <c r="J846" t="s">
        <v>455</v>
      </c>
    </row>
    <row r="847" spans="1:10" ht="15" customHeight="1" x14ac:dyDescent="0.25">
      <c r="A847" s="82">
        <v>43122</v>
      </c>
      <c r="B847" t="s">
        <v>430</v>
      </c>
      <c r="C847" t="s">
        <v>424</v>
      </c>
      <c r="D847" t="s">
        <v>429</v>
      </c>
      <c r="E847" t="s">
        <v>426</v>
      </c>
      <c r="F847" t="s">
        <v>428</v>
      </c>
      <c r="G847" t="s">
        <v>425</v>
      </c>
      <c r="H847" t="s">
        <v>427</v>
      </c>
      <c r="I847" t="s">
        <v>455</v>
      </c>
      <c r="J847" t="s">
        <v>421</v>
      </c>
    </row>
    <row r="848" spans="1:10" ht="15" customHeight="1" x14ac:dyDescent="0.25">
      <c r="A848" s="82">
        <v>43123</v>
      </c>
      <c r="B848" t="s">
        <v>430</v>
      </c>
      <c r="C848" t="s">
        <v>424</v>
      </c>
      <c r="D848" t="s">
        <v>429</v>
      </c>
      <c r="E848" t="s">
        <v>426</v>
      </c>
      <c r="F848" t="s">
        <v>428</v>
      </c>
      <c r="G848" t="s">
        <v>425</v>
      </c>
      <c r="H848" t="s">
        <v>455</v>
      </c>
      <c r="I848" t="s">
        <v>421</v>
      </c>
      <c r="J848" t="s">
        <v>427</v>
      </c>
    </row>
    <row r="849" spans="1:10" ht="15" customHeight="1" x14ac:dyDescent="0.25">
      <c r="A849" s="82">
        <v>43124</v>
      </c>
      <c r="B849" t="s">
        <v>430</v>
      </c>
      <c r="C849" t="s">
        <v>424</v>
      </c>
      <c r="D849" t="s">
        <v>429</v>
      </c>
      <c r="E849" t="s">
        <v>426</v>
      </c>
      <c r="F849" t="s">
        <v>428</v>
      </c>
      <c r="G849" t="s">
        <v>425</v>
      </c>
      <c r="H849" t="s">
        <v>427</v>
      </c>
      <c r="I849" t="s">
        <v>421</v>
      </c>
      <c r="J849" t="s">
        <v>455</v>
      </c>
    </row>
    <row r="850" spans="1:10" ht="15" customHeight="1" x14ac:dyDescent="0.25">
      <c r="A850" s="82">
        <v>43125</v>
      </c>
      <c r="B850" t="s">
        <v>430</v>
      </c>
      <c r="C850" t="s">
        <v>424</v>
      </c>
      <c r="D850" t="s">
        <v>429</v>
      </c>
      <c r="E850" t="s">
        <v>426</v>
      </c>
      <c r="F850" t="s">
        <v>428</v>
      </c>
      <c r="G850" t="s">
        <v>425</v>
      </c>
      <c r="H850" t="s">
        <v>455</v>
      </c>
      <c r="I850" t="s">
        <v>427</v>
      </c>
      <c r="J850" t="s">
        <v>421</v>
      </c>
    </row>
    <row r="851" spans="1:10" ht="15" customHeight="1" x14ac:dyDescent="0.25">
      <c r="A851" s="82">
        <v>43126</v>
      </c>
      <c r="B851" t="s">
        <v>428</v>
      </c>
      <c r="C851" t="s">
        <v>425</v>
      </c>
      <c r="D851" t="s">
        <v>426</v>
      </c>
      <c r="E851" t="s">
        <v>421</v>
      </c>
      <c r="F851" t="s">
        <v>427</v>
      </c>
      <c r="G851" t="s">
        <v>425</v>
      </c>
      <c r="H851" t="s">
        <v>429</v>
      </c>
      <c r="I851" t="s">
        <v>455</v>
      </c>
      <c r="J851" t="s">
        <v>430</v>
      </c>
    </row>
    <row r="852" spans="1:10" ht="15" customHeight="1" x14ac:dyDescent="0.25">
      <c r="A852" s="82">
        <v>43127</v>
      </c>
      <c r="B852" t="s">
        <v>428</v>
      </c>
      <c r="C852" t="s">
        <v>425</v>
      </c>
      <c r="D852" t="s">
        <v>426</v>
      </c>
      <c r="E852" t="s">
        <v>427</v>
      </c>
      <c r="F852" t="s">
        <v>455</v>
      </c>
      <c r="G852" t="s">
        <v>421</v>
      </c>
      <c r="H852" t="s">
        <v>429</v>
      </c>
      <c r="I852" t="s">
        <v>424</v>
      </c>
      <c r="J852" t="s">
        <v>430</v>
      </c>
    </row>
    <row r="853" spans="1:10" ht="15" customHeight="1" x14ac:dyDescent="0.25">
      <c r="A853" s="82">
        <v>43128</v>
      </c>
      <c r="B853" t="s">
        <v>428</v>
      </c>
      <c r="C853" t="s">
        <v>425</v>
      </c>
      <c r="D853" t="s">
        <v>426</v>
      </c>
      <c r="E853" t="s">
        <v>455</v>
      </c>
      <c r="F853" t="s">
        <v>427</v>
      </c>
      <c r="G853" t="s">
        <v>421</v>
      </c>
      <c r="H853" t="s">
        <v>429</v>
      </c>
      <c r="I853" t="s">
        <v>424</v>
      </c>
      <c r="J853" t="s">
        <v>430</v>
      </c>
    </row>
    <row r="854" spans="1:10" ht="15" customHeight="1" x14ac:dyDescent="0.25">
      <c r="A854" s="82">
        <v>43129</v>
      </c>
      <c r="B854" t="s">
        <v>428</v>
      </c>
      <c r="C854" t="s">
        <v>425</v>
      </c>
      <c r="D854" t="s">
        <v>426</v>
      </c>
      <c r="E854" t="s">
        <v>421</v>
      </c>
      <c r="F854" t="s">
        <v>455</v>
      </c>
      <c r="G854" t="s">
        <v>427</v>
      </c>
      <c r="H854" t="s">
        <v>429</v>
      </c>
      <c r="I854" t="s">
        <v>424</v>
      </c>
      <c r="J854" t="s">
        <v>430</v>
      </c>
    </row>
    <row r="855" spans="1:10" ht="15" customHeight="1" x14ac:dyDescent="0.25">
      <c r="A855" s="82">
        <v>43130</v>
      </c>
      <c r="B855" t="s">
        <v>428</v>
      </c>
      <c r="C855" t="s">
        <v>425</v>
      </c>
      <c r="D855" t="s">
        <v>426</v>
      </c>
      <c r="E855" t="s">
        <v>427</v>
      </c>
      <c r="F855" t="s">
        <v>421</v>
      </c>
      <c r="G855" t="s">
        <v>455</v>
      </c>
      <c r="H855" t="s">
        <v>429</v>
      </c>
      <c r="I855" t="s">
        <v>424</v>
      </c>
      <c r="J855" t="s">
        <v>430</v>
      </c>
    </row>
    <row r="856" spans="1:10" ht="15" customHeight="1" x14ac:dyDescent="0.25">
      <c r="A856" s="82">
        <v>43131</v>
      </c>
      <c r="B856" t="s">
        <v>428</v>
      </c>
      <c r="C856" t="s">
        <v>425</v>
      </c>
      <c r="D856" t="s">
        <v>426</v>
      </c>
      <c r="E856" t="s">
        <v>455</v>
      </c>
      <c r="F856" t="s">
        <v>421</v>
      </c>
      <c r="G856" t="s">
        <v>427</v>
      </c>
      <c r="H856" t="s">
        <v>429</v>
      </c>
      <c r="I856" t="s">
        <v>424</v>
      </c>
      <c r="J856" t="s">
        <v>430</v>
      </c>
    </row>
    <row r="857" spans="1:10" ht="15" customHeight="1" x14ac:dyDescent="0.25">
      <c r="A857" s="82">
        <v>43132</v>
      </c>
      <c r="B857" t="s">
        <v>428</v>
      </c>
      <c r="C857" t="s">
        <v>425</v>
      </c>
      <c r="D857" t="s">
        <v>426</v>
      </c>
      <c r="E857" t="s">
        <v>421</v>
      </c>
      <c r="F857" t="s">
        <v>427</v>
      </c>
      <c r="G857" t="s">
        <v>455</v>
      </c>
      <c r="H857" t="s">
        <v>429</v>
      </c>
      <c r="I857" t="s">
        <v>424</v>
      </c>
      <c r="J857" t="s">
        <v>430</v>
      </c>
    </row>
    <row r="858" spans="1:10" ht="15" customHeight="1" x14ac:dyDescent="0.25">
      <c r="A858" s="82">
        <v>43133</v>
      </c>
      <c r="B858" t="s">
        <v>427</v>
      </c>
      <c r="C858" t="s">
        <v>425</v>
      </c>
      <c r="D858" t="s">
        <v>421</v>
      </c>
      <c r="E858" t="s">
        <v>430</v>
      </c>
      <c r="F858" t="s">
        <v>455</v>
      </c>
      <c r="G858" t="s">
        <v>429</v>
      </c>
      <c r="H858" t="s">
        <v>426</v>
      </c>
      <c r="I858" t="s">
        <v>425</v>
      </c>
      <c r="J858" t="s">
        <v>428</v>
      </c>
    </row>
    <row r="859" spans="1:10" ht="15" customHeight="1" x14ac:dyDescent="0.25">
      <c r="A859" s="82">
        <v>43134</v>
      </c>
      <c r="B859" t="s">
        <v>455</v>
      </c>
      <c r="C859" t="s">
        <v>421</v>
      </c>
      <c r="D859" t="s">
        <v>427</v>
      </c>
      <c r="E859" t="s">
        <v>430</v>
      </c>
      <c r="F859" t="s">
        <v>424</v>
      </c>
      <c r="G859" t="s">
        <v>429</v>
      </c>
      <c r="H859" t="s">
        <v>426</v>
      </c>
      <c r="I859" t="s">
        <v>425</v>
      </c>
      <c r="J859" t="s">
        <v>428</v>
      </c>
    </row>
    <row r="860" spans="1:10" ht="15" customHeight="1" x14ac:dyDescent="0.25">
      <c r="A860" s="82">
        <v>43135</v>
      </c>
      <c r="B860" t="s">
        <v>427</v>
      </c>
      <c r="C860" t="s">
        <v>421</v>
      </c>
      <c r="D860" t="s">
        <v>455</v>
      </c>
      <c r="E860" t="s">
        <v>430</v>
      </c>
      <c r="F860" t="s">
        <v>424</v>
      </c>
      <c r="G860" t="s">
        <v>429</v>
      </c>
      <c r="H860" t="s">
        <v>426</v>
      </c>
      <c r="I860" t="s">
        <v>425</v>
      </c>
      <c r="J860" t="s">
        <v>428</v>
      </c>
    </row>
    <row r="861" spans="1:10" ht="15" customHeight="1" x14ac:dyDescent="0.25">
      <c r="A861" s="82">
        <v>43136</v>
      </c>
      <c r="B861" t="s">
        <v>455</v>
      </c>
      <c r="C861" t="s">
        <v>427</v>
      </c>
      <c r="D861" t="s">
        <v>421</v>
      </c>
      <c r="E861" t="s">
        <v>430</v>
      </c>
      <c r="F861" t="s">
        <v>424</v>
      </c>
      <c r="G861" t="s">
        <v>429</v>
      </c>
      <c r="H861" t="s">
        <v>426</v>
      </c>
      <c r="I861" t="s">
        <v>425</v>
      </c>
      <c r="J861" t="s">
        <v>428</v>
      </c>
    </row>
    <row r="862" spans="1:10" ht="15" customHeight="1" x14ac:dyDescent="0.25">
      <c r="A862" s="82">
        <v>43137</v>
      </c>
      <c r="B862" t="s">
        <v>421</v>
      </c>
      <c r="C862" t="s">
        <v>455</v>
      </c>
      <c r="D862" t="s">
        <v>427</v>
      </c>
      <c r="E862" t="s">
        <v>430</v>
      </c>
      <c r="F862" t="s">
        <v>424</v>
      </c>
      <c r="G862" t="s">
        <v>429</v>
      </c>
      <c r="H862" t="s">
        <v>426</v>
      </c>
      <c r="I862" t="s">
        <v>425</v>
      </c>
      <c r="J862" t="s">
        <v>428</v>
      </c>
    </row>
    <row r="863" spans="1:10" ht="15" customHeight="1" x14ac:dyDescent="0.25">
      <c r="A863" s="82">
        <v>43138</v>
      </c>
      <c r="B863" t="s">
        <v>421</v>
      </c>
      <c r="C863" t="s">
        <v>427</v>
      </c>
      <c r="D863" t="s">
        <v>455</v>
      </c>
      <c r="E863" t="s">
        <v>430</v>
      </c>
      <c r="F863" t="s">
        <v>424</v>
      </c>
      <c r="G863" t="s">
        <v>429</v>
      </c>
      <c r="H863" t="s">
        <v>426</v>
      </c>
      <c r="I863" t="s">
        <v>425</v>
      </c>
      <c r="J863" t="s">
        <v>428</v>
      </c>
    </row>
    <row r="864" spans="1:10" ht="15" customHeight="1" x14ac:dyDescent="0.25">
      <c r="A864" s="82">
        <v>43139</v>
      </c>
      <c r="B864" t="s">
        <v>427</v>
      </c>
      <c r="C864" t="s">
        <v>455</v>
      </c>
      <c r="D864" t="s">
        <v>421</v>
      </c>
      <c r="E864" t="s">
        <v>430</v>
      </c>
      <c r="F864" t="s">
        <v>424</v>
      </c>
      <c r="G864" t="s">
        <v>429</v>
      </c>
      <c r="H864" t="s">
        <v>426</v>
      </c>
      <c r="I864" t="s">
        <v>425</v>
      </c>
      <c r="J864" t="s">
        <v>428</v>
      </c>
    </row>
    <row r="865" spans="1:10" ht="15" customHeight="1" x14ac:dyDescent="0.25">
      <c r="A865" s="82">
        <v>43140</v>
      </c>
      <c r="B865" t="s">
        <v>455</v>
      </c>
      <c r="C865" t="s">
        <v>429</v>
      </c>
      <c r="D865" t="s">
        <v>430</v>
      </c>
      <c r="E865" t="s">
        <v>428</v>
      </c>
      <c r="F865" t="s">
        <v>425</v>
      </c>
      <c r="G865" t="s">
        <v>426</v>
      </c>
      <c r="H865" t="s">
        <v>421</v>
      </c>
      <c r="I865" t="s">
        <v>425</v>
      </c>
      <c r="J865" t="s">
        <v>427</v>
      </c>
    </row>
    <row r="866" spans="1:10" ht="15" customHeight="1" x14ac:dyDescent="0.25">
      <c r="A866" s="82">
        <v>43141</v>
      </c>
      <c r="B866" t="s">
        <v>424</v>
      </c>
      <c r="C866" t="s">
        <v>429</v>
      </c>
      <c r="D866" t="s">
        <v>430</v>
      </c>
      <c r="E866" t="s">
        <v>428</v>
      </c>
      <c r="F866" t="s">
        <v>425</v>
      </c>
      <c r="G866" t="s">
        <v>426</v>
      </c>
      <c r="H866" t="s">
        <v>427</v>
      </c>
      <c r="I866" t="s">
        <v>421</v>
      </c>
      <c r="J866" t="s">
        <v>455</v>
      </c>
    </row>
    <row r="867" spans="1:10" ht="15" customHeight="1" x14ac:dyDescent="0.25">
      <c r="A867" s="82">
        <v>43142</v>
      </c>
      <c r="B867" t="s">
        <v>424</v>
      </c>
      <c r="C867" t="s">
        <v>429</v>
      </c>
      <c r="D867" t="s">
        <v>430</v>
      </c>
      <c r="E867" t="s">
        <v>428</v>
      </c>
      <c r="F867" t="s">
        <v>425</v>
      </c>
      <c r="G867" t="s">
        <v>426</v>
      </c>
      <c r="H867" t="s">
        <v>455</v>
      </c>
      <c r="I867" t="s">
        <v>421</v>
      </c>
      <c r="J867" t="s">
        <v>427</v>
      </c>
    </row>
    <row r="868" spans="1:10" ht="15" customHeight="1" x14ac:dyDescent="0.25">
      <c r="A868" s="82">
        <v>43143</v>
      </c>
      <c r="B868" t="s">
        <v>424</v>
      </c>
      <c r="C868" t="s">
        <v>429</v>
      </c>
      <c r="D868" t="s">
        <v>430</v>
      </c>
      <c r="E868" t="s">
        <v>428</v>
      </c>
      <c r="F868" t="s">
        <v>425</v>
      </c>
      <c r="G868" t="s">
        <v>426</v>
      </c>
      <c r="H868" t="s">
        <v>421</v>
      </c>
      <c r="I868" t="s">
        <v>427</v>
      </c>
      <c r="J868" t="s">
        <v>455</v>
      </c>
    </row>
    <row r="869" spans="1:10" ht="15" customHeight="1" x14ac:dyDescent="0.25">
      <c r="A869" s="82">
        <v>43144</v>
      </c>
      <c r="B869" t="s">
        <v>424</v>
      </c>
      <c r="C869" t="s">
        <v>429</v>
      </c>
      <c r="D869" t="s">
        <v>430</v>
      </c>
      <c r="E869" t="s">
        <v>428</v>
      </c>
      <c r="F869" t="s">
        <v>425</v>
      </c>
      <c r="G869" t="s">
        <v>426</v>
      </c>
      <c r="H869" t="s">
        <v>427</v>
      </c>
      <c r="I869" t="s">
        <v>455</v>
      </c>
      <c r="J869" t="s">
        <v>421</v>
      </c>
    </row>
    <row r="870" spans="1:10" ht="15" customHeight="1" x14ac:dyDescent="0.25">
      <c r="A870" s="82">
        <v>43145</v>
      </c>
      <c r="B870" t="s">
        <v>424</v>
      </c>
      <c r="C870" t="s">
        <v>429</v>
      </c>
      <c r="D870" t="s">
        <v>430</v>
      </c>
      <c r="E870" t="s">
        <v>428</v>
      </c>
      <c r="F870" t="s">
        <v>425</v>
      </c>
      <c r="G870" t="s">
        <v>426</v>
      </c>
      <c r="H870" t="s">
        <v>455</v>
      </c>
      <c r="I870" t="s">
        <v>427</v>
      </c>
      <c r="J870" t="s">
        <v>421</v>
      </c>
    </row>
    <row r="871" spans="1:10" ht="15" customHeight="1" x14ac:dyDescent="0.25">
      <c r="A871" s="82">
        <v>43146</v>
      </c>
      <c r="B871" t="s">
        <v>424</v>
      </c>
      <c r="C871" t="s">
        <v>429</v>
      </c>
      <c r="D871" t="s">
        <v>430</v>
      </c>
      <c r="E871" t="s">
        <v>428</v>
      </c>
      <c r="F871" t="s">
        <v>425</v>
      </c>
      <c r="G871" t="s">
        <v>426</v>
      </c>
      <c r="H871" t="s">
        <v>421</v>
      </c>
      <c r="I871" t="s">
        <v>455</v>
      </c>
      <c r="J871" t="s">
        <v>427</v>
      </c>
    </row>
    <row r="872" spans="1:10" ht="15" customHeight="1" x14ac:dyDescent="0.25">
      <c r="A872" s="82">
        <v>43147</v>
      </c>
      <c r="B872" t="s">
        <v>425</v>
      </c>
      <c r="C872" t="s">
        <v>426</v>
      </c>
      <c r="D872" t="s">
        <v>428</v>
      </c>
      <c r="E872" t="s">
        <v>427</v>
      </c>
      <c r="F872" t="s">
        <v>425</v>
      </c>
      <c r="G872" t="s">
        <v>421</v>
      </c>
      <c r="H872" t="s">
        <v>430</v>
      </c>
      <c r="I872" t="s">
        <v>429</v>
      </c>
      <c r="J872" t="s">
        <v>455</v>
      </c>
    </row>
    <row r="873" spans="1:10" ht="15" customHeight="1" x14ac:dyDescent="0.25">
      <c r="A873" s="82">
        <v>43148</v>
      </c>
      <c r="B873" t="s">
        <v>425</v>
      </c>
      <c r="C873" t="s">
        <v>426</v>
      </c>
      <c r="D873" t="s">
        <v>428</v>
      </c>
      <c r="E873" t="s">
        <v>455</v>
      </c>
      <c r="F873" t="s">
        <v>421</v>
      </c>
      <c r="G873" t="s">
        <v>427</v>
      </c>
      <c r="H873" t="s">
        <v>430</v>
      </c>
      <c r="I873" t="s">
        <v>429</v>
      </c>
      <c r="J873" t="s">
        <v>424</v>
      </c>
    </row>
    <row r="874" spans="1:10" ht="15" customHeight="1" x14ac:dyDescent="0.25">
      <c r="A874" s="82">
        <v>43149</v>
      </c>
      <c r="B874" t="s">
        <v>425</v>
      </c>
      <c r="C874" t="s">
        <v>426</v>
      </c>
      <c r="D874" t="s">
        <v>428</v>
      </c>
      <c r="E874" t="s">
        <v>427</v>
      </c>
      <c r="F874" t="s">
        <v>421</v>
      </c>
      <c r="G874" t="s">
        <v>455</v>
      </c>
      <c r="H874" t="s">
        <v>430</v>
      </c>
      <c r="I874" t="s">
        <v>429</v>
      </c>
      <c r="J874" t="s">
        <v>424</v>
      </c>
    </row>
    <row r="875" spans="1:10" ht="15" customHeight="1" x14ac:dyDescent="0.25">
      <c r="A875" s="82">
        <v>43150</v>
      </c>
      <c r="B875" t="s">
        <v>425</v>
      </c>
      <c r="C875" t="s">
        <v>426</v>
      </c>
      <c r="D875" t="s">
        <v>428</v>
      </c>
      <c r="E875" t="s">
        <v>455</v>
      </c>
      <c r="F875" t="s">
        <v>427</v>
      </c>
      <c r="G875" t="s">
        <v>421</v>
      </c>
      <c r="H875" t="s">
        <v>430</v>
      </c>
      <c r="I875" t="s">
        <v>429</v>
      </c>
      <c r="J875" t="s">
        <v>424</v>
      </c>
    </row>
    <row r="876" spans="1:10" ht="15" customHeight="1" x14ac:dyDescent="0.25">
      <c r="A876" s="82">
        <v>43151</v>
      </c>
      <c r="B876" t="s">
        <v>425</v>
      </c>
      <c r="C876" t="s">
        <v>426</v>
      </c>
      <c r="D876" t="s">
        <v>428</v>
      </c>
      <c r="E876" t="s">
        <v>421</v>
      </c>
      <c r="F876" t="s">
        <v>455</v>
      </c>
      <c r="G876" t="s">
        <v>427</v>
      </c>
      <c r="H876" t="s">
        <v>430</v>
      </c>
      <c r="I876" t="s">
        <v>429</v>
      </c>
      <c r="J876" t="s">
        <v>424</v>
      </c>
    </row>
    <row r="877" spans="1:10" ht="15" customHeight="1" x14ac:dyDescent="0.25">
      <c r="A877" s="82">
        <v>43152</v>
      </c>
      <c r="B877" t="s">
        <v>425</v>
      </c>
      <c r="C877" t="s">
        <v>426</v>
      </c>
      <c r="D877" t="s">
        <v>428</v>
      </c>
      <c r="E877" t="s">
        <v>421</v>
      </c>
      <c r="F877" t="s">
        <v>427</v>
      </c>
      <c r="G877" t="s">
        <v>455</v>
      </c>
      <c r="H877" t="s">
        <v>430</v>
      </c>
      <c r="I877" t="s">
        <v>429</v>
      </c>
      <c r="J877" t="s">
        <v>424</v>
      </c>
    </row>
    <row r="878" spans="1:10" ht="15" customHeight="1" x14ac:dyDescent="0.25">
      <c r="A878" s="82">
        <v>43153</v>
      </c>
      <c r="B878" t="s">
        <v>425</v>
      </c>
      <c r="C878" t="s">
        <v>426</v>
      </c>
      <c r="D878" t="s">
        <v>428</v>
      </c>
      <c r="E878" t="s">
        <v>427</v>
      </c>
      <c r="F878" t="s">
        <v>455</v>
      </c>
      <c r="G878" t="s">
        <v>421</v>
      </c>
      <c r="H878" t="s">
        <v>430</v>
      </c>
      <c r="I878" t="s">
        <v>429</v>
      </c>
      <c r="J878" t="s">
        <v>424</v>
      </c>
    </row>
    <row r="879" spans="1:10" ht="15" customHeight="1" x14ac:dyDescent="0.25">
      <c r="A879" s="82">
        <v>43154</v>
      </c>
      <c r="B879" t="s">
        <v>425</v>
      </c>
      <c r="C879" t="s">
        <v>421</v>
      </c>
      <c r="D879" t="s">
        <v>427</v>
      </c>
      <c r="E879" t="s">
        <v>455</v>
      </c>
      <c r="F879" t="s">
        <v>429</v>
      </c>
      <c r="G879" t="s">
        <v>430</v>
      </c>
      <c r="H879" t="s">
        <v>428</v>
      </c>
      <c r="I879" t="s">
        <v>426</v>
      </c>
      <c r="J879" t="s">
        <v>425</v>
      </c>
    </row>
    <row r="880" spans="1:10" ht="15" customHeight="1" x14ac:dyDescent="0.25">
      <c r="A880" s="82">
        <v>43155</v>
      </c>
      <c r="B880" t="s">
        <v>421</v>
      </c>
      <c r="C880" t="s">
        <v>427</v>
      </c>
      <c r="D880" t="s">
        <v>455</v>
      </c>
      <c r="E880" t="s">
        <v>424</v>
      </c>
      <c r="F880" t="s">
        <v>429</v>
      </c>
      <c r="G880" t="s">
        <v>430</v>
      </c>
      <c r="H880" t="s">
        <v>428</v>
      </c>
      <c r="I880" t="s">
        <v>426</v>
      </c>
      <c r="J880" t="s">
        <v>425</v>
      </c>
    </row>
    <row r="881" spans="1:10" ht="15" customHeight="1" x14ac:dyDescent="0.25">
      <c r="A881" s="82">
        <v>43156</v>
      </c>
      <c r="B881" t="s">
        <v>421</v>
      </c>
      <c r="C881" t="s">
        <v>455</v>
      </c>
      <c r="D881" t="s">
        <v>427</v>
      </c>
      <c r="E881" t="s">
        <v>424</v>
      </c>
      <c r="F881" t="s">
        <v>429</v>
      </c>
      <c r="G881" t="s">
        <v>430</v>
      </c>
      <c r="H881" t="s">
        <v>428</v>
      </c>
      <c r="I881" t="s">
        <v>426</v>
      </c>
      <c r="J881" t="s">
        <v>425</v>
      </c>
    </row>
    <row r="882" spans="1:10" ht="15" customHeight="1" x14ac:dyDescent="0.25">
      <c r="A882" s="82">
        <v>43157</v>
      </c>
      <c r="B882" t="s">
        <v>427</v>
      </c>
      <c r="C882" t="s">
        <v>421</v>
      </c>
      <c r="D882" t="s">
        <v>455</v>
      </c>
      <c r="E882" t="s">
        <v>424</v>
      </c>
      <c r="F882" t="s">
        <v>429</v>
      </c>
      <c r="G882" t="s">
        <v>430</v>
      </c>
      <c r="H882" t="s">
        <v>428</v>
      </c>
      <c r="I882" t="s">
        <v>426</v>
      </c>
      <c r="J882" t="s">
        <v>425</v>
      </c>
    </row>
    <row r="883" spans="1:10" ht="15" customHeight="1" x14ac:dyDescent="0.25">
      <c r="A883" s="82">
        <v>43158</v>
      </c>
      <c r="B883" t="s">
        <v>455</v>
      </c>
      <c r="C883" t="s">
        <v>427</v>
      </c>
      <c r="D883" t="s">
        <v>421</v>
      </c>
      <c r="E883" t="s">
        <v>424</v>
      </c>
      <c r="F883" t="s">
        <v>429</v>
      </c>
      <c r="G883" t="s">
        <v>430</v>
      </c>
      <c r="H883" t="s">
        <v>428</v>
      </c>
      <c r="I883" t="s">
        <v>426</v>
      </c>
      <c r="J883" t="s">
        <v>425</v>
      </c>
    </row>
    <row r="884" spans="1:10" ht="15" customHeight="1" x14ac:dyDescent="0.25">
      <c r="A884" s="82">
        <v>43159</v>
      </c>
      <c r="B884" t="s">
        <v>427</v>
      </c>
      <c r="C884" t="s">
        <v>455</v>
      </c>
      <c r="D884" t="s">
        <v>421</v>
      </c>
      <c r="E884" t="s">
        <v>424</v>
      </c>
      <c r="F884" t="s">
        <v>429</v>
      </c>
      <c r="G884" t="s">
        <v>430</v>
      </c>
      <c r="H884" t="s">
        <v>428</v>
      </c>
      <c r="I884" t="s">
        <v>426</v>
      </c>
      <c r="J884" t="s">
        <v>425</v>
      </c>
    </row>
    <row r="885" spans="1:10" ht="15" customHeight="1" x14ac:dyDescent="0.25">
      <c r="A885" s="82">
        <v>43160</v>
      </c>
      <c r="B885" t="s">
        <v>455</v>
      </c>
      <c r="C885" t="s">
        <v>421</v>
      </c>
      <c r="D885" t="s">
        <v>427</v>
      </c>
      <c r="E885" t="s">
        <v>424</v>
      </c>
      <c r="F885" t="s">
        <v>429</v>
      </c>
      <c r="G885" t="s">
        <v>430</v>
      </c>
      <c r="H885" t="s">
        <v>428</v>
      </c>
      <c r="I885" t="s">
        <v>426</v>
      </c>
      <c r="J885" t="s">
        <v>425</v>
      </c>
    </row>
    <row r="886" spans="1:10" ht="15" customHeight="1" x14ac:dyDescent="0.25">
      <c r="A886" s="82">
        <v>43161</v>
      </c>
      <c r="B886" t="s">
        <v>429</v>
      </c>
      <c r="C886" t="s">
        <v>430</v>
      </c>
      <c r="D886" t="s">
        <v>455</v>
      </c>
      <c r="E886" t="s">
        <v>425</v>
      </c>
      <c r="F886" t="s">
        <v>426</v>
      </c>
      <c r="G886" t="s">
        <v>428</v>
      </c>
      <c r="H886" t="s">
        <v>427</v>
      </c>
      <c r="I886" t="s">
        <v>421</v>
      </c>
      <c r="J886" t="s">
        <v>425</v>
      </c>
    </row>
    <row r="887" spans="1:10" ht="15" customHeight="1" x14ac:dyDescent="0.25">
      <c r="A887" s="82">
        <v>43162</v>
      </c>
      <c r="B887" t="s">
        <v>429</v>
      </c>
      <c r="C887" t="s">
        <v>430</v>
      </c>
      <c r="D887" t="s">
        <v>424</v>
      </c>
      <c r="E887" t="s">
        <v>425</v>
      </c>
      <c r="F887" t="s">
        <v>426</v>
      </c>
      <c r="G887" t="s">
        <v>428</v>
      </c>
      <c r="H887" t="s">
        <v>455</v>
      </c>
      <c r="I887" t="s">
        <v>427</v>
      </c>
      <c r="J887" t="s">
        <v>421</v>
      </c>
    </row>
    <row r="888" spans="1:10" ht="15" customHeight="1" x14ac:dyDescent="0.25">
      <c r="A888" s="82">
        <v>43163</v>
      </c>
      <c r="B888" t="s">
        <v>429</v>
      </c>
      <c r="C888" t="s">
        <v>430</v>
      </c>
      <c r="D888" t="s">
        <v>424</v>
      </c>
      <c r="E888" t="s">
        <v>425</v>
      </c>
      <c r="F888" t="s">
        <v>426</v>
      </c>
      <c r="G888" t="s">
        <v>428</v>
      </c>
      <c r="H888" t="s">
        <v>427</v>
      </c>
      <c r="I888" t="s">
        <v>455</v>
      </c>
      <c r="J888" t="s">
        <v>421</v>
      </c>
    </row>
    <row r="889" spans="1:10" ht="15" customHeight="1" x14ac:dyDescent="0.25">
      <c r="A889" s="82">
        <v>43164</v>
      </c>
      <c r="B889" t="s">
        <v>429</v>
      </c>
      <c r="C889" t="s">
        <v>430</v>
      </c>
      <c r="D889" t="s">
        <v>424</v>
      </c>
      <c r="E889" t="s">
        <v>425</v>
      </c>
      <c r="F889" t="s">
        <v>426</v>
      </c>
      <c r="G889" t="s">
        <v>428</v>
      </c>
      <c r="H889" t="s">
        <v>455</v>
      </c>
      <c r="I889" t="s">
        <v>421</v>
      </c>
      <c r="J889" t="s">
        <v>427</v>
      </c>
    </row>
    <row r="890" spans="1:10" ht="15" customHeight="1" x14ac:dyDescent="0.25">
      <c r="A890" s="82">
        <v>43165</v>
      </c>
      <c r="B890" t="s">
        <v>429</v>
      </c>
      <c r="C890" t="s">
        <v>430</v>
      </c>
      <c r="D890" t="s">
        <v>424</v>
      </c>
      <c r="E890" t="s">
        <v>425</v>
      </c>
      <c r="F890" t="s">
        <v>426</v>
      </c>
      <c r="G890" t="s">
        <v>428</v>
      </c>
      <c r="H890" t="s">
        <v>421</v>
      </c>
      <c r="I890" t="s">
        <v>427</v>
      </c>
      <c r="J890" t="s">
        <v>455</v>
      </c>
    </row>
    <row r="891" spans="1:10" ht="15" customHeight="1" x14ac:dyDescent="0.25">
      <c r="A891" s="82">
        <v>43166</v>
      </c>
      <c r="B891" t="s">
        <v>429</v>
      </c>
      <c r="C891" t="s">
        <v>430</v>
      </c>
      <c r="D891" t="s">
        <v>424</v>
      </c>
      <c r="E891" t="s">
        <v>425</v>
      </c>
      <c r="F891" t="s">
        <v>426</v>
      </c>
      <c r="G891" t="s">
        <v>428</v>
      </c>
      <c r="H891" t="s">
        <v>421</v>
      </c>
      <c r="I891" t="s">
        <v>455</v>
      </c>
      <c r="J891" t="s">
        <v>427</v>
      </c>
    </row>
    <row r="892" spans="1:10" ht="15" customHeight="1" x14ac:dyDescent="0.25">
      <c r="A892" s="82">
        <v>43167</v>
      </c>
      <c r="B892" t="s">
        <v>429</v>
      </c>
      <c r="C892" t="s">
        <v>430</v>
      </c>
      <c r="D892" t="s">
        <v>424</v>
      </c>
      <c r="E892" t="s">
        <v>425</v>
      </c>
      <c r="F892" t="s">
        <v>426</v>
      </c>
      <c r="G892" t="s">
        <v>428</v>
      </c>
      <c r="H892" t="s">
        <v>427</v>
      </c>
      <c r="I892" t="s">
        <v>421</v>
      </c>
      <c r="J892" t="s">
        <v>455</v>
      </c>
    </row>
    <row r="893" spans="1:10" ht="15" customHeight="1" x14ac:dyDescent="0.25">
      <c r="A893" s="82">
        <v>43168</v>
      </c>
      <c r="B893" t="s">
        <v>426</v>
      </c>
      <c r="C893" t="s">
        <v>428</v>
      </c>
      <c r="D893" t="s">
        <v>425</v>
      </c>
      <c r="E893" t="s">
        <v>425</v>
      </c>
      <c r="F893" t="s">
        <v>421</v>
      </c>
      <c r="G893" t="s">
        <v>427</v>
      </c>
      <c r="H893" t="s">
        <v>455</v>
      </c>
      <c r="I893" t="s">
        <v>430</v>
      </c>
      <c r="J893" t="s">
        <v>429</v>
      </c>
    </row>
    <row r="894" spans="1:10" ht="15" customHeight="1" x14ac:dyDescent="0.25">
      <c r="A894" s="82">
        <v>43169</v>
      </c>
      <c r="B894" t="s">
        <v>426</v>
      </c>
      <c r="C894" t="s">
        <v>428</v>
      </c>
      <c r="D894" t="s">
        <v>425</v>
      </c>
      <c r="E894" t="s">
        <v>421</v>
      </c>
      <c r="F894" t="s">
        <v>427</v>
      </c>
      <c r="G894" t="s">
        <v>455</v>
      </c>
      <c r="H894" t="s">
        <v>424</v>
      </c>
      <c r="I894" t="s">
        <v>430</v>
      </c>
      <c r="J894" t="s">
        <v>429</v>
      </c>
    </row>
    <row r="895" spans="1:10" ht="15" customHeight="1" x14ac:dyDescent="0.25">
      <c r="A895" s="82">
        <v>43170</v>
      </c>
      <c r="B895" t="s">
        <v>426</v>
      </c>
      <c r="C895" t="s">
        <v>428</v>
      </c>
      <c r="D895" t="s">
        <v>425</v>
      </c>
      <c r="E895" t="s">
        <v>421</v>
      </c>
      <c r="F895" t="s">
        <v>455</v>
      </c>
      <c r="G895" t="s">
        <v>427</v>
      </c>
      <c r="H895" t="s">
        <v>424</v>
      </c>
      <c r="I895" t="s">
        <v>430</v>
      </c>
      <c r="J895" t="s">
        <v>429</v>
      </c>
    </row>
    <row r="896" spans="1:10" ht="15" customHeight="1" x14ac:dyDescent="0.25">
      <c r="A896" s="82">
        <v>43171</v>
      </c>
      <c r="B896" t="s">
        <v>426</v>
      </c>
      <c r="C896" t="s">
        <v>428</v>
      </c>
      <c r="D896" t="s">
        <v>425</v>
      </c>
      <c r="E896" t="s">
        <v>427</v>
      </c>
      <c r="F896" t="s">
        <v>421</v>
      </c>
      <c r="G896" t="s">
        <v>455</v>
      </c>
      <c r="H896" t="s">
        <v>424</v>
      </c>
      <c r="I896" t="s">
        <v>430</v>
      </c>
      <c r="J896" t="s">
        <v>429</v>
      </c>
    </row>
    <row r="897" spans="1:10" ht="15" customHeight="1" x14ac:dyDescent="0.25">
      <c r="A897" s="82">
        <v>43172</v>
      </c>
      <c r="B897" t="s">
        <v>426</v>
      </c>
      <c r="C897" t="s">
        <v>428</v>
      </c>
      <c r="D897" t="s">
        <v>425</v>
      </c>
      <c r="E897" t="s">
        <v>455</v>
      </c>
      <c r="F897" t="s">
        <v>427</v>
      </c>
      <c r="G897" t="s">
        <v>421</v>
      </c>
      <c r="H897" t="s">
        <v>424</v>
      </c>
      <c r="I897" t="s">
        <v>430</v>
      </c>
      <c r="J897" t="s">
        <v>429</v>
      </c>
    </row>
    <row r="898" spans="1:10" ht="15" customHeight="1" x14ac:dyDescent="0.25">
      <c r="A898" s="82">
        <v>43173</v>
      </c>
      <c r="B898" t="s">
        <v>426</v>
      </c>
      <c r="C898" t="s">
        <v>428</v>
      </c>
      <c r="D898" t="s">
        <v>425</v>
      </c>
      <c r="E898" t="s">
        <v>427</v>
      </c>
      <c r="F898" t="s">
        <v>455</v>
      </c>
      <c r="G898" t="s">
        <v>421</v>
      </c>
      <c r="H898" t="s">
        <v>424</v>
      </c>
      <c r="I898" t="s">
        <v>430</v>
      </c>
      <c r="J898" t="s">
        <v>429</v>
      </c>
    </row>
    <row r="899" spans="1:10" ht="15" customHeight="1" x14ac:dyDescent="0.25">
      <c r="A899" s="82">
        <v>43174</v>
      </c>
      <c r="B899" t="s">
        <v>426</v>
      </c>
      <c r="C899" t="s">
        <v>428</v>
      </c>
      <c r="D899" t="s">
        <v>425</v>
      </c>
      <c r="E899" t="s">
        <v>455</v>
      </c>
      <c r="F899" t="s">
        <v>421</v>
      </c>
      <c r="G899" t="s">
        <v>427</v>
      </c>
      <c r="H899" t="s">
        <v>424</v>
      </c>
      <c r="I899" t="s">
        <v>430</v>
      </c>
      <c r="J899" t="s">
        <v>429</v>
      </c>
    </row>
    <row r="900" spans="1:10" ht="15" customHeight="1" x14ac:dyDescent="0.25">
      <c r="A900" s="82">
        <v>43175</v>
      </c>
      <c r="B900" t="s">
        <v>421</v>
      </c>
      <c r="C900" t="s">
        <v>427</v>
      </c>
      <c r="D900" t="s">
        <v>425</v>
      </c>
      <c r="E900" t="s">
        <v>429</v>
      </c>
      <c r="F900" t="s">
        <v>430</v>
      </c>
      <c r="G900" t="s">
        <v>455</v>
      </c>
      <c r="H900" t="s">
        <v>425</v>
      </c>
      <c r="I900" t="s">
        <v>428</v>
      </c>
      <c r="J900" t="s">
        <v>426</v>
      </c>
    </row>
    <row r="901" spans="1:10" ht="15" customHeight="1" x14ac:dyDescent="0.25">
      <c r="A901" s="82">
        <v>43176</v>
      </c>
      <c r="B901" t="s">
        <v>427</v>
      </c>
      <c r="C901" t="s">
        <v>455</v>
      </c>
      <c r="D901" t="s">
        <v>421</v>
      </c>
      <c r="E901" t="s">
        <v>429</v>
      </c>
      <c r="F901" t="s">
        <v>430</v>
      </c>
      <c r="G901" t="s">
        <v>424</v>
      </c>
      <c r="H901" t="s">
        <v>425</v>
      </c>
      <c r="I901" t="s">
        <v>428</v>
      </c>
      <c r="J901" t="s">
        <v>426</v>
      </c>
    </row>
    <row r="902" spans="1:10" ht="15" customHeight="1" x14ac:dyDescent="0.25">
      <c r="A902" s="82">
        <v>43177</v>
      </c>
      <c r="B902" t="s">
        <v>455</v>
      </c>
      <c r="C902" t="s">
        <v>427</v>
      </c>
      <c r="D902" t="s">
        <v>421</v>
      </c>
      <c r="E902" t="s">
        <v>429</v>
      </c>
      <c r="F902" t="s">
        <v>430</v>
      </c>
      <c r="G902" t="s">
        <v>424</v>
      </c>
      <c r="H902" t="s">
        <v>425</v>
      </c>
      <c r="I902" t="s">
        <v>428</v>
      </c>
      <c r="J902" t="s">
        <v>426</v>
      </c>
    </row>
    <row r="903" spans="1:10" ht="15" customHeight="1" x14ac:dyDescent="0.25">
      <c r="A903" s="82">
        <v>43178</v>
      </c>
      <c r="B903" t="s">
        <v>421</v>
      </c>
      <c r="C903" t="s">
        <v>455</v>
      </c>
      <c r="D903" t="s">
        <v>427</v>
      </c>
      <c r="E903" t="s">
        <v>429</v>
      </c>
      <c r="F903" t="s">
        <v>430</v>
      </c>
      <c r="G903" t="s">
        <v>424</v>
      </c>
      <c r="H903" t="s">
        <v>425</v>
      </c>
      <c r="I903" t="s">
        <v>428</v>
      </c>
      <c r="J903" t="s">
        <v>426</v>
      </c>
    </row>
    <row r="904" spans="1:10" ht="15" customHeight="1" x14ac:dyDescent="0.25">
      <c r="A904" s="82">
        <v>43179</v>
      </c>
      <c r="B904" t="s">
        <v>427</v>
      </c>
      <c r="C904" t="s">
        <v>421</v>
      </c>
      <c r="D904" t="s">
        <v>455</v>
      </c>
      <c r="E904" t="s">
        <v>429</v>
      </c>
      <c r="F904" t="s">
        <v>430</v>
      </c>
      <c r="G904" t="s">
        <v>424</v>
      </c>
      <c r="H904" t="s">
        <v>425</v>
      </c>
      <c r="I904" t="s">
        <v>428</v>
      </c>
      <c r="J904" t="s">
        <v>426</v>
      </c>
    </row>
    <row r="905" spans="1:10" ht="15" customHeight="1" x14ac:dyDescent="0.25">
      <c r="A905" s="82">
        <v>43180</v>
      </c>
      <c r="B905" t="s">
        <v>455</v>
      </c>
      <c r="C905" t="s">
        <v>421</v>
      </c>
      <c r="D905" t="s">
        <v>427</v>
      </c>
      <c r="E905" t="s">
        <v>429</v>
      </c>
      <c r="F905" t="s">
        <v>430</v>
      </c>
      <c r="G905" t="s">
        <v>424</v>
      </c>
      <c r="H905" t="s">
        <v>425</v>
      </c>
      <c r="I905" t="s">
        <v>428</v>
      </c>
      <c r="J905" t="s">
        <v>426</v>
      </c>
    </row>
    <row r="906" spans="1:10" ht="15" customHeight="1" x14ac:dyDescent="0.25">
      <c r="A906" s="82">
        <v>43181</v>
      </c>
      <c r="B906" t="s">
        <v>421</v>
      </c>
      <c r="C906" t="s">
        <v>427</v>
      </c>
      <c r="D906" t="s">
        <v>455</v>
      </c>
      <c r="E906" t="s">
        <v>429</v>
      </c>
      <c r="F906" t="s">
        <v>430</v>
      </c>
      <c r="G906" t="s">
        <v>424</v>
      </c>
      <c r="H906" t="s">
        <v>425</v>
      </c>
      <c r="I906" t="s">
        <v>428</v>
      </c>
      <c r="J906" t="s">
        <v>426</v>
      </c>
    </row>
    <row r="907" spans="1:10" ht="15" customHeight="1" x14ac:dyDescent="0.25">
      <c r="A907" s="82">
        <v>43182</v>
      </c>
      <c r="B907" t="s">
        <v>430</v>
      </c>
      <c r="C907" t="s">
        <v>455</v>
      </c>
      <c r="D907" t="s">
        <v>429</v>
      </c>
      <c r="E907" t="s">
        <v>426</v>
      </c>
      <c r="F907" t="s">
        <v>428</v>
      </c>
      <c r="G907" t="s">
        <v>425</v>
      </c>
      <c r="H907" t="s">
        <v>425</v>
      </c>
      <c r="I907" t="s">
        <v>427</v>
      </c>
      <c r="J907" t="s">
        <v>421</v>
      </c>
    </row>
    <row r="908" spans="1:10" ht="15" customHeight="1" x14ac:dyDescent="0.25">
      <c r="A908" s="82">
        <v>43183</v>
      </c>
      <c r="B908" t="s">
        <v>430</v>
      </c>
      <c r="C908" t="s">
        <v>424</v>
      </c>
      <c r="D908" t="s">
        <v>429</v>
      </c>
      <c r="E908" t="s">
        <v>426</v>
      </c>
      <c r="F908" t="s">
        <v>428</v>
      </c>
      <c r="G908" t="s">
        <v>425</v>
      </c>
      <c r="H908" t="s">
        <v>421</v>
      </c>
      <c r="I908" t="s">
        <v>455</v>
      </c>
      <c r="J908" t="s">
        <v>427</v>
      </c>
    </row>
    <row r="909" spans="1:10" ht="15" customHeight="1" x14ac:dyDescent="0.25">
      <c r="A909" s="82">
        <v>43184</v>
      </c>
      <c r="B909" t="s">
        <v>430</v>
      </c>
      <c r="C909" t="s">
        <v>424</v>
      </c>
      <c r="D909" t="s">
        <v>429</v>
      </c>
      <c r="E909" t="s">
        <v>426</v>
      </c>
      <c r="F909" t="s">
        <v>428</v>
      </c>
      <c r="G909" t="s">
        <v>425</v>
      </c>
      <c r="H909" t="s">
        <v>421</v>
      </c>
      <c r="I909" t="s">
        <v>427</v>
      </c>
      <c r="J909" t="s">
        <v>455</v>
      </c>
    </row>
    <row r="910" spans="1:10" ht="15" customHeight="1" x14ac:dyDescent="0.25">
      <c r="A910" s="82">
        <v>43185</v>
      </c>
      <c r="B910" t="s">
        <v>430</v>
      </c>
      <c r="C910" t="s">
        <v>424</v>
      </c>
      <c r="D910" t="s">
        <v>429</v>
      </c>
      <c r="E910" t="s">
        <v>426</v>
      </c>
      <c r="F910" t="s">
        <v>428</v>
      </c>
      <c r="G910" t="s">
        <v>425</v>
      </c>
      <c r="H910" t="s">
        <v>427</v>
      </c>
      <c r="I910" t="s">
        <v>455</v>
      </c>
      <c r="J910" t="s">
        <v>421</v>
      </c>
    </row>
    <row r="911" spans="1:10" ht="15" customHeight="1" x14ac:dyDescent="0.25">
      <c r="A911" s="82">
        <v>43186</v>
      </c>
      <c r="B911" t="s">
        <v>430</v>
      </c>
      <c r="C911" t="s">
        <v>424</v>
      </c>
      <c r="D911" t="s">
        <v>429</v>
      </c>
      <c r="E911" t="s">
        <v>426</v>
      </c>
      <c r="F911" t="s">
        <v>428</v>
      </c>
      <c r="G911" t="s">
        <v>425</v>
      </c>
      <c r="H911" t="s">
        <v>455</v>
      </c>
      <c r="I911" t="s">
        <v>421</v>
      </c>
      <c r="J911" t="s">
        <v>427</v>
      </c>
    </row>
    <row r="912" spans="1:10" ht="15" customHeight="1" x14ac:dyDescent="0.25">
      <c r="A912" s="82">
        <v>43187</v>
      </c>
      <c r="B912" t="s">
        <v>430</v>
      </c>
      <c r="C912" t="s">
        <v>424</v>
      </c>
      <c r="D912" t="s">
        <v>429</v>
      </c>
      <c r="E912" t="s">
        <v>426</v>
      </c>
      <c r="F912" t="s">
        <v>428</v>
      </c>
      <c r="G912" t="s">
        <v>425</v>
      </c>
      <c r="H912" t="s">
        <v>427</v>
      </c>
      <c r="I912" t="s">
        <v>421</v>
      </c>
      <c r="J912" t="s">
        <v>455</v>
      </c>
    </row>
    <row r="913" spans="1:10" ht="15" customHeight="1" x14ac:dyDescent="0.25">
      <c r="A913" s="82">
        <v>43188</v>
      </c>
      <c r="B913" t="s">
        <v>430</v>
      </c>
      <c r="C913" t="s">
        <v>424</v>
      </c>
      <c r="D913" t="s">
        <v>429</v>
      </c>
      <c r="E913" t="s">
        <v>426</v>
      </c>
      <c r="F913" t="s">
        <v>428</v>
      </c>
      <c r="G913" t="s">
        <v>425</v>
      </c>
      <c r="H913" t="s">
        <v>455</v>
      </c>
      <c r="I913" t="s">
        <v>427</v>
      </c>
      <c r="J913" t="s">
        <v>421</v>
      </c>
    </row>
    <row r="914" spans="1:10" ht="15" customHeight="1" x14ac:dyDescent="0.25">
      <c r="A914" s="82">
        <v>43189</v>
      </c>
      <c r="B914" t="s">
        <v>428</v>
      </c>
      <c r="C914" t="s">
        <v>425</v>
      </c>
      <c r="D914" t="s">
        <v>426</v>
      </c>
      <c r="E914" t="s">
        <v>421</v>
      </c>
      <c r="F914" t="s">
        <v>427</v>
      </c>
      <c r="G914" t="s">
        <v>425</v>
      </c>
      <c r="H914" t="s">
        <v>429</v>
      </c>
      <c r="I914" t="s">
        <v>455</v>
      </c>
      <c r="J914" t="s">
        <v>430</v>
      </c>
    </row>
    <row r="915" spans="1:10" ht="15" customHeight="1" x14ac:dyDescent="0.25">
      <c r="A915" s="82">
        <v>43190</v>
      </c>
      <c r="B915" t="s">
        <v>428</v>
      </c>
      <c r="C915" t="s">
        <v>425</v>
      </c>
      <c r="D915" t="s">
        <v>426</v>
      </c>
      <c r="E915" t="s">
        <v>427</v>
      </c>
      <c r="F915" t="s">
        <v>455</v>
      </c>
      <c r="G915" t="s">
        <v>421</v>
      </c>
      <c r="H915" t="s">
        <v>429</v>
      </c>
      <c r="I915" t="s">
        <v>424</v>
      </c>
      <c r="J915" t="s">
        <v>430</v>
      </c>
    </row>
    <row r="916" spans="1:10" ht="15" customHeight="1" x14ac:dyDescent="0.25">
      <c r="A916" s="82">
        <v>43191</v>
      </c>
      <c r="B916" t="s">
        <v>428</v>
      </c>
      <c r="C916" t="s">
        <v>425</v>
      </c>
      <c r="D916" t="s">
        <v>426</v>
      </c>
      <c r="E916" t="s">
        <v>455</v>
      </c>
      <c r="F916" t="s">
        <v>427</v>
      </c>
      <c r="G916" t="s">
        <v>421</v>
      </c>
      <c r="H916" t="s">
        <v>429</v>
      </c>
      <c r="I916" t="s">
        <v>424</v>
      </c>
      <c r="J916" t="s">
        <v>430</v>
      </c>
    </row>
    <row r="917" spans="1:10" ht="15" customHeight="1" x14ac:dyDescent="0.25">
      <c r="A917" s="82">
        <v>43192</v>
      </c>
      <c r="B917" t="s">
        <v>428</v>
      </c>
      <c r="C917" t="s">
        <v>425</v>
      </c>
      <c r="D917" t="s">
        <v>426</v>
      </c>
      <c r="E917" t="s">
        <v>421</v>
      </c>
      <c r="F917" t="s">
        <v>455</v>
      </c>
      <c r="G917" t="s">
        <v>427</v>
      </c>
      <c r="H917" t="s">
        <v>429</v>
      </c>
      <c r="I917" t="s">
        <v>424</v>
      </c>
      <c r="J917" t="s">
        <v>430</v>
      </c>
    </row>
    <row r="918" spans="1:10" ht="15" customHeight="1" x14ac:dyDescent="0.25">
      <c r="A918" s="82">
        <v>43193</v>
      </c>
      <c r="B918" t="s">
        <v>428</v>
      </c>
      <c r="C918" t="s">
        <v>425</v>
      </c>
      <c r="D918" t="s">
        <v>426</v>
      </c>
      <c r="E918" t="s">
        <v>427</v>
      </c>
      <c r="F918" t="s">
        <v>421</v>
      </c>
      <c r="G918" t="s">
        <v>455</v>
      </c>
      <c r="H918" t="s">
        <v>429</v>
      </c>
      <c r="I918" t="s">
        <v>424</v>
      </c>
      <c r="J918" t="s">
        <v>430</v>
      </c>
    </row>
    <row r="919" spans="1:10" ht="15" customHeight="1" x14ac:dyDescent="0.25">
      <c r="A919" s="82">
        <v>43194</v>
      </c>
      <c r="B919" t="s">
        <v>428</v>
      </c>
      <c r="C919" t="s">
        <v>425</v>
      </c>
      <c r="D919" t="s">
        <v>426</v>
      </c>
      <c r="E919" t="s">
        <v>455</v>
      </c>
      <c r="F919" t="s">
        <v>421</v>
      </c>
      <c r="G919" t="s">
        <v>427</v>
      </c>
      <c r="H919" t="s">
        <v>429</v>
      </c>
      <c r="I919" t="s">
        <v>424</v>
      </c>
      <c r="J919" t="s">
        <v>430</v>
      </c>
    </row>
    <row r="920" spans="1:10" ht="15" customHeight="1" x14ac:dyDescent="0.25">
      <c r="A920" s="82">
        <v>43195</v>
      </c>
      <c r="B920" t="s">
        <v>428</v>
      </c>
      <c r="C920" t="s">
        <v>425</v>
      </c>
      <c r="D920" t="s">
        <v>426</v>
      </c>
      <c r="E920" t="s">
        <v>421</v>
      </c>
      <c r="F920" t="s">
        <v>427</v>
      </c>
      <c r="G920" t="s">
        <v>455</v>
      </c>
      <c r="H920" t="s">
        <v>429</v>
      </c>
      <c r="I920" t="s">
        <v>424</v>
      </c>
      <c r="J920" t="s">
        <v>430</v>
      </c>
    </row>
    <row r="921" spans="1:10" ht="15" customHeight="1" x14ac:dyDescent="0.25">
      <c r="A921" s="82">
        <v>43196</v>
      </c>
      <c r="B921" t="s">
        <v>427</v>
      </c>
      <c r="C921" t="s">
        <v>425</v>
      </c>
      <c r="D921" t="s">
        <v>421</v>
      </c>
      <c r="E921" t="s">
        <v>430</v>
      </c>
      <c r="F921" t="s">
        <v>455</v>
      </c>
      <c r="G921" t="s">
        <v>429</v>
      </c>
      <c r="H921" t="s">
        <v>426</v>
      </c>
      <c r="I921" t="s">
        <v>425</v>
      </c>
      <c r="J921" t="s">
        <v>428</v>
      </c>
    </row>
    <row r="922" spans="1:10" ht="15" customHeight="1" x14ac:dyDescent="0.25">
      <c r="A922" s="82">
        <v>43197</v>
      </c>
      <c r="B922" t="s">
        <v>455</v>
      </c>
      <c r="C922" t="s">
        <v>421</v>
      </c>
      <c r="D922" t="s">
        <v>427</v>
      </c>
      <c r="E922" t="s">
        <v>430</v>
      </c>
      <c r="F922" t="s">
        <v>424</v>
      </c>
      <c r="G922" t="s">
        <v>429</v>
      </c>
      <c r="H922" t="s">
        <v>426</v>
      </c>
      <c r="I922" t="s">
        <v>425</v>
      </c>
      <c r="J922" t="s">
        <v>428</v>
      </c>
    </row>
    <row r="923" spans="1:10" ht="15" customHeight="1" x14ac:dyDescent="0.25">
      <c r="A923" s="82">
        <v>43198</v>
      </c>
      <c r="B923" t="s">
        <v>427</v>
      </c>
      <c r="C923" t="s">
        <v>421</v>
      </c>
      <c r="D923" t="s">
        <v>455</v>
      </c>
      <c r="E923" t="s">
        <v>430</v>
      </c>
      <c r="F923" t="s">
        <v>424</v>
      </c>
      <c r="G923" t="s">
        <v>429</v>
      </c>
      <c r="H923" t="s">
        <v>426</v>
      </c>
      <c r="I923" t="s">
        <v>425</v>
      </c>
      <c r="J923" t="s">
        <v>428</v>
      </c>
    </row>
    <row r="924" spans="1:10" ht="15" customHeight="1" x14ac:dyDescent="0.25">
      <c r="A924" s="82">
        <v>43199</v>
      </c>
      <c r="B924" t="s">
        <v>455</v>
      </c>
      <c r="C924" t="s">
        <v>427</v>
      </c>
      <c r="D924" t="s">
        <v>421</v>
      </c>
      <c r="E924" t="s">
        <v>430</v>
      </c>
      <c r="F924" t="s">
        <v>424</v>
      </c>
      <c r="G924" t="s">
        <v>429</v>
      </c>
      <c r="H924" t="s">
        <v>426</v>
      </c>
      <c r="I924" t="s">
        <v>425</v>
      </c>
      <c r="J924" t="s">
        <v>428</v>
      </c>
    </row>
    <row r="925" spans="1:10" ht="15" customHeight="1" x14ac:dyDescent="0.25">
      <c r="A925" s="82">
        <v>43200</v>
      </c>
      <c r="B925" t="s">
        <v>421</v>
      </c>
      <c r="C925" t="s">
        <v>455</v>
      </c>
      <c r="D925" t="s">
        <v>427</v>
      </c>
      <c r="E925" t="s">
        <v>430</v>
      </c>
      <c r="F925" t="s">
        <v>424</v>
      </c>
      <c r="G925" t="s">
        <v>429</v>
      </c>
      <c r="H925" t="s">
        <v>426</v>
      </c>
      <c r="I925" t="s">
        <v>425</v>
      </c>
      <c r="J925" t="s">
        <v>428</v>
      </c>
    </row>
    <row r="926" spans="1:10" ht="15" customHeight="1" x14ac:dyDescent="0.25">
      <c r="A926" s="82">
        <v>43201</v>
      </c>
      <c r="B926" t="s">
        <v>421</v>
      </c>
      <c r="C926" t="s">
        <v>427</v>
      </c>
      <c r="D926" t="s">
        <v>455</v>
      </c>
      <c r="E926" t="s">
        <v>430</v>
      </c>
      <c r="F926" t="s">
        <v>424</v>
      </c>
      <c r="G926" t="s">
        <v>429</v>
      </c>
      <c r="H926" t="s">
        <v>426</v>
      </c>
      <c r="I926" t="s">
        <v>425</v>
      </c>
      <c r="J926" t="s">
        <v>428</v>
      </c>
    </row>
    <row r="927" spans="1:10" ht="15" customHeight="1" x14ac:dyDescent="0.25">
      <c r="A927" s="82">
        <v>43202</v>
      </c>
      <c r="B927" t="s">
        <v>427</v>
      </c>
      <c r="C927" t="s">
        <v>455</v>
      </c>
      <c r="D927" t="s">
        <v>421</v>
      </c>
      <c r="E927" t="s">
        <v>430</v>
      </c>
      <c r="F927" t="s">
        <v>424</v>
      </c>
      <c r="G927" t="s">
        <v>429</v>
      </c>
      <c r="H927" t="s">
        <v>426</v>
      </c>
      <c r="I927" t="s">
        <v>425</v>
      </c>
      <c r="J927" t="s">
        <v>428</v>
      </c>
    </row>
    <row r="928" spans="1:10" ht="15" customHeight="1" x14ac:dyDescent="0.25">
      <c r="A928" s="82">
        <v>43203</v>
      </c>
      <c r="B928" t="s">
        <v>455</v>
      </c>
      <c r="C928" t="s">
        <v>429</v>
      </c>
      <c r="D928" t="s">
        <v>430</v>
      </c>
      <c r="E928" t="s">
        <v>428</v>
      </c>
      <c r="F928" t="s">
        <v>425</v>
      </c>
      <c r="G928" t="s">
        <v>426</v>
      </c>
      <c r="H928" t="s">
        <v>421</v>
      </c>
      <c r="I928" t="s">
        <v>425</v>
      </c>
      <c r="J928" t="s">
        <v>427</v>
      </c>
    </row>
    <row r="929" spans="1:10" ht="15" customHeight="1" x14ac:dyDescent="0.25">
      <c r="A929" s="82">
        <v>43204</v>
      </c>
      <c r="B929" t="s">
        <v>424</v>
      </c>
      <c r="C929" t="s">
        <v>429</v>
      </c>
      <c r="D929" t="s">
        <v>430</v>
      </c>
      <c r="E929" t="s">
        <v>428</v>
      </c>
      <c r="F929" t="s">
        <v>425</v>
      </c>
      <c r="G929" t="s">
        <v>426</v>
      </c>
      <c r="H929" t="s">
        <v>427</v>
      </c>
      <c r="I929" t="s">
        <v>421</v>
      </c>
      <c r="J929" t="s">
        <v>455</v>
      </c>
    </row>
    <row r="930" spans="1:10" ht="15" customHeight="1" x14ac:dyDescent="0.25">
      <c r="A930" s="82">
        <v>43205</v>
      </c>
      <c r="B930" t="s">
        <v>424</v>
      </c>
      <c r="C930" t="s">
        <v>429</v>
      </c>
      <c r="D930" t="s">
        <v>430</v>
      </c>
      <c r="E930" t="s">
        <v>428</v>
      </c>
      <c r="F930" t="s">
        <v>425</v>
      </c>
      <c r="G930" t="s">
        <v>426</v>
      </c>
      <c r="H930" t="s">
        <v>455</v>
      </c>
      <c r="I930" t="s">
        <v>421</v>
      </c>
      <c r="J930" t="s">
        <v>427</v>
      </c>
    </row>
    <row r="931" spans="1:10" ht="15" customHeight="1" x14ac:dyDescent="0.25">
      <c r="A931" s="82">
        <v>43206</v>
      </c>
      <c r="B931" t="s">
        <v>424</v>
      </c>
      <c r="C931" t="s">
        <v>429</v>
      </c>
      <c r="D931" t="s">
        <v>430</v>
      </c>
      <c r="E931" t="s">
        <v>428</v>
      </c>
      <c r="F931" t="s">
        <v>425</v>
      </c>
      <c r="G931" t="s">
        <v>426</v>
      </c>
      <c r="H931" t="s">
        <v>421</v>
      </c>
      <c r="I931" t="s">
        <v>427</v>
      </c>
      <c r="J931" t="s">
        <v>455</v>
      </c>
    </row>
    <row r="932" spans="1:10" ht="15" customHeight="1" x14ac:dyDescent="0.25">
      <c r="A932" s="82">
        <v>43207</v>
      </c>
      <c r="B932" t="s">
        <v>424</v>
      </c>
      <c r="C932" t="s">
        <v>429</v>
      </c>
      <c r="D932" t="s">
        <v>430</v>
      </c>
      <c r="E932" t="s">
        <v>428</v>
      </c>
      <c r="F932" t="s">
        <v>425</v>
      </c>
      <c r="G932" t="s">
        <v>426</v>
      </c>
      <c r="H932" t="s">
        <v>427</v>
      </c>
      <c r="I932" t="s">
        <v>455</v>
      </c>
      <c r="J932" t="s">
        <v>421</v>
      </c>
    </row>
    <row r="933" spans="1:10" ht="15" customHeight="1" x14ac:dyDescent="0.25">
      <c r="A933" s="82">
        <v>43208</v>
      </c>
      <c r="B933" t="s">
        <v>424</v>
      </c>
      <c r="C933" t="s">
        <v>429</v>
      </c>
      <c r="D933" t="s">
        <v>430</v>
      </c>
      <c r="E933" t="s">
        <v>428</v>
      </c>
      <c r="F933" t="s">
        <v>425</v>
      </c>
      <c r="G933" t="s">
        <v>426</v>
      </c>
      <c r="H933" t="s">
        <v>455</v>
      </c>
      <c r="I933" t="s">
        <v>427</v>
      </c>
      <c r="J933" t="s">
        <v>421</v>
      </c>
    </row>
    <row r="934" spans="1:10" ht="15" customHeight="1" x14ac:dyDescent="0.25">
      <c r="A934" s="82">
        <v>43209</v>
      </c>
      <c r="B934" t="s">
        <v>424</v>
      </c>
      <c r="C934" t="s">
        <v>429</v>
      </c>
      <c r="D934" t="s">
        <v>430</v>
      </c>
      <c r="E934" t="s">
        <v>428</v>
      </c>
      <c r="F934" t="s">
        <v>425</v>
      </c>
      <c r="G934" t="s">
        <v>426</v>
      </c>
      <c r="H934" t="s">
        <v>421</v>
      </c>
      <c r="I934" t="s">
        <v>455</v>
      </c>
      <c r="J934" t="s">
        <v>427</v>
      </c>
    </row>
    <row r="935" spans="1:10" ht="15" customHeight="1" x14ac:dyDescent="0.25">
      <c r="A935" s="82">
        <v>43210</v>
      </c>
      <c r="B935" t="s">
        <v>425</v>
      </c>
      <c r="C935" t="s">
        <v>426</v>
      </c>
      <c r="D935" t="s">
        <v>428</v>
      </c>
      <c r="E935" t="s">
        <v>427</v>
      </c>
      <c r="F935" t="s">
        <v>425</v>
      </c>
      <c r="G935" t="s">
        <v>421</v>
      </c>
      <c r="H935" t="s">
        <v>430</v>
      </c>
      <c r="I935" t="s">
        <v>429</v>
      </c>
      <c r="J935" t="s">
        <v>455</v>
      </c>
    </row>
    <row r="936" spans="1:10" ht="15" customHeight="1" x14ac:dyDescent="0.25">
      <c r="A936" s="82">
        <v>43211</v>
      </c>
      <c r="B936" t="s">
        <v>425</v>
      </c>
      <c r="C936" t="s">
        <v>426</v>
      </c>
      <c r="D936" t="s">
        <v>428</v>
      </c>
      <c r="E936" t="s">
        <v>455</v>
      </c>
      <c r="F936" t="s">
        <v>421</v>
      </c>
      <c r="G936" t="s">
        <v>427</v>
      </c>
      <c r="H936" t="s">
        <v>430</v>
      </c>
      <c r="I936" t="s">
        <v>429</v>
      </c>
      <c r="J936" t="s">
        <v>424</v>
      </c>
    </row>
    <row r="937" spans="1:10" ht="15" customHeight="1" x14ac:dyDescent="0.25">
      <c r="A937" s="82">
        <v>43212</v>
      </c>
      <c r="B937" t="s">
        <v>425</v>
      </c>
      <c r="C937" t="s">
        <v>426</v>
      </c>
      <c r="D937" t="s">
        <v>428</v>
      </c>
      <c r="E937" t="s">
        <v>427</v>
      </c>
      <c r="F937" t="s">
        <v>421</v>
      </c>
      <c r="G937" t="s">
        <v>455</v>
      </c>
      <c r="H937" t="s">
        <v>430</v>
      </c>
      <c r="I937" t="s">
        <v>429</v>
      </c>
      <c r="J937" t="s">
        <v>424</v>
      </c>
    </row>
    <row r="938" spans="1:10" ht="15" customHeight="1" x14ac:dyDescent="0.25">
      <c r="A938" s="82">
        <v>43213</v>
      </c>
      <c r="B938" t="s">
        <v>425</v>
      </c>
      <c r="C938" t="s">
        <v>426</v>
      </c>
      <c r="D938" t="s">
        <v>428</v>
      </c>
      <c r="E938" t="s">
        <v>455</v>
      </c>
      <c r="F938" t="s">
        <v>427</v>
      </c>
      <c r="G938" t="s">
        <v>421</v>
      </c>
      <c r="H938" t="s">
        <v>430</v>
      </c>
      <c r="I938" t="s">
        <v>429</v>
      </c>
      <c r="J938" t="s">
        <v>424</v>
      </c>
    </row>
    <row r="939" spans="1:10" ht="15" customHeight="1" x14ac:dyDescent="0.25">
      <c r="A939" s="82">
        <v>43214</v>
      </c>
      <c r="B939" t="s">
        <v>425</v>
      </c>
      <c r="C939" t="s">
        <v>426</v>
      </c>
      <c r="D939" t="s">
        <v>428</v>
      </c>
      <c r="E939" t="s">
        <v>421</v>
      </c>
      <c r="F939" t="s">
        <v>455</v>
      </c>
      <c r="G939" t="s">
        <v>427</v>
      </c>
      <c r="H939" t="s">
        <v>430</v>
      </c>
      <c r="I939" t="s">
        <v>429</v>
      </c>
      <c r="J939" t="s">
        <v>424</v>
      </c>
    </row>
    <row r="940" spans="1:10" ht="15" customHeight="1" x14ac:dyDescent="0.25">
      <c r="A940" s="82">
        <v>43215</v>
      </c>
      <c r="B940" t="s">
        <v>425</v>
      </c>
      <c r="C940" t="s">
        <v>426</v>
      </c>
      <c r="D940" t="s">
        <v>428</v>
      </c>
      <c r="E940" t="s">
        <v>421</v>
      </c>
      <c r="F940" t="s">
        <v>427</v>
      </c>
      <c r="G940" t="s">
        <v>455</v>
      </c>
      <c r="H940" t="s">
        <v>430</v>
      </c>
      <c r="I940" t="s">
        <v>429</v>
      </c>
      <c r="J940" t="s">
        <v>424</v>
      </c>
    </row>
    <row r="941" spans="1:10" ht="15" customHeight="1" x14ac:dyDescent="0.25">
      <c r="A941" s="82">
        <v>43216</v>
      </c>
      <c r="B941" t="s">
        <v>425</v>
      </c>
      <c r="C941" t="s">
        <v>426</v>
      </c>
      <c r="D941" t="s">
        <v>428</v>
      </c>
      <c r="E941" t="s">
        <v>427</v>
      </c>
      <c r="F941" t="s">
        <v>455</v>
      </c>
      <c r="G941" t="s">
        <v>421</v>
      </c>
      <c r="H941" t="s">
        <v>430</v>
      </c>
      <c r="I941" t="s">
        <v>429</v>
      </c>
      <c r="J941" t="s">
        <v>424</v>
      </c>
    </row>
    <row r="942" spans="1:10" ht="15" customHeight="1" x14ac:dyDescent="0.25">
      <c r="A942" s="82">
        <v>43217</v>
      </c>
      <c r="B942" t="s">
        <v>425</v>
      </c>
      <c r="C942" t="s">
        <v>421</v>
      </c>
      <c r="D942" t="s">
        <v>427</v>
      </c>
      <c r="E942" t="s">
        <v>455</v>
      </c>
      <c r="F942" t="s">
        <v>429</v>
      </c>
      <c r="G942" t="s">
        <v>430</v>
      </c>
      <c r="H942" t="s">
        <v>428</v>
      </c>
      <c r="I942" t="s">
        <v>426</v>
      </c>
      <c r="J942" t="s">
        <v>425</v>
      </c>
    </row>
    <row r="943" spans="1:10" ht="15" customHeight="1" x14ac:dyDescent="0.25">
      <c r="A943" s="82">
        <v>43218</v>
      </c>
      <c r="B943" t="s">
        <v>421</v>
      </c>
      <c r="C943" t="s">
        <v>427</v>
      </c>
      <c r="D943" t="s">
        <v>455</v>
      </c>
      <c r="E943" t="s">
        <v>424</v>
      </c>
      <c r="F943" t="s">
        <v>429</v>
      </c>
      <c r="G943" t="s">
        <v>430</v>
      </c>
      <c r="H943" t="s">
        <v>428</v>
      </c>
      <c r="I943" t="s">
        <v>426</v>
      </c>
      <c r="J943" t="s">
        <v>425</v>
      </c>
    </row>
    <row r="944" spans="1:10" ht="15" customHeight="1" x14ac:dyDescent="0.25">
      <c r="A944" s="82">
        <v>43219</v>
      </c>
      <c r="B944" t="s">
        <v>421</v>
      </c>
      <c r="C944" t="s">
        <v>455</v>
      </c>
      <c r="D944" t="s">
        <v>427</v>
      </c>
      <c r="E944" t="s">
        <v>424</v>
      </c>
      <c r="F944" t="s">
        <v>429</v>
      </c>
      <c r="G944" t="s">
        <v>430</v>
      </c>
      <c r="H944" t="s">
        <v>428</v>
      </c>
      <c r="I944" t="s">
        <v>426</v>
      </c>
      <c r="J944" t="s">
        <v>425</v>
      </c>
    </row>
    <row r="945" spans="1:10" ht="15" customHeight="1" x14ac:dyDescent="0.25">
      <c r="A945" s="82">
        <v>43220</v>
      </c>
      <c r="B945" t="s">
        <v>427</v>
      </c>
      <c r="C945" t="s">
        <v>421</v>
      </c>
      <c r="D945" t="s">
        <v>455</v>
      </c>
      <c r="E945" t="s">
        <v>424</v>
      </c>
      <c r="F945" t="s">
        <v>429</v>
      </c>
      <c r="G945" t="s">
        <v>430</v>
      </c>
      <c r="H945" t="s">
        <v>428</v>
      </c>
      <c r="I945" t="s">
        <v>426</v>
      </c>
      <c r="J945" t="s">
        <v>425</v>
      </c>
    </row>
    <row r="946" spans="1:10" ht="15" customHeight="1" x14ac:dyDescent="0.25">
      <c r="A946" s="82">
        <v>43221</v>
      </c>
      <c r="B946" t="s">
        <v>455</v>
      </c>
      <c r="C946" t="s">
        <v>427</v>
      </c>
      <c r="D946" t="s">
        <v>421</v>
      </c>
      <c r="E946" t="s">
        <v>424</v>
      </c>
      <c r="F946" t="s">
        <v>429</v>
      </c>
      <c r="G946" t="s">
        <v>430</v>
      </c>
      <c r="H946" t="s">
        <v>428</v>
      </c>
      <c r="I946" t="s">
        <v>426</v>
      </c>
      <c r="J946" t="s">
        <v>425</v>
      </c>
    </row>
    <row r="947" spans="1:10" ht="15" customHeight="1" x14ac:dyDescent="0.25">
      <c r="A947" s="82">
        <v>43222</v>
      </c>
      <c r="B947" t="s">
        <v>427</v>
      </c>
      <c r="C947" t="s">
        <v>455</v>
      </c>
      <c r="D947" t="s">
        <v>421</v>
      </c>
      <c r="E947" t="s">
        <v>424</v>
      </c>
      <c r="F947" t="s">
        <v>429</v>
      </c>
      <c r="G947" t="s">
        <v>430</v>
      </c>
      <c r="H947" t="s">
        <v>428</v>
      </c>
      <c r="I947" t="s">
        <v>426</v>
      </c>
      <c r="J947" t="s">
        <v>425</v>
      </c>
    </row>
    <row r="948" spans="1:10" ht="15" customHeight="1" x14ac:dyDescent="0.25">
      <c r="A948" s="82">
        <v>43223</v>
      </c>
      <c r="B948" t="s">
        <v>455</v>
      </c>
      <c r="C948" t="s">
        <v>421</v>
      </c>
      <c r="D948" t="s">
        <v>427</v>
      </c>
      <c r="E948" t="s">
        <v>424</v>
      </c>
      <c r="F948" t="s">
        <v>429</v>
      </c>
      <c r="G948" t="s">
        <v>430</v>
      </c>
      <c r="H948" t="s">
        <v>428</v>
      </c>
      <c r="I948" t="s">
        <v>426</v>
      </c>
      <c r="J948" t="s">
        <v>425</v>
      </c>
    </row>
    <row r="949" spans="1:10" ht="15" customHeight="1" x14ac:dyDescent="0.25">
      <c r="A949" s="82">
        <v>43224</v>
      </c>
      <c r="B949" t="s">
        <v>429</v>
      </c>
      <c r="C949" t="s">
        <v>430</v>
      </c>
      <c r="D949" t="s">
        <v>455</v>
      </c>
      <c r="E949" t="s">
        <v>425</v>
      </c>
      <c r="F949" t="s">
        <v>426</v>
      </c>
      <c r="G949" t="s">
        <v>428</v>
      </c>
      <c r="H949" t="s">
        <v>427</v>
      </c>
      <c r="I949" t="s">
        <v>421</v>
      </c>
      <c r="J949" t="s">
        <v>425</v>
      </c>
    </row>
    <row r="950" spans="1:10" ht="15" customHeight="1" x14ac:dyDescent="0.25">
      <c r="A950" s="82">
        <v>43225</v>
      </c>
      <c r="B950" t="s">
        <v>429</v>
      </c>
      <c r="C950" t="s">
        <v>430</v>
      </c>
      <c r="D950" t="s">
        <v>424</v>
      </c>
      <c r="E950" t="s">
        <v>425</v>
      </c>
      <c r="F950" t="s">
        <v>426</v>
      </c>
      <c r="G950" t="s">
        <v>428</v>
      </c>
      <c r="H950" t="s">
        <v>455</v>
      </c>
      <c r="I950" t="s">
        <v>427</v>
      </c>
      <c r="J950" t="s">
        <v>421</v>
      </c>
    </row>
    <row r="951" spans="1:10" ht="15" customHeight="1" x14ac:dyDescent="0.25">
      <c r="A951" s="82">
        <v>43226</v>
      </c>
      <c r="B951" t="s">
        <v>429</v>
      </c>
      <c r="C951" t="s">
        <v>430</v>
      </c>
      <c r="D951" t="s">
        <v>424</v>
      </c>
      <c r="E951" t="s">
        <v>425</v>
      </c>
      <c r="F951" t="s">
        <v>426</v>
      </c>
      <c r="G951" t="s">
        <v>428</v>
      </c>
      <c r="H951" t="s">
        <v>427</v>
      </c>
      <c r="I951" t="s">
        <v>455</v>
      </c>
      <c r="J951" t="s">
        <v>421</v>
      </c>
    </row>
    <row r="952" spans="1:10" ht="15" customHeight="1" x14ac:dyDescent="0.25">
      <c r="A952" s="82">
        <v>43227</v>
      </c>
      <c r="B952" t="s">
        <v>429</v>
      </c>
      <c r="C952" t="s">
        <v>430</v>
      </c>
      <c r="D952" t="s">
        <v>424</v>
      </c>
      <c r="E952" t="s">
        <v>425</v>
      </c>
      <c r="F952" t="s">
        <v>426</v>
      </c>
      <c r="G952" t="s">
        <v>428</v>
      </c>
      <c r="H952" t="s">
        <v>455</v>
      </c>
      <c r="I952" t="s">
        <v>421</v>
      </c>
      <c r="J952" t="s">
        <v>427</v>
      </c>
    </row>
    <row r="953" spans="1:10" ht="15" customHeight="1" x14ac:dyDescent="0.25">
      <c r="A953" s="82">
        <v>43228</v>
      </c>
      <c r="B953" t="s">
        <v>429</v>
      </c>
      <c r="C953" t="s">
        <v>430</v>
      </c>
      <c r="D953" t="s">
        <v>424</v>
      </c>
      <c r="E953" t="s">
        <v>425</v>
      </c>
      <c r="F953" t="s">
        <v>426</v>
      </c>
      <c r="G953" t="s">
        <v>428</v>
      </c>
      <c r="H953" t="s">
        <v>421</v>
      </c>
      <c r="I953" t="s">
        <v>427</v>
      </c>
      <c r="J953" t="s">
        <v>455</v>
      </c>
    </row>
    <row r="954" spans="1:10" ht="15" customHeight="1" x14ac:dyDescent="0.25">
      <c r="A954" s="82">
        <v>43229</v>
      </c>
      <c r="B954" t="s">
        <v>429</v>
      </c>
      <c r="C954" t="s">
        <v>430</v>
      </c>
      <c r="D954" t="s">
        <v>424</v>
      </c>
      <c r="E954" t="s">
        <v>425</v>
      </c>
      <c r="F954" t="s">
        <v>426</v>
      </c>
      <c r="G954" t="s">
        <v>428</v>
      </c>
      <c r="H954" t="s">
        <v>421</v>
      </c>
      <c r="I954" t="s">
        <v>455</v>
      </c>
      <c r="J954" t="s">
        <v>427</v>
      </c>
    </row>
    <row r="955" spans="1:10" ht="15" customHeight="1" x14ac:dyDescent="0.25">
      <c r="A955" s="82">
        <v>43230</v>
      </c>
      <c r="B955" t="s">
        <v>429</v>
      </c>
      <c r="C955" t="s">
        <v>430</v>
      </c>
      <c r="D955" t="s">
        <v>424</v>
      </c>
      <c r="E955" t="s">
        <v>425</v>
      </c>
      <c r="F955" t="s">
        <v>426</v>
      </c>
      <c r="G955" t="s">
        <v>428</v>
      </c>
      <c r="H955" t="s">
        <v>427</v>
      </c>
      <c r="I955" t="s">
        <v>421</v>
      </c>
      <c r="J955" t="s">
        <v>455</v>
      </c>
    </row>
    <row r="956" spans="1:10" ht="15" customHeight="1" x14ac:dyDescent="0.25">
      <c r="A956" s="82">
        <v>43231</v>
      </c>
      <c r="B956" t="s">
        <v>426</v>
      </c>
      <c r="C956" t="s">
        <v>428</v>
      </c>
      <c r="D956" t="s">
        <v>425</v>
      </c>
      <c r="E956" t="s">
        <v>425</v>
      </c>
      <c r="F956" t="s">
        <v>421</v>
      </c>
      <c r="G956" t="s">
        <v>427</v>
      </c>
      <c r="H956" t="s">
        <v>455</v>
      </c>
      <c r="I956" t="s">
        <v>430</v>
      </c>
      <c r="J956" t="s">
        <v>429</v>
      </c>
    </row>
    <row r="957" spans="1:10" ht="15" customHeight="1" x14ac:dyDescent="0.25">
      <c r="A957" s="82">
        <v>43232</v>
      </c>
      <c r="B957" t="s">
        <v>426</v>
      </c>
      <c r="C957" t="s">
        <v>428</v>
      </c>
      <c r="D957" t="s">
        <v>425</v>
      </c>
      <c r="E957" t="s">
        <v>421</v>
      </c>
      <c r="F957" t="s">
        <v>427</v>
      </c>
      <c r="G957" t="s">
        <v>455</v>
      </c>
      <c r="H957" t="s">
        <v>424</v>
      </c>
      <c r="I957" t="s">
        <v>430</v>
      </c>
      <c r="J957" t="s">
        <v>429</v>
      </c>
    </row>
    <row r="958" spans="1:10" ht="15" customHeight="1" x14ac:dyDescent="0.25">
      <c r="A958" s="82">
        <v>43233</v>
      </c>
      <c r="B958" t="s">
        <v>426</v>
      </c>
      <c r="C958" t="s">
        <v>428</v>
      </c>
      <c r="D958" t="s">
        <v>425</v>
      </c>
      <c r="E958" t="s">
        <v>421</v>
      </c>
      <c r="F958" t="s">
        <v>455</v>
      </c>
      <c r="G958" t="s">
        <v>427</v>
      </c>
      <c r="H958" t="s">
        <v>424</v>
      </c>
      <c r="I958" t="s">
        <v>430</v>
      </c>
      <c r="J958" t="s">
        <v>429</v>
      </c>
    </row>
    <row r="959" spans="1:10" ht="15" customHeight="1" x14ac:dyDescent="0.25">
      <c r="A959" s="82">
        <v>43234</v>
      </c>
      <c r="B959" t="s">
        <v>426</v>
      </c>
      <c r="C959" t="s">
        <v>428</v>
      </c>
      <c r="D959" t="s">
        <v>425</v>
      </c>
      <c r="E959" t="s">
        <v>427</v>
      </c>
      <c r="F959" t="s">
        <v>421</v>
      </c>
      <c r="G959" t="s">
        <v>455</v>
      </c>
      <c r="H959" t="s">
        <v>424</v>
      </c>
      <c r="I959" t="s">
        <v>430</v>
      </c>
      <c r="J959" t="s">
        <v>429</v>
      </c>
    </row>
    <row r="960" spans="1:10" ht="15" customHeight="1" x14ac:dyDescent="0.25">
      <c r="A960" s="82">
        <v>43235</v>
      </c>
      <c r="B960" t="s">
        <v>426</v>
      </c>
      <c r="C960" t="s">
        <v>428</v>
      </c>
      <c r="D960" t="s">
        <v>425</v>
      </c>
      <c r="E960" t="s">
        <v>455</v>
      </c>
      <c r="F960" t="s">
        <v>427</v>
      </c>
      <c r="G960" t="s">
        <v>421</v>
      </c>
      <c r="H960" t="s">
        <v>424</v>
      </c>
      <c r="I960" t="s">
        <v>430</v>
      </c>
      <c r="J960" t="s">
        <v>429</v>
      </c>
    </row>
    <row r="961" spans="1:10" ht="15" customHeight="1" x14ac:dyDescent="0.25">
      <c r="A961" s="82">
        <v>43236</v>
      </c>
      <c r="B961" t="s">
        <v>426</v>
      </c>
      <c r="C961" t="s">
        <v>428</v>
      </c>
      <c r="D961" t="s">
        <v>425</v>
      </c>
      <c r="E961" t="s">
        <v>427</v>
      </c>
      <c r="F961" t="s">
        <v>455</v>
      </c>
      <c r="G961" t="s">
        <v>421</v>
      </c>
      <c r="H961" t="s">
        <v>424</v>
      </c>
      <c r="I961" t="s">
        <v>430</v>
      </c>
      <c r="J961" t="s">
        <v>429</v>
      </c>
    </row>
    <row r="962" spans="1:10" ht="15" customHeight="1" x14ac:dyDescent="0.25">
      <c r="A962" s="82">
        <v>43237</v>
      </c>
      <c r="B962" t="s">
        <v>426</v>
      </c>
      <c r="C962" t="s">
        <v>428</v>
      </c>
      <c r="D962" t="s">
        <v>425</v>
      </c>
      <c r="E962" t="s">
        <v>455</v>
      </c>
      <c r="F962" t="s">
        <v>421</v>
      </c>
      <c r="G962" t="s">
        <v>427</v>
      </c>
      <c r="H962" t="s">
        <v>424</v>
      </c>
      <c r="I962" t="s">
        <v>430</v>
      </c>
      <c r="J962" t="s">
        <v>429</v>
      </c>
    </row>
    <row r="963" spans="1:10" ht="15" customHeight="1" x14ac:dyDescent="0.25">
      <c r="A963" s="82">
        <v>43238</v>
      </c>
      <c r="B963" t="s">
        <v>421</v>
      </c>
      <c r="C963" t="s">
        <v>427</v>
      </c>
      <c r="D963" t="s">
        <v>425</v>
      </c>
      <c r="E963" t="s">
        <v>429</v>
      </c>
      <c r="F963" t="s">
        <v>430</v>
      </c>
      <c r="G963" t="s">
        <v>455</v>
      </c>
      <c r="H963" t="s">
        <v>425</v>
      </c>
      <c r="I963" t="s">
        <v>428</v>
      </c>
      <c r="J963" t="s">
        <v>426</v>
      </c>
    </row>
    <row r="964" spans="1:10" ht="15" customHeight="1" x14ac:dyDescent="0.25">
      <c r="A964" s="82">
        <v>43239</v>
      </c>
      <c r="B964" t="s">
        <v>427</v>
      </c>
      <c r="C964" t="s">
        <v>455</v>
      </c>
      <c r="D964" t="s">
        <v>421</v>
      </c>
      <c r="E964" t="s">
        <v>429</v>
      </c>
      <c r="F964" t="s">
        <v>430</v>
      </c>
      <c r="G964" t="s">
        <v>424</v>
      </c>
      <c r="H964" t="s">
        <v>425</v>
      </c>
      <c r="I964" t="s">
        <v>428</v>
      </c>
      <c r="J964" t="s">
        <v>426</v>
      </c>
    </row>
    <row r="965" spans="1:10" ht="15" customHeight="1" x14ac:dyDescent="0.25">
      <c r="A965" s="82">
        <v>43240</v>
      </c>
      <c r="B965" t="s">
        <v>455</v>
      </c>
      <c r="C965" t="s">
        <v>427</v>
      </c>
      <c r="D965" t="s">
        <v>421</v>
      </c>
      <c r="E965" t="s">
        <v>429</v>
      </c>
      <c r="F965" t="s">
        <v>430</v>
      </c>
      <c r="G965" t="s">
        <v>424</v>
      </c>
      <c r="H965" t="s">
        <v>425</v>
      </c>
      <c r="I965" t="s">
        <v>428</v>
      </c>
      <c r="J965" t="s">
        <v>426</v>
      </c>
    </row>
    <row r="966" spans="1:10" ht="15" customHeight="1" x14ac:dyDescent="0.25">
      <c r="A966" s="82">
        <v>43241</v>
      </c>
      <c r="B966" t="s">
        <v>421</v>
      </c>
      <c r="C966" t="s">
        <v>455</v>
      </c>
      <c r="D966" t="s">
        <v>427</v>
      </c>
      <c r="E966" t="s">
        <v>429</v>
      </c>
      <c r="F966" t="s">
        <v>430</v>
      </c>
      <c r="G966" t="s">
        <v>424</v>
      </c>
      <c r="H966" t="s">
        <v>425</v>
      </c>
      <c r="I966" t="s">
        <v>428</v>
      </c>
      <c r="J966" t="s">
        <v>426</v>
      </c>
    </row>
    <row r="967" spans="1:10" ht="15" customHeight="1" x14ac:dyDescent="0.25">
      <c r="A967" s="82">
        <v>43242</v>
      </c>
      <c r="B967" t="s">
        <v>427</v>
      </c>
      <c r="C967" t="s">
        <v>421</v>
      </c>
      <c r="D967" t="s">
        <v>455</v>
      </c>
      <c r="E967" t="s">
        <v>429</v>
      </c>
      <c r="F967" t="s">
        <v>430</v>
      </c>
      <c r="G967" t="s">
        <v>424</v>
      </c>
      <c r="H967" t="s">
        <v>425</v>
      </c>
      <c r="I967" t="s">
        <v>428</v>
      </c>
      <c r="J967" t="s">
        <v>426</v>
      </c>
    </row>
    <row r="968" spans="1:10" ht="15" customHeight="1" x14ac:dyDescent="0.25">
      <c r="A968" s="82">
        <v>43243</v>
      </c>
      <c r="B968" t="s">
        <v>455</v>
      </c>
      <c r="C968" t="s">
        <v>421</v>
      </c>
      <c r="D968" t="s">
        <v>427</v>
      </c>
      <c r="E968" t="s">
        <v>429</v>
      </c>
      <c r="F968" t="s">
        <v>430</v>
      </c>
      <c r="G968" t="s">
        <v>424</v>
      </c>
      <c r="H968" t="s">
        <v>425</v>
      </c>
      <c r="I968" t="s">
        <v>428</v>
      </c>
      <c r="J968" t="s">
        <v>426</v>
      </c>
    </row>
    <row r="969" spans="1:10" ht="15" customHeight="1" x14ac:dyDescent="0.25">
      <c r="A969" s="82">
        <v>43244</v>
      </c>
      <c r="B969" t="s">
        <v>421</v>
      </c>
      <c r="C969" t="s">
        <v>427</v>
      </c>
      <c r="D969" t="s">
        <v>455</v>
      </c>
      <c r="E969" t="s">
        <v>429</v>
      </c>
      <c r="F969" t="s">
        <v>430</v>
      </c>
      <c r="G969" t="s">
        <v>424</v>
      </c>
      <c r="H969" t="s">
        <v>425</v>
      </c>
      <c r="I969" t="s">
        <v>428</v>
      </c>
      <c r="J969" t="s">
        <v>426</v>
      </c>
    </row>
    <row r="970" spans="1:10" ht="15" customHeight="1" x14ac:dyDescent="0.25">
      <c r="A970" s="82">
        <v>43245</v>
      </c>
      <c r="B970" t="s">
        <v>430</v>
      </c>
      <c r="C970" t="s">
        <v>455</v>
      </c>
      <c r="D970" t="s">
        <v>429</v>
      </c>
      <c r="E970" t="s">
        <v>426</v>
      </c>
      <c r="F970" t="s">
        <v>428</v>
      </c>
      <c r="G970" t="s">
        <v>425</v>
      </c>
      <c r="H970" t="s">
        <v>425</v>
      </c>
      <c r="I970" t="s">
        <v>427</v>
      </c>
      <c r="J970" t="s">
        <v>421</v>
      </c>
    </row>
    <row r="971" spans="1:10" ht="15" customHeight="1" x14ac:dyDescent="0.25">
      <c r="A971" s="82">
        <v>43246</v>
      </c>
      <c r="B971" t="s">
        <v>430</v>
      </c>
      <c r="C971" t="s">
        <v>424</v>
      </c>
      <c r="D971" t="s">
        <v>429</v>
      </c>
      <c r="E971" t="s">
        <v>426</v>
      </c>
      <c r="F971" t="s">
        <v>428</v>
      </c>
      <c r="G971" t="s">
        <v>425</v>
      </c>
      <c r="H971" t="s">
        <v>421</v>
      </c>
      <c r="I971" t="s">
        <v>455</v>
      </c>
      <c r="J971" t="s">
        <v>427</v>
      </c>
    </row>
    <row r="972" spans="1:10" ht="15" customHeight="1" x14ac:dyDescent="0.25">
      <c r="A972" s="82">
        <v>43247</v>
      </c>
      <c r="B972" t="s">
        <v>430</v>
      </c>
      <c r="C972" t="s">
        <v>424</v>
      </c>
      <c r="D972" t="s">
        <v>429</v>
      </c>
      <c r="E972" t="s">
        <v>426</v>
      </c>
      <c r="F972" t="s">
        <v>428</v>
      </c>
      <c r="G972" t="s">
        <v>425</v>
      </c>
      <c r="H972" t="s">
        <v>421</v>
      </c>
      <c r="I972" t="s">
        <v>427</v>
      </c>
      <c r="J972" t="s">
        <v>455</v>
      </c>
    </row>
    <row r="973" spans="1:10" ht="15" customHeight="1" x14ac:dyDescent="0.25">
      <c r="A973" s="82">
        <v>43248</v>
      </c>
      <c r="B973" t="s">
        <v>430</v>
      </c>
      <c r="C973" t="s">
        <v>424</v>
      </c>
      <c r="D973" t="s">
        <v>429</v>
      </c>
      <c r="E973" t="s">
        <v>426</v>
      </c>
      <c r="F973" t="s">
        <v>428</v>
      </c>
      <c r="G973" t="s">
        <v>425</v>
      </c>
      <c r="H973" t="s">
        <v>427</v>
      </c>
      <c r="I973" t="s">
        <v>455</v>
      </c>
      <c r="J973" t="s">
        <v>421</v>
      </c>
    </row>
    <row r="974" spans="1:10" ht="15" customHeight="1" x14ac:dyDescent="0.25">
      <c r="A974" s="82">
        <v>43249</v>
      </c>
      <c r="B974" t="s">
        <v>430</v>
      </c>
      <c r="C974" t="s">
        <v>424</v>
      </c>
      <c r="D974" t="s">
        <v>429</v>
      </c>
      <c r="E974" t="s">
        <v>426</v>
      </c>
      <c r="F974" t="s">
        <v>428</v>
      </c>
      <c r="G974" t="s">
        <v>425</v>
      </c>
      <c r="H974" t="s">
        <v>455</v>
      </c>
      <c r="I974" t="s">
        <v>421</v>
      </c>
      <c r="J974" t="s">
        <v>427</v>
      </c>
    </row>
    <row r="975" spans="1:10" ht="15" customHeight="1" x14ac:dyDescent="0.25">
      <c r="A975" s="82">
        <v>43250</v>
      </c>
      <c r="B975" t="s">
        <v>430</v>
      </c>
      <c r="C975" t="s">
        <v>424</v>
      </c>
      <c r="D975" t="s">
        <v>429</v>
      </c>
      <c r="E975" t="s">
        <v>426</v>
      </c>
      <c r="F975" t="s">
        <v>428</v>
      </c>
      <c r="G975" t="s">
        <v>425</v>
      </c>
      <c r="H975" t="s">
        <v>427</v>
      </c>
      <c r="I975" t="s">
        <v>421</v>
      </c>
      <c r="J975" t="s">
        <v>455</v>
      </c>
    </row>
    <row r="976" spans="1:10" ht="15" customHeight="1" x14ac:dyDescent="0.25">
      <c r="A976" s="82">
        <v>43251</v>
      </c>
      <c r="B976" t="s">
        <v>430</v>
      </c>
      <c r="C976" t="s">
        <v>424</v>
      </c>
      <c r="D976" t="s">
        <v>429</v>
      </c>
      <c r="E976" t="s">
        <v>426</v>
      </c>
      <c r="F976" t="s">
        <v>428</v>
      </c>
      <c r="G976" t="s">
        <v>425</v>
      </c>
      <c r="H976" t="s">
        <v>455</v>
      </c>
      <c r="I976" t="s">
        <v>427</v>
      </c>
      <c r="J976" t="s">
        <v>421</v>
      </c>
    </row>
    <row r="977" spans="1:10" ht="15" customHeight="1" x14ac:dyDescent="0.25">
      <c r="A977" s="82">
        <v>43252</v>
      </c>
      <c r="B977" t="s">
        <v>428</v>
      </c>
      <c r="C977" t="s">
        <v>425</v>
      </c>
      <c r="D977" t="s">
        <v>426</v>
      </c>
      <c r="E977" t="s">
        <v>421</v>
      </c>
      <c r="F977" t="s">
        <v>427</v>
      </c>
      <c r="G977" t="s">
        <v>425</v>
      </c>
      <c r="H977" t="s">
        <v>429</v>
      </c>
      <c r="I977" t="s">
        <v>455</v>
      </c>
      <c r="J977" t="s">
        <v>430</v>
      </c>
    </row>
    <row r="978" spans="1:10" ht="15" customHeight="1" x14ac:dyDescent="0.25">
      <c r="A978" s="82">
        <v>43253</v>
      </c>
      <c r="B978" t="s">
        <v>428</v>
      </c>
      <c r="C978" t="s">
        <v>425</v>
      </c>
      <c r="D978" t="s">
        <v>426</v>
      </c>
      <c r="E978" t="s">
        <v>427</v>
      </c>
      <c r="F978" t="s">
        <v>455</v>
      </c>
      <c r="G978" t="s">
        <v>421</v>
      </c>
      <c r="H978" t="s">
        <v>429</v>
      </c>
      <c r="I978" t="s">
        <v>424</v>
      </c>
      <c r="J978" t="s">
        <v>430</v>
      </c>
    </row>
    <row r="979" spans="1:10" ht="15" customHeight="1" x14ac:dyDescent="0.25">
      <c r="A979" s="82">
        <v>43254</v>
      </c>
      <c r="B979" t="s">
        <v>428</v>
      </c>
      <c r="C979" t="s">
        <v>425</v>
      </c>
      <c r="D979" t="s">
        <v>426</v>
      </c>
      <c r="E979" t="s">
        <v>455</v>
      </c>
      <c r="F979" t="s">
        <v>427</v>
      </c>
      <c r="G979" t="s">
        <v>421</v>
      </c>
      <c r="H979" t="s">
        <v>429</v>
      </c>
      <c r="I979" t="s">
        <v>424</v>
      </c>
      <c r="J979" t="s">
        <v>430</v>
      </c>
    </row>
    <row r="980" spans="1:10" ht="15" customHeight="1" x14ac:dyDescent="0.25">
      <c r="A980" s="82">
        <v>43255</v>
      </c>
      <c r="B980" t="s">
        <v>428</v>
      </c>
      <c r="C980" t="s">
        <v>425</v>
      </c>
      <c r="D980" t="s">
        <v>426</v>
      </c>
      <c r="E980" t="s">
        <v>421</v>
      </c>
      <c r="F980" t="s">
        <v>455</v>
      </c>
      <c r="G980" t="s">
        <v>427</v>
      </c>
      <c r="H980" t="s">
        <v>429</v>
      </c>
      <c r="I980" t="s">
        <v>424</v>
      </c>
      <c r="J980" t="s">
        <v>430</v>
      </c>
    </row>
    <row r="981" spans="1:10" ht="15" customHeight="1" x14ac:dyDescent="0.25">
      <c r="A981" s="82">
        <v>43256</v>
      </c>
      <c r="B981" t="s">
        <v>428</v>
      </c>
      <c r="C981" t="s">
        <v>425</v>
      </c>
      <c r="D981" t="s">
        <v>426</v>
      </c>
      <c r="E981" t="s">
        <v>427</v>
      </c>
      <c r="F981" t="s">
        <v>421</v>
      </c>
      <c r="G981" t="s">
        <v>455</v>
      </c>
      <c r="H981" t="s">
        <v>429</v>
      </c>
      <c r="I981" t="s">
        <v>424</v>
      </c>
      <c r="J981" t="s">
        <v>430</v>
      </c>
    </row>
    <row r="982" spans="1:10" ht="15" customHeight="1" x14ac:dyDescent="0.25">
      <c r="A982" s="82">
        <v>43257</v>
      </c>
      <c r="B982" t="s">
        <v>428</v>
      </c>
      <c r="C982" t="s">
        <v>425</v>
      </c>
      <c r="D982" t="s">
        <v>426</v>
      </c>
      <c r="E982" t="s">
        <v>455</v>
      </c>
      <c r="F982" t="s">
        <v>421</v>
      </c>
      <c r="G982" t="s">
        <v>427</v>
      </c>
      <c r="H982" t="s">
        <v>429</v>
      </c>
      <c r="I982" t="s">
        <v>424</v>
      </c>
      <c r="J982" t="s">
        <v>430</v>
      </c>
    </row>
    <row r="983" spans="1:10" ht="15" customHeight="1" x14ac:dyDescent="0.25">
      <c r="A983" s="82">
        <v>43258</v>
      </c>
      <c r="B983" t="s">
        <v>428</v>
      </c>
      <c r="C983" t="s">
        <v>425</v>
      </c>
      <c r="D983" t="s">
        <v>426</v>
      </c>
      <c r="E983" t="s">
        <v>421</v>
      </c>
      <c r="F983" t="s">
        <v>427</v>
      </c>
      <c r="G983" t="s">
        <v>455</v>
      </c>
      <c r="H983" t="s">
        <v>429</v>
      </c>
      <c r="I983" t="s">
        <v>424</v>
      </c>
      <c r="J983" t="s">
        <v>430</v>
      </c>
    </row>
    <row r="984" spans="1:10" ht="15" customHeight="1" x14ac:dyDescent="0.25">
      <c r="A984" s="82">
        <v>43259</v>
      </c>
      <c r="B984" t="s">
        <v>427</v>
      </c>
      <c r="C984" t="s">
        <v>425</v>
      </c>
      <c r="D984" t="s">
        <v>421</v>
      </c>
      <c r="E984" t="s">
        <v>430</v>
      </c>
      <c r="F984" t="s">
        <v>455</v>
      </c>
      <c r="G984" t="s">
        <v>429</v>
      </c>
      <c r="H984" t="s">
        <v>426</v>
      </c>
      <c r="I984" t="s">
        <v>425</v>
      </c>
      <c r="J984" t="s">
        <v>428</v>
      </c>
    </row>
    <row r="985" spans="1:10" ht="15" customHeight="1" x14ac:dyDescent="0.25">
      <c r="A985" s="82">
        <v>43260</v>
      </c>
      <c r="B985" t="s">
        <v>455</v>
      </c>
      <c r="C985" t="s">
        <v>421</v>
      </c>
      <c r="D985" t="s">
        <v>427</v>
      </c>
      <c r="E985" t="s">
        <v>430</v>
      </c>
      <c r="F985" t="s">
        <v>424</v>
      </c>
      <c r="G985" t="s">
        <v>429</v>
      </c>
      <c r="H985" t="s">
        <v>426</v>
      </c>
      <c r="I985" t="s">
        <v>425</v>
      </c>
      <c r="J985" t="s">
        <v>428</v>
      </c>
    </row>
    <row r="986" spans="1:10" ht="15" customHeight="1" x14ac:dyDescent="0.25">
      <c r="A986" s="82">
        <v>43261</v>
      </c>
      <c r="B986" t="s">
        <v>427</v>
      </c>
      <c r="C986" t="s">
        <v>421</v>
      </c>
      <c r="D986" t="s">
        <v>455</v>
      </c>
      <c r="E986" t="s">
        <v>430</v>
      </c>
      <c r="F986" t="s">
        <v>424</v>
      </c>
      <c r="G986" t="s">
        <v>429</v>
      </c>
      <c r="H986" t="s">
        <v>426</v>
      </c>
      <c r="I986" t="s">
        <v>425</v>
      </c>
      <c r="J986" t="s">
        <v>428</v>
      </c>
    </row>
    <row r="987" spans="1:10" ht="15" customHeight="1" x14ac:dyDescent="0.25">
      <c r="A987" s="82">
        <v>43262</v>
      </c>
      <c r="B987" t="s">
        <v>455</v>
      </c>
      <c r="C987" t="s">
        <v>427</v>
      </c>
      <c r="D987" t="s">
        <v>421</v>
      </c>
      <c r="E987" t="s">
        <v>430</v>
      </c>
      <c r="F987" t="s">
        <v>424</v>
      </c>
      <c r="G987" t="s">
        <v>429</v>
      </c>
      <c r="H987" t="s">
        <v>426</v>
      </c>
      <c r="I987" t="s">
        <v>425</v>
      </c>
      <c r="J987" t="s">
        <v>428</v>
      </c>
    </row>
    <row r="988" spans="1:10" ht="15" customHeight="1" x14ac:dyDescent="0.25">
      <c r="A988" s="82">
        <v>43263</v>
      </c>
      <c r="B988" t="s">
        <v>421</v>
      </c>
      <c r="C988" t="s">
        <v>455</v>
      </c>
      <c r="D988" t="s">
        <v>427</v>
      </c>
      <c r="E988" t="s">
        <v>430</v>
      </c>
      <c r="F988" t="s">
        <v>424</v>
      </c>
      <c r="G988" t="s">
        <v>429</v>
      </c>
      <c r="H988" t="s">
        <v>426</v>
      </c>
      <c r="I988" t="s">
        <v>425</v>
      </c>
      <c r="J988" t="s">
        <v>428</v>
      </c>
    </row>
    <row r="989" spans="1:10" ht="15" customHeight="1" x14ac:dyDescent="0.25">
      <c r="A989" s="82">
        <v>43264</v>
      </c>
      <c r="B989" t="s">
        <v>421</v>
      </c>
      <c r="C989" t="s">
        <v>427</v>
      </c>
      <c r="D989" t="s">
        <v>455</v>
      </c>
      <c r="E989" t="s">
        <v>430</v>
      </c>
      <c r="F989" t="s">
        <v>424</v>
      </c>
      <c r="G989" t="s">
        <v>429</v>
      </c>
      <c r="H989" t="s">
        <v>426</v>
      </c>
      <c r="I989" t="s">
        <v>425</v>
      </c>
      <c r="J989" t="s">
        <v>428</v>
      </c>
    </row>
    <row r="990" spans="1:10" ht="15" customHeight="1" x14ac:dyDescent="0.25">
      <c r="A990" s="82">
        <v>43265</v>
      </c>
      <c r="B990" t="s">
        <v>427</v>
      </c>
      <c r="C990" t="s">
        <v>455</v>
      </c>
      <c r="D990" t="s">
        <v>421</v>
      </c>
      <c r="E990" t="s">
        <v>430</v>
      </c>
      <c r="F990" t="s">
        <v>424</v>
      </c>
      <c r="G990" t="s">
        <v>429</v>
      </c>
      <c r="H990" t="s">
        <v>426</v>
      </c>
      <c r="I990" t="s">
        <v>425</v>
      </c>
      <c r="J990" t="s">
        <v>428</v>
      </c>
    </row>
    <row r="991" spans="1:10" ht="15" customHeight="1" x14ac:dyDescent="0.25">
      <c r="A991" s="82">
        <v>43266</v>
      </c>
      <c r="B991" t="s">
        <v>455</v>
      </c>
      <c r="C991" t="s">
        <v>429</v>
      </c>
      <c r="D991" t="s">
        <v>430</v>
      </c>
      <c r="E991" t="s">
        <v>428</v>
      </c>
      <c r="F991" t="s">
        <v>425</v>
      </c>
      <c r="G991" t="s">
        <v>426</v>
      </c>
      <c r="H991" t="s">
        <v>421</v>
      </c>
      <c r="I991" t="s">
        <v>425</v>
      </c>
      <c r="J991" t="s">
        <v>427</v>
      </c>
    </row>
    <row r="992" spans="1:10" ht="15" customHeight="1" x14ac:dyDescent="0.25">
      <c r="A992" s="82">
        <v>43267</v>
      </c>
      <c r="B992" t="s">
        <v>424</v>
      </c>
      <c r="C992" t="s">
        <v>429</v>
      </c>
      <c r="D992" t="s">
        <v>430</v>
      </c>
      <c r="E992" t="s">
        <v>428</v>
      </c>
      <c r="F992" t="s">
        <v>425</v>
      </c>
      <c r="G992" t="s">
        <v>426</v>
      </c>
      <c r="H992" t="s">
        <v>427</v>
      </c>
      <c r="I992" t="s">
        <v>421</v>
      </c>
      <c r="J992" t="s">
        <v>455</v>
      </c>
    </row>
    <row r="993" spans="1:10" ht="15" customHeight="1" x14ac:dyDescent="0.25">
      <c r="A993" s="82">
        <v>43268</v>
      </c>
      <c r="B993" t="s">
        <v>424</v>
      </c>
      <c r="C993" t="s">
        <v>429</v>
      </c>
      <c r="D993" t="s">
        <v>430</v>
      </c>
      <c r="E993" t="s">
        <v>428</v>
      </c>
      <c r="F993" t="s">
        <v>425</v>
      </c>
      <c r="G993" t="s">
        <v>426</v>
      </c>
      <c r="H993" t="s">
        <v>455</v>
      </c>
      <c r="I993" t="s">
        <v>421</v>
      </c>
      <c r="J993" t="s">
        <v>427</v>
      </c>
    </row>
    <row r="994" spans="1:10" ht="15" customHeight="1" x14ac:dyDescent="0.25">
      <c r="A994" s="82">
        <v>43269</v>
      </c>
      <c r="B994" t="s">
        <v>424</v>
      </c>
      <c r="C994" t="s">
        <v>429</v>
      </c>
      <c r="D994" t="s">
        <v>430</v>
      </c>
      <c r="E994" t="s">
        <v>428</v>
      </c>
      <c r="F994" t="s">
        <v>425</v>
      </c>
      <c r="G994" t="s">
        <v>426</v>
      </c>
      <c r="H994" t="s">
        <v>421</v>
      </c>
      <c r="I994" t="s">
        <v>427</v>
      </c>
      <c r="J994" t="s">
        <v>455</v>
      </c>
    </row>
    <row r="995" spans="1:10" ht="15" customHeight="1" x14ac:dyDescent="0.25">
      <c r="A995" s="82">
        <v>43270</v>
      </c>
      <c r="B995" t="s">
        <v>424</v>
      </c>
      <c r="C995" t="s">
        <v>429</v>
      </c>
      <c r="D995" t="s">
        <v>430</v>
      </c>
      <c r="E995" t="s">
        <v>428</v>
      </c>
      <c r="F995" t="s">
        <v>425</v>
      </c>
      <c r="G995" t="s">
        <v>426</v>
      </c>
      <c r="H995" t="s">
        <v>427</v>
      </c>
      <c r="I995" t="s">
        <v>455</v>
      </c>
      <c r="J995" t="s">
        <v>421</v>
      </c>
    </row>
    <row r="996" spans="1:10" ht="15" customHeight="1" x14ac:dyDescent="0.25">
      <c r="A996" s="82">
        <v>43271</v>
      </c>
      <c r="B996" t="s">
        <v>424</v>
      </c>
      <c r="C996" t="s">
        <v>429</v>
      </c>
      <c r="D996" t="s">
        <v>430</v>
      </c>
      <c r="E996" t="s">
        <v>428</v>
      </c>
      <c r="F996" t="s">
        <v>425</v>
      </c>
      <c r="G996" t="s">
        <v>426</v>
      </c>
      <c r="H996" t="s">
        <v>455</v>
      </c>
      <c r="I996" t="s">
        <v>427</v>
      </c>
      <c r="J996" t="s">
        <v>421</v>
      </c>
    </row>
    <row r="997" spans="1:10" ht="15" customHeight="1" x14ac:dyDescent="0.25">
      <c r="A997" s="82">
        <v>43272</v>
      </c>
      <c r="B997" t="s">
        <v>424</v>
      </c>
      <c r="C997" t="s">
        <v>429</v>
      </c>
      <c r="D997" t="s">
        <v>430</v>
      </c>
      <c r="E997" t="s">
        <v>428</v>
      </c>
      <c r="F997" t="s">
        <v>425</v>
      </c>
      <c r="G997" t="s">
        <v>426</v>
      </c>
      <c r="H997" t="s">
        <v>509</v>
      </c>
      <c r="I997" t="s">
        <v>455</v>
      </c>
      <c r="J997" t="s">
        <v>427</v>
      </c>
    </row>
    <row r="998" spans="1:10" ht="15" customHeight="1" x14ac:dyDescent="0.25">
      <c r="A998" s="82">
        <v>43273</v>
      </c>
      <c r="B998" t="s">
        <v>425</v>
      </c>
      <c r="C998" t="s">
        <v>426</v>
      </c>
      <c r="D998" t="s">
        <v>428</v>
      </c>
      <c r="E998" t="s">
        <v>427</v>
      </c>
      <c r="F998" t="s">
        <v>425</v>
      </c>
      <c r="G998" t="s">
        <v>421</v>
      </c>
      <c r="H998" t="s">
        <v>509</v>
      </c>
      <c r="I998" t="s">
        <v>429</v>
      </c>
      <c r="J998" t="s">
        <v>455</v>
      </c>
    </row>
    <row r="999" spans="1:10" ht="15" customHeight="1" x14ac:dyDescent="0.25">
      <c r="A999" s="82">
        <v>43274</v>
      </c>
      <c r="B999" t="s">
        <v>425</v>
      </c>
      <c r="C999" t="s">
        <v>426</v>
      </c>
      <c r="D999" t="s">
        <v>428</v>
      </c>
      <c r="E999" t="s">
        <v>455</v>
      </c>
      <c r="F999" t="s">
        <v>421</v>
      </c>
      <c r="G999" t="s">
        <v>427</v>
      </c>
      <c r="H999" t="s">
        <v>509</v>
      </c>
      <c r="I999" t="s">
        <v>429</v>
      </c>
      <c r="J999" t="s">
        <v>424</v>
      </c>
    </row>
    <row r="1000" spans="1:10" ht="15" customHeight="1" x14ac:dyDescent="0.25">
      <c r="A1000" s="82">
        <v>43275</v>
      </c>
      <c r="B1000" t="s">
        <v>425</v>
      </c>
      <c r="C1000" t="s">
        <v>426</v>
      </c>
      <c r="D1000" t="s">
        <v>428</v>
      </c>
      <c r="E1000" t="s">
        <v>427</v>
      </c>
      <c r="F1000" t="s">
        <v>421</v>
      </c>
      <c r="G1000" t="s">
        <v>455</v>
      </c>
      <c r="H1000" t="s">
        <v>509</v>
      </c>
      <c r="I1000" t="s">
        <v>429</v>
      </c>
      <c r="J1000" t="s">
        <v>424</v>
      </c>
    </row>
    <row r="1001" spans="1:10" ht="15" customHeight="1" x14ac:dyDescent="0.25">
      <c r="A1001" s="82">
        <v>43276</v>
      </c>
      <c r="B1001" t="s">
        <v>425</v>
      </c>
      <c r="C1001" t="s">
        <v>426</v>
      </c>
      <c r="D1001" t="s">
        <v>428</v>
      </c>
      <c r="E1001" t="s">
        <v>455</v>
      </c>
      <c r="F1001" t="s">
        <v>427</v>
      </c>
      <c r="G1001" t="s">
        <v>421</v>
      </c>
      <c r="H1001" t="s">
        <v>509</v>
      </c>
      <c r="I1001" t="s">
        <v>429</v>
      </c>
      <c r="J1001" t="s">
        <v>424</v>
      </c>
    </row>
    <row r="1002" spans="1:10" ht="15" customHeight="1" x14ac:dyDescent="0.25">
      <c r="A1002" s="82">
        <v>43277</v>
      </c>
      <c r="B1002" t="s">
        <v>425</v>
      </c>
      <c r="C1002" t="s">
        <v>426</v>
      </c>
      <c r="D1002" t="s">
        <v>428</v>
      </c>
      <c r="E1002" t="s">
        <v>421</v>
      </c>
      <c r="F1002" t="s">
        <v>455</v>
      </c>
      <c r="G1002" t="s">
        <v>427</v>
      </c>
      <c r="H1002" t="s">
        <v>509</v>
      </c>
      <c r="I1002" t="s">
        <v>429</v>
      </c>
      <c r="J1002" t="s">
        <v>424</v>
      </c>
    </row>
    <row r="1003" spans="1:10" ht="15" customHeight="1" x14ac:dyDescent="0.25">
      <c r="A1003" s="82">
        <v>43278</v>
      </c>
      <c r="B1003" t="s">
        <v>425</v>
      </c>
      <c r="C1003" t="s">
        <v>426</v>
      </c>
      <c r="D1003" t="s">
        <v>428</v>
      </c>
      <c r="E1003" t="s">
        <v>421</v>
      </c>
      <c r="F1003" t="s">
        <v>427</v>
      </c>
      <c r="G1003" t="s">
        <v>455</v>
      </c>
      <c r="H1003" t="s">
        <v>509</v>
      </c>
      <c r="I1003" t="s">
        <v>429</v>
      </c>
      <c r="J1003" t="s">
        <v>424</v>
      </c>
    </row>
    <row r="1004" spans="1:10" ht="15" customHeight="1" x14ac:dyDescent="0.25">
      <c r="A1004" s="82">
        <v>43279</v>
      </c>
      <c r="B1004" t="s">
        <v>425</v>
      </c>
      <c r="C1004" t="s">
        <v>426</v>
      </c>
      <c r="D1004" t="s">
        <v>428</v>
      </c>
      <c r="E1004" t="s">
        <v>427</v>
      </c>
      <c r="F1004" t="s">
        <v>455</v>
      </c>
      <c r="G1004" t="s">
        <v>509</v>
      </c>
      <c r="H1004" t="s">
        <v>509</v>
      </c>
      <c r="I1004" t="s">
        <v>429</v>
      </c>
      <c r="J1004" t="s">
        <v>424</v>
      </c>
    </row>
    <row r="1005" spans="1:10" ht="15" customHeight="1" x14ac:dyDescent="0.25">
      <c r="A1005" s="82">
        <v>43280</v>
      </c>
      <c r="B1005" t="s">
        <v>425</v>
      </c>
      <c r="C1005" t="s">
        <v>421</v>
      </c>
      <c r="D1005" t="s">
        <v>427</v>
      </c>
      <c r="E1005" t="s">
        <v>455</v>
      </c>
      <c r="F1005" t="s">
        <v>429</v>
      </c>
      <c r="G1005" t="s">
        <v>509</v>
      </c>
      <c r="H1005" t="s">
        <v>428</v>
      </c>
      <c r="I1005" t="s">
        <v>510</v>
      </c>
      <c r="J1005" t="s">
        <v>425</v>
      </c>
    </row>
    <row r="1006" spans="1:10" ht="15" customHeight="1" x14ac:dyDescent="0.25">
      <c r="A1006" s="82">
        <v>43281</v>
      </c>
      <c r="B1006" t="s">
        <v>421</v>
      </c>
      <c r="C1006" t="s">
        <v>427</v>
      </c>
      <c r="D1006" t="s">
        <v>455</v>
      </c>
      <c r="E1006" t="s">
        <v>424</v>
      </c>
      <c r="F1006" t="s">
        <v>429</v>
      </c>
      <c r="G1006" t="s">
        <v>509</v>
      </c>
      <c r="H1006" t="s">
        <v>428</v>
      </c>
      <c r="I1006" t="s">
        <v>510</v>
      </c>
      <c r="J1006" t="s">
        <v>425</v>
      </c>
    </row>
    <row r="1007" spans="1:10" ht="15" customHeight="1" x14ac:dyDescent="0.25">
      <c r="A1007" s="82">
        <v>43282</v>
      </c>
      <c r="B1007" t="s">
        <v>421</v>
      </c>
      <c r="C1007" t="s">
        <v>455</v>
      </c>
      <c r="D1007" t="s">
        <v>427</v>
      </c>
      <c r="E1007" t="s">
        <v>424</v>
      </c>
      <c r="F1007" t="s">
        <v>511</v>
      </c>
      <c r="G1007" t="s">
        <v>509</v>
      </c>
      <c r="H1007" t="s">
        <v>428</v>
      </c>
      <c r="I1007" t="s">
        <v>510</v>
      </c>
      <c r="J1007" t="s">
        <v>425</v>
      </c>
    </row>
    <row r="1008" spans="1:10" ht="15" customHeight="1" x14ac:dyDescent="0.25">
      <c r="A1008" s="82">
        <v>43283</v>
      </c>
      <c r="B1008" t="s">
        <v>427</v>
      </c>
      <c r="C1008" t="s">
        <v>421</v>
      </c>
      <c r="D1008" t="s">
        <v>455</v>
      </c>
      <c r="E1008" t="s">
        <v>424</v>
      </c>
      <c r="F1008" t="s">
        <v>511</v>
      </c>
      <c r="G1008" t="s">
        <v>509</v>
      </c>
      <c r="H1008" t="s">
        <v>428</v>
      </c>
      <c r="I1008" t="s">
        <v>426</v>
      </c>
      <c r="J1008" t="s">
        <v>425</v>
      </c>
    </row>
    <row r="1009" spans="1:10" ht="15" customHeight="1" x14ac:dyDescent="0.25">
      <c r="A1009" s="82">
        <v>43284</v>
      </c>
      <c r="B1009" t="s">
        <v>455</v>
      </c>
      <c r="C1009" t="s">
        <v>427</v>
      </c>
      <c r="D1009" t="s">
        <v>421</v>
      </c>
      <c r="E1009" t="s">
        <v>424</v>
      </c>
      <c r="F1009" t="s">
        <v>511</v>
      </c>
      <c r="G1009" t="s">
        <v>509</v>
      </c>
      <c r="H1009" t="s">
        <v>428</v>
      </c>
      <c r="I1009" t="s">
        <v>426</v>
      </c>
      <c r="J1009" t="s">
        <v>425</v>
      </c>
    </row>
    <row r="1010" spans="1:10" ht="15" customHeight="1" x14ac:dyDescent="0.25">
      <c r="A1010" s="82">
        <v>43285</v>
      </c>
      <c r="B1010" t="s">
        <v>427</v>
      </c>
      <c r="C1010" t="s">
        <v>455</v>
      </c>
      <c r="D1010" t="s">
        <v>421</v>
      </c>
      <c r="E1010" t="s">
        <v>424</v>
      </c>
      <c r="F1010" t="s">
        <v>511</v>
      </c>
      <c r="G1010" t="s">
        <v>509</v>
      </c>
      <c r="H1010" t="s">
        <v>428</v>
      </c>
      <c r="I1010" t="s">
        <v>426</v>
      </c>
      <c r="J1010" t="s">
        <v>425</v>
      </c>
    </row>
    <row r="1011" spans="1:10" ht="15" customHeight="1" x14ac:dyDescent="0.25">
      <c r="A1011" s="82">
        <v>43286</v>
      </c>
      <c r="B1011" t="s">
        <v>455</v>
      </c>
      <c r="C1011" t="s">
        <v>509</v>
      </c>
      <c r="D1011" t="s">
        <v>427</v>
      </c>
      <c r="E1011" t="s">
        <v>424</v>
      </c>
      <c r="F1011" t="s">
        <v>511</v>
      </c>
      <c r="G1011" t="s">
        <v>509</v>
      </c>
      <c r="H1011" t="s">
        <v>428</v>
      </c>
      <c r="I1011" t="s">
        <v>426</v>
      </c>
      <c r="J1011" t="s">
        <v>425</v>
      </c>
    </row>
    <row r="1012" spans="1:10" ht="15" customHeight="1" x14ac:dyDescent="0.25">
      <c r="A1012" s="82">
        <v>43287</v>
      </c>
      <c r="B1012" t="s">
        <v>511</v>
      </c>
      <c r="C1012" t="s">
        <v>509</v>
      </c>
      <c r="D1012" t="s">
        <v>455</v>
      </c>
      <c r="E1012" t="s">
        <v>425</v>
      </c>
      <c r="F1012" t="s">
        <v>512</v>
      </c>
      <c r="G1012" t="s">
        <v>428</v>
      </c>
      <c r="H1012" t="s">
        <v>427</v>
      </c>
      <c r="I1012" t="s">
        <v>421</v>
      </c>
      <c r="J1012" t="s">
        <v>425</v>
      </c>
    </row>
    <row r="1013" spans="1:10" ht="15" customHeight="1" x14ac:dyDescent="0.25">
      <c r="A1013" s="82">
        <v>43288</v>
      </c>
      <c r="B1013" t="s">
        <v>511</v>
      </c>
      <c r="C1013" t="s">
        <v>509</v>
      </c>
      <c r="D1013" t="s">
        <v>424</v>
      </c>
      <c r="E1013" t="s">
        <v>425</v>
      </c>
      <c r="F1013" t="s">
        <v>426</v>
      </c>
      <c r="G1013" t="s">
        <v>428</v>
      </c>
      <c r="H1013" t="s">
        <v>455</v>
      </c>
      <c r="I1013" t="s">
        <v>427</v>
      </c>
      <c r="J1013" t="s">
        <v>421</v>
      </c>
    </row>
    <row r="1014" spans="1:10" ht="15" customHeight="1" x14ac:dyDescent="0.25">
      <c r="A1014" s="82">
        <v>43289</v>
      </c>
      <c r="B1014" t="s">
        <v>511</v>
      </c>
      <c r="C1014" t="s">
        <v>509</v>
      </c>
      <c r="D1014" t="s">
        <v>424</v>
      </c>
      <c r="E1014" t="s">
        <v>425</v>
      </c>
      <c r="F1014" t="s">
        <v>426</v>
      </c>
      <c r="G1014" t="s">
        <v>428</v>
      </c>
      <c r="H1014" t="s">
        <v>427</v>
      </c>
      <c r="I1014" t="s">
        <v>455</v>
      </c>
      <c r="J1014" t="s">
        <v>421</v>
      </c>
    </row>
    <row r="1015" spans="1:10" ht="15" customHeight="1" x14ac:dyDescent="0.25">
      <c r="A1015" s="82">
        <v>43290</v>
      </c>
      <c r="B1015" t="s">
        <v>511</v>
      </c>
      <c r="C1015" t="s">
        <v>509</v>
      </c>
      <c r="D1015" t="s">
        <v>424</v>
      </c>
      <c r="E1015" t="s">
        <v>425</v>
      </c>
      <c r="F1015" t="s">
        <v>426</v>
      </c>
      <c r="G1015" t="s">
        <v>428</v>
      </c>
      <c r="H1015" t="s">
        <v>455</v>
      </c>
      <c r="I1015" t="s">
        <v>421</v>
      </c>
      <c r="J1015" t="s">
        <v>427</v>
      </c>
    </row>
    <row r="1016" spans="1:10" ht="15" customHeight="1" x14ac:dyDescent="0.25">
      <c r="A1016" s="82">
        <v>43291</v>
      </c>
      <c r="B1016" t="s">
        <v>511</v>
      </c>
      <c r="C1016" t="s">
        <v>509</v>
      </c>
      <c r="D1016" t="s">
        <v>424</v>
      </c>
      <c r="E1016" t="s">
        <v>425</v>
      </c>
      <c r="F1016" t="s">
        <v>426</v>
      </c>
      <c r="G1016" t="s">
        <v>428</v>
      </c>
      <c r="H1016" t="s">
        <v>421</v>
      </c>
      <c r="I1016" t="s">
        <v>427</v>
      </c>
      <c r="J1016" t="s">
        <v>455</v>
      </c>
    </row>
    <row r="1017" spans="1:10" ht="15" customHeight="1" x14ac:dyDescent="0.25">
      <c r="A1017" s="82">
        <v>43292</v>
      </c>
      <c r="B1017" t="s">
        <v>511</v>
      </c>
      <c r="C1017" t="s">
        <v>509</v>
      </c>
      <c r="D1017" t="s">
        <v>424</v>
      </c>
      <c r="E1017" t="s">
        <v>425</v>
      </c>
      <c r="F1017" t="s">
        <v>426</v>
      </c>
      <c r="G1017" t="s">
        <v>428</v>
      </c>
      <c r="H1017" t="s">
        <v>421</v>
      </c>
      <c r="I1017" t="s">
        <v>455</v>
      </c>
      <c r="J1017" t="s">
        <v>427</v>
      </c>
    </row>
    <row r="1018" spans="1:10" ht="15" customHeight="1" x14ac:dyDescent="0.25">
      <c r="A1018" s="82">
        <v>43293</v>
      </c>
      <c r="B1018" t="s">
        <v>511</v>
      </c>
      <c r="C1018" t="s">
        <v>509</v>
      </c>
      <c r="D1018" t="s">
        <v>424</v>
      </c>
      <c r="E1018" t="s">
        <v>425</v>
      </c>
      <c r="F1018" t="s">
        <v>426</v>
      </c>
      <c r="G1018" t="s">
        <v>428</v>
      </c>
      <c r="H1018" t="s">
        <v>427</v>
      </c>
      <c r="I1018" t="s">
        <v>509</v>
      </c>
      <c r="J1018" t="s">
        <v>455</v>
      </c>
    </row>
    <row r="1019" spans="1:10" ht="15" customHeight="1" x14ac:dyDescent="0.25">
      <c r="A1019" s="82">
        <v>43294</v>
      </c>
      <c r="B1019" t="s">
        <v>512</v>
      </c>
      <c r="C1019" t="s">
        <v>428</v>
      </c>
      <c r="D1019" t="s">
        <v>425</v>
      </c>
      <c r="E1019" t="s">
        <v>425</v>
      </c>
      <c r="F1019" t="s">
        <v>421</v>
      </c>
      <c r="G1019" t="s">
        <v>427</v>
      </c>
      <c r="H1019" t="s">
        <v>455</v>
      </c>
      <c r="I1019" t="s">
        <v>509</v>
      </c>
      <c r="J1019" t="s">
        <v>511</v>
      </c>
    </row>
    <row r="1020" spans="1:10" ht="15" customHeight="1" x14ac:dyDescent="0.25">
      <c r="A1020" s="82">
        <v>43295</v>
      </c>
      <c r="B1020" t="s">
        <v>426</v>
      </c>
      <c r="C1020" t="s">
        <v>428</v>
      </c>
      <c r="D1020" t="s">
        <v>425</v>
      </c>
      <c r="E1020" t="s">
        <v>421</v>
      </c>
      <c r="F1020" t="s">
        <v>427</v>
      </c>
      <c r="G1020" t="s">
        <v>455</v>
      </c>
      <c r="H1020" t="s">
        <v>424</v>
      </c>
      <c r="I1020" t="s">
        <v>509</v>
      </c>
      <c r="J1020" t="s">
        <v>511</v>
      </c>
    </row>
    <row r="1021" spans="1:10" ht="15" customHeight="1" x14ac:dyDescent="0.25">
      <c r="A1021" s="82">
        <v>43296</v>
      </c>
      <c r="B1021" t="s">
        <v>426</v>
      </c>
      <c r="C1021" t="s">
        <v>428</v>
      </c>
      <c r="D1021" t="s">
        <v>425</v>
      </c>
      <c r="E1021" t="s">
        <v>421</v>
      </c>
      <c r="F1021" t="s">
        <v>455</v>
      </c>
      <c r="G1021" t="s">
        <v>427</v>
      </c>
      <c r="H1021" t="s">
        <v>424</v>
      </c>
      <c r="I1021" t="s">
        <v>509</v>
      </c>
      <c r="J1021" t="s">
        <v>511</v>
      </c>
    </row>
    <row r="1022" spans="1:10" ht="15" customHeight="1" x14ac:dyDescent="0.25">
      <c r="A1022" s="82">
        <v>43297</v>
      </c>
      <c r="B1022" t="s">
        <v>426</v>
      </c>
      <c r="C1022" t="s">
        <v>428</v>
      </c>
      <c r="D1022" t="s">
        <v>425</v>
      </c>
      <c r="E1022" t="s">
        <v>427</v>
      </c>
      <c r="F1022" t="s">
        <v>421</v>
      </c>
      <c r="G1022" t="s">
        <v>455</v>
      </c>
      <c r="H1022" t="s">
        <v>424</v>
      </c>
      <c r="I1022" t="s">
        <v>509</v>
      </c>
      <c r="J1022" t="s">
        <v>511</v>
      </c>
    </row>
    <row r="1023" spans="1:10" ht="15" customHeight="1" x14ac:dyDescent="0.25">
      <c r="A1023" s="82">
        <v>43298</v>
      </c>
      <c r="B1023" t="s">
        <v>426</v>
      </c>
      <c r="C1023" t="s">
        <v>428</v>
      </c>
      <c r="D1023" t="s">
        <v>425</v>
      </c>
      <c r="E1023" t="s">
        <v>455</v>
      </c>
      <c r="F1023" t="s">
        <v>427</v>
      </c>
      <c r="G1023" t="s">
        <v>421</v>
      </c>
      <c r="H1023" t="s">
        <v>424</v>
      </c>
      <c r="I1023" t="s">
        <v>509</v>
      </c>
      <c r="J1023" t="s">
        <v>511</v>
      </c>
    </row>
    <row r="1024" spans="1:10" ht="15" customHeight="1" x14ac:dyDescent="0.25">
      <c r="A1024" s="82">
        <v>43299</v>
      </c>
      <c r="B1024" t="s">
        <v>426</v>
      </c>
      <c r="C1024" t="s">
        <v>428</v>
      </c>
      <c r="D1024" t="s">
        <v>425</v>
      </c>
      <c r="E1024" t="s">
        <v>427</v>
      </c>
      <c r="F1024" t="s">
        <v>455</v>
      </c>
      <c r="G1024" t="s">
        <v>421</v>
      </c>
      <c r="H1024" t="s">
        <v>424</v>
      </c>
      <c r="I1024" t="s">
        <v>509</v>
      </c>
      <c r="J1024" t="s">
        <v>511</v>
      </c>
    </row>
    <row r="1025" spans="1:10" ht="15" customHeight="1" x14ac:dyDescent="0.25">
      <c r="A1025" s="82">
        <v>43300</v>
      </c>
      <c r="B1025" t="s">
        <v>426</v>
      </c>
      <c r="C1025" t="s">
        <v>428</v>
      </c>
      <c r="D1025" t="s">
        <v>425</v>
      </c>
      <c r="E1025" t="s">
        <v>455</v>
      </c>
      <c r="F1025" t="s">
        <v>509</v>
      </c>
      <c r="G1025" t="s">
        <v>427</v>
      </c>
      <c r="H1025" t="s">
        <v>424</v>
      </c>
      <c r="I1025" t="s">
        <v>509</v>
      </c>
      <c r="J1025" t="s">
        <v>511</v>
      </c>
    </row>
    <row r="1026" spans="1:10" ht="15" customHeight="1" x14ac:dyDescent="0.25">
      <c r="A1026" s="82">
        <v>43301</v>
      </c>
      <c r="B1026" t="s">
        <v>421</v>
      </c>
      <c r="C1026" t="s">
        <v>427</v>
      </c>
      <c r="D1026" t="s">
        <v>425</v>
      </c>
      <c r="E1026" t="s">
        <v>511</v>
      </c>
      <c r="F1026" t="s">
        <v>509</v>
      </c>
      <c r="G1026" t="s">
        <v>455</v>
      </c>
      <c r="H1026" t="s">
        <v>425</v>
      </c>
      <c r="I1026" t="s">
        <v>428</v>
      </c>
      <c r="J1026" t="s">
        <v>512</v>
      </c>
    </row>
    <row r="1027" spans="1:10" ht="15" customHeight="1" x14ac:dyDescent="0.25">
      <c r="A1027" s="82">
        <v>43302</v>
      </c>
      <c r="B1027" t="s">
        <v>427</v>
      </c>
      <c r="C1027" t="s">
        <v>455</v>
      </c>
      <c r="D1027" t="s">
        <v>421</v>
      </c>
      <c r="E1027" t="s">
        <v>511</v>
      </c>
      <c r="F1027" t="s">
        <v>509</v>
      </c>
      <c r="G1027" t="s">
        <v>424</v>
      </c>
      <c r="H1027" t="s">
        <v>425</v>
      </c>
      <c r="I1027" t="s">
        <v>428</v>
      </c>
      <c r="J1027" t="s">
        <v>426</v>
      </c>
    </row>
    <row r="1028" spans="1:10" ht="15" customHeight="1" x14ac:dyDescent="0.25">
      <c r="A1028" s="82">
        <v>43303</v>
      </c>
      <c r="B1028" t="s">
        <v>455</v>
      </c>
      <c r="C1028" t="s">
        <v>427</v>
      </c>
      <c r="D1028" t="s">
        <v>421</v>
      </c>
      <c r="E1028" t="s">
        <v>511</v>
      </c>
      <c r="F1028" t="s">
        <v>509</v>
      </c>
      <c r="G1028" t="s">
        <v>424</v>
      </c>
      <c r="H1028" t="s">
        <v>425</v>
      </c>
      <c r="I1028" t="s">
        <v>428</v>
      </c>
      <c r="J1028" t="s">
        <v>426</v>
      </c>
    </row>
    <row r="1029" spans="1:10" ht="15" customHeight="1" x14ac:dyDescent="0.25">
      <c r="A1029" s="82">
        <v>43304</v>
      </c>
      <c r="B1029" t="s">
        <v>421</v>
      </c>
      <c r="C1029" t="s">
        <v>455</v>
      </c>
      <c r="D1029" t="s">
        <v>427</v>
      </c>
      <c r="E1029" t="s">
        <v>511</v>
      </c>
      <c r="F1029" t="s">
        <v>509</v>
      </c>
      <c r="G1029" t="s">
        <v>424</v>
      </c>
      <c r="H1029" t="s">
        <v>425</v>
      </c>
      <c r="I1029" t="s">
        <v>428</v>
      </c>
      <c r="J1029" t="s">
        <v>426</v>
      </c>
    </row>
    <row r="1030" spans="1:10" ht="15" customHeight="1" x14ac:dyDescent="0.25">
      <c r="A1030" s="82">
        <v>43305</v>
      </c>
      <c r="B1030" t="s">
        <v>427</v>
      </c>
      <c r="C1030" t="s">
        <v>421</v>
      </c>
      <c r="D1030" t="s">
        <v>455</v>
      </c>
      <c r="E1030" t="s">
        <v>511</v>
      </c>
      <c r="F1030" t="s">
        <v>509</v>
      </c>
      <c r="G1030" t="s">
        <v>424</v>
      </c>
      <c r="H1030" t="s">
        <v>425</v>
      </c>
      <c r="I1030" t="s">
        <v>428</v>
      </c>
      <c r="J1030" t="s">
        <v>426</v>
      </c>
    </row>
    <row r="1031" spans="1:10" ht="15" customHeight="1" x14ac:dyDescent="0.25">
      <c r="A1031" s="82">
        <v>43306</v>
      </c>
      <c r="B1031" t="s">
        <v>455</v>
      </c>
      <c r="C1031" t="s">
        <v>421</v>
      </c>
      <c r="D1031" t="s">
        <v>427</v>
      </c>
      <c r="E1031" t="s">
        <v>511</v>
      </c>
      <c r="F1031" t="s">
        <v>509</v>
      </c>
      <c r="G1031" t="s">
        <v>424</v>
      </c>
      <c r="H1031" t="s">
        <v>425</v>
      </c>
      <c r="I1031" t="s">
        <v>428</v>
      </c>
      <c r="J1031" t="s">
        <v>426</v>
      </c>
    </row>
    <row r="1032" spans="1:10" ht="15" customHeight="1" x14ac:dyDescent="0.25">
      <c r="A1032" s="82">
        <v>43307</v>
      </c>
      <c r="B1032" t="s">
        <v>509</v>
      </c>
      <c r="C1032" t="s">
        <v>427</v>
      </c>
      <c r="D1032" t="s">
        <v>455</v>
      </c>
      <c r="E1032" t="s">
        <v>511</v>
      </c>
      <c r="F1032" t="s">
        <v>509</v>
      </c>
      <c r="G1032" t="s">
        <v>424</v>
      </c>
      <c r="H1032" t="s">
        <v>425</v>
      </c>
      <c r="I1032" t="s">
        <v>428</v>
      </c>
      <c r="J1032" t="s">
        <v>426</v>
      </c>
    </row>
    <row r="1033" spans="1:10" ht="15" customHeight="1" x14ac:dyDescent="0.25">
      <c r="A1033" s="82">
        <v>43308</v>
      </c>
      <c r="B1033" t="s">
        <v>509</v>
      </c>
      <c r="C1033" t="s">
        <v>455</v>
      </c>
      <c r="D1033" t="s">
        <v>511</v>
      </c>
      <c r="E1033" t="s">
        <v>512</v>
      </c>
      <c r="F1033" t="s">
        <v>428</v>
      </c>
      <c r="G1033" t="s">
        <v>425</v>
      </c>
      <c r="H1033" t="s">
        <v>425</v>
      </c>
      <c r="I1033" t="s">
        <v>427</v>
      </c>
      <c r="J1033" t="s">
        <v>421</v>
      </c>
    </row>
    <row r="1034" spans="1:10" ht="15" customHeight="1" x14ac:dyDescent="0.25">
      <c r="A1034" s="82">
        <v>43309</v>
      </c>
      <c r="B1034" t="s">
        <v>509</v>
      </c>
      <c r="C1034" t="s">
        <v>424</v>
      </c>
      <c r="D1034" t="s">
        <v>511</v>
      </c>
      <c r="E1034" t="s">
        <v>426</v>
      </c>
      <c r="F1034" t="s">
        <v>428</v>
      </c>
      <c r="G1034" t="s">
        <v>425</v>
      </c>
      <c r="H1034" t="s">
        <v>421</v>
      </c>
      <c r="I1034" t="s">
        <v>455</v>
      </c>
      <c r="J1034" t="s">
        <v>427</v>
      </c>
    </row>
    <row r="1035" spans="1:10" ht="15" customHeight="1" x14ac:dyDescent="0.25">
      <c r="A1035" s="82">
        <v>43310</v>
      </c>
      <c r="B1035" t="s">
        <v>509</v>
      </c>
      <c r="C1035" t="s">
        <v>424</v>
      </c>
      <c r="D1035" t="s">
        <v>511</v>
      </c>
      <c r="E1035" t="s">
        <v>426</v>
      </c>
      <c r="F1035" t="s">
        <v>428</v>
      </c>
      <c r="G1035" t="s">
        <v>425</v>
      </c>
      <c r="H1035" t="s">
        <v>421</v>
      </c>
      <c r="I1035" t="s">
        <v>427</v>
      </c>
      <c r="J1035" t="s">
        <v>455</v>
      </c>
    </row>
    <row r="1036" spans="1:10" ht="15" customHeight="1" x14ac:dyDescent="0.25">
      <c r="A1036" s="82">
        <v>43311</v>
      </c>
      <c r="B1036" t="s">
        <v>509</v>
      </c>
      <c r="C1036" t="s">
        <v>424</v>
      </c>
      <c r="D1036" t="s">
        <v>511</v>
      </c>
      <c r="E1036" t="s">
        <v>426</v>
      </c>
      <c r="F1036" t="s">
        <v>428</v>
      </c>
      <c r="G1036" t="s">
        <v>425</v>
      </c>
      <c r="H1036" t="s">
        <v>427</v>
      </c>
      <c r="I1036" t="s">
        <v>455</v>
      </c>
      <c r="J1036" t="s">
        <v>421</v>
      </c>
    </row>
    <row r="1037" spans="1:10" ht="15" customHeight="1" x14ac:dyDescent="0.25">
      <c r="A1037" s="82">
        <v>43312</v>
      </c>
      <c r="B1037" t="s">
        <v>509</v>
      </c>
      <c r="C1037" t="s">
        <v>424</v>
      </c>
      <c r="D1037" t="s">
        <v>511</v>
      </c>
      <c r="E1037" t="s">
        <v>426</v>
      </c>
      <c r="F1037" t="s">
        <v>428</v>
      </c>
      <c r="G1037" t="s">
        <v>425</v>
      </c>
      <c r="H1037" t="s">
        <v>455</v>
      </c>
      <c r="I1037" t="s">
        <v>421</v>
      </c>
      <c r="J1037" t="s">
        <v>427</v>
      </c>
    </row>
    <row r="1038" spans="1:10" ht="15" customHeight="1" x14ac:dyDescent="0.25">
      <c r="A1038" s="82">
        <v>43313</v>
      </c>
      <c r="B1038" t="s">
        <v>509</v>
      </c>
      <c r="C1038" t="s">
        <v>424</v>
      </c>
      <c r="D1038" t="s">
        <v>511</v>
      </c>
      <c r="E1038" t="s">
        <v>426</v>
      </c>
      <c r="F1038" t="s">
        <v>428</v>
      </c>
      <c r="G1038" t="s">
        <v>425</v>
      </c>
      <c r="H1038" t="s">
        <v>427</v>
      </c>
      <c r="I1038" t="s">
        <v>421</v>
      </c>
      <c r="J1038" t="s">
        <v>455</v>
      </c>
    </row>
    <row r="1039" spans="1:10" ht="15" customHeight="1" x14ac:dyDescent="0.25">
      <c r="A1039" s="82">
        <v>43314</v>
      </c>
      <c r="B1039" t="s">
        <v>509</v>
      </c>
      <c r="C1039" t="s">
        <v>424</v>
      </c>
      <c r="D1039" t="s">
        <v>511</v>
      </c>
      <c r="E1039" t="s">
        <v>426</v>
      </c>
      <c r="F1039" t="s">
        <v>428</v>
      </c>
      <c r="G1039" t="s">
        <v>425</v>
      </c>
      <c r="H1039" t="s">
        <v>455</v>
      </c>
      <c r="I1039" t="s">
        <v>427</v>
      </c>
      <c r="J1039" t="s">
        <v>509</v>
      </c>
    </row>
    <row r="1040" spans="1:10" ht="15" customHeight="1" x14ac:dyDescent="0.25">
      <c r="A1040" s="82">
        <v>43315</v>
      </c>
      <c r="B1040" t="s">
        <v>428</v>
      </c>
      <c r="C1040" t="s">
        <v>425</v>
      </c>
      <c r="D1040" t="s">
        <v>512</v>
      </c>
      <c r="E1040" t="s">
        <v>421</v>
      </c>
      <c r="F1040" t="s">
        <v>427</v>
      </c>
      <c r="G1040" t="s">
        <v>425</v>
      </c>
      <c r="H1040" t="s">
        <v>511</v>
      </c>
      <c r="I1040" t="s">
        <v>455</v>
      </c>
      <c r="J1040" t="s">
        <v>509</v>
      </c>
    </row>
    <row r="1041" spans="1:10" ht="15" customHeight="1" x14ac:dyDescent="0.25">
      <c r="A1041" s="82">
        <v>43316</v>
      </c>
      <c r="B1041" t="s">
        <v>428</v>
      </c>
      <c r="C1041" t="s">
        <v>425</v>
      </c>
      <c r="D1041" t="s">
        <v>426</v>
      </c>
      <c r="E1041" t="s">
        <v>427</v>
      </c>
      <c r="F1041" t="s">
        <v>455</v>
      </c>
      <c r="G1041" t="s">
        <v>421</v>
      </c>
      <c r="H1041" t="s">
        <v>511</v>
      </c>
      <c r="I1041" t="s">
        <v>424</v>
      </c>
      <c r="J1041" t="s">
        <v>509</v>
      </c>
    </row>
    <row r="1042" spans="1:10" ht="15" customHeight="1" x14ac:dyDescent="0.25">
      <c r="A1042" s="82">
        <v>43317</v>
      </c>
      <c r="B1042" t="s">
        <v>428</v>
      </c>
      <c r="C1042" t="s">
        <v>425</v>
      </c>
      <c r="D1042" t="s">
        <v>426</v>
      </c>
      <c r="E1042" t="s">
        <v>455</v>
      </c>
      <c r="F1042" t="s">
        <v>427</v>
      </c>
      <c r="G1042" t="s">
        <v>421</v>
      </c>
      <c r="H1042" t="s">
        <v>511</v>
      </c>
      <c r="I1042" t="s">
        <v>424</v>
      </c>
      <c r="J1042" t="s">
        <v>509</v>
      </c>
    </row>
    <row r="1043" spans="1:10" ht="15" customHeight="1" x14ac:dyDescent="0.25">
      <c r="A1043" s="82">
        <v>43318</v>
      </c>
      <c r="B1043" t="s">
        <v>428</v>
      </c>
      <c r="C1043" t="s">
        <v>425</v>
      </c>
      <c r="D1043" t="s">
        <v>426</v>
      </c>
      <c r="E1043" t="s">
        <v>421</v>
      </c>
      <c r="F1043" t="s">
        <v>455</v>
      </c>
      <c r="G1043" t="s">
        <v>427</v>
      </c>
      <c r="H1043" t="s">
        <v>511</v>
      </c>
      <c r="I1043" t="s">
        <v>424</v>
      </c>
      <c r="J1043" t="s">
        <v>509</v>
      </c>
    </row>
    <row r="1044" spans="1:10" ht="15" customHeight="1" x14ac:dyDescent="0.25">
      <c r="A1044" s="82">
        <v>43319</v>
      </c>
      <c r="B1044" t="s">
        <v>428</v>
      </c>
      <c r="C1044" t="s">
        <v>425</v>
      </c>
      <c r="D1044" t="s">
        <v>426</v>
      </c>
      <c r="E1044" t="s">
        <v>427</v>
      </c>
      <c r="F1044" t="s">
        <v>421</v>
      </c>
      <c r="G1044" t="s">
        <v>455</v>
      </c>
      <c r="H1044" t="s">
        <v>511</v>
      </c>
      <c r="I1044" t="s">
        <v>424</v>
      </c>
      <c r="J1044" t="s">
        <v>509</v>
      </c>
    </row>
    <row r="1045" spans="1:10" ht="15" customHeight="1" x14ac:dyDescent="0.25">
      <c r="A1045" s="82">
        <v>43320</v>
      </c>
      <c r="B1045" t="s">
        <v>428</v>
      </c>
      <c r="C1045" t="s">
        <v>425</v>
      </c>
      <c r="D1045" t="s">
        <v>426</v>
      </c>
      <c r="E1045" t="s">
        <v>455</v>
      </c>
      <c r="F1045" t="s">
        <v>421</v>
      </c>
      <c r="G1045" t="s">
        <v>427</v>
      </c>
      <c r="H1045" t="s">
        <v>511</v>
      </c>
      <c r="I1045" t="s">
        <v>424</v>
      </c>
      <c r="J1045" t="s">
        <v>509</v>
      </c>
    </row>
    <row r="1046" spans="1:10" ht="15" customHeight="1" x14ac:dyDescent="0.25">
      <c r="A1046" s="82">
        <v>43321</v>
      </c>
      <c r="B1046" t="s">
        <v>428</v>
      </c>
      <c r="C1046" t="s">
        <v>425</v>
      </c>
      <c r="D1046" t="s">
        <v>426</v>
      </c>
      <c r="E1046" t="s">
        <v>509</v>
      </c>
      <c r="F1046" t="s">
        <v>427</v>
      </c>
      <c r="G1046" t="s">
        <v>455</v>
      </c>
      <c r="H1046" t="s">
        <v>511</v>
      </c>
      <c r="I1046" t="s">
        <v>424</v>
      </c>
      <c r="J1046" t="s">
        <v>509</v>
      </c>
    </row>
    <row r="1047" spans="1:10" ht="15" customHeight="1" x14ac:dyDescent="0.25">
      <c r="A1047" s="82">
        <v>43322</v>
      </c>
      <c r="B1047" t="s">
        <v>427</v>
      </c>
      <c r="C1047" t="s">
        <v>425</v>
      </c>
      <c r="D1047" t="s">
        <v>421</v>
      </c>
      <c r="E1047" t="s">
        <v>509</v>
      </c>
      <c r="F1047" t="s">
        <v>455</v>
      </c>
      <c r="G1047" t="s">
        <v>511</v>
      </c>
      <c r="H1047" t="s">
        <v>512</v>
      </c>
      <c r="I1047" t="s">
        <v>425</v>
      </c>
      <c r="J1047" t="s">
        <v>428</v>
      </c>
    </row>
    <row r="1048" spans="1:10" ht="15" customHeight="1" x14ac:dyDescent="0.25">
      <c r="A1048" s="82">
        <v>43323</v>
      </c>
      <c r="B1048" t="s">
        <v>455</v>
      </c>
      <c r="C1048" t="s">
        <v>421</v>
      </c>
      <c r="D1048" t="s">
        <v>427</v>
      </c>
      <c r="E1048" t="s">
        <v>509</v>
      </c>
      <c r="F1048" t="s">
        <v>424</v>
      </c>
      <c r="G1048" t="s">
        <v>511</v>
      </c>
      <c r="H1048" t="s">
        <v>426</v>
      </c>
      <c r="I1048" t="s">
        <v>425</v>
      </c>
      <c r="J1048" t="s">
        <v>428</v>
      </c>
    </row>
    <row r="1049" spans="1:10" ht="15" customHeight="1" x14ac:dyDescent="0.25">
      <c r="A1049" s="82">
        <v>43324</v>
      </c>
      <c r="B1049" t="s">
        <v>427</v>
      </c>
      <c r="C1049" t="s">
        <v>421</v>
      </c>
      <c r="D1049" t="s">
        <v>455</v>
      </c>
      <c r="E1049" t="s">
        <v>509</v>
      </c>
      <c r="F1049" t="s">
        <v>424</v>
      </c>
      <c r="G1049" t="s">
        <v>511</v>
      </c>
      <c r="H1049" t="s">
        <v>426</v>
      </c>
      <c r="I1049" t="s">
        <v>425</v>
      </c>
      <c r="J1049" t="s">
        <v>428</v>
      </c>
    </row>
    <row r="1050" spans="1:10" ht="15" customHeight="1" x14ac:dyDescent="0.25">
      <c r="A1050" s="82">
        <v>43325</v>
      </c>
      <c r="B1050" t="s">
        <v>455</v>
      </c>
      <c r="C1050" t="s">
        <v>427</v>
      </c>
      <c r="D1050" t="s">
        <v>421</v>
      </c>
      <c r="E1050" t="s">
        <v>509</v>
      </c>
      <c r="F1050" t="s">
        <v>424</v>
      </c>
      <c r="G1050" t="s">
        <v>511</v>
      </c>
      <c r="H1050" t="s">
        <v>426</v>
      </c>
      <c r="I1050" t="s">
        <v>425</v>
      </c>
      <c r="J1050" t="s">
        <v>428</v>
      </c>
    </row>
    <row r="1051" spans="1:10" ht="15" customHeight="1" x14ac:dyDescent="0.25">
      <c r="A1051" s="82">
        <v>43326</v>
      </c>
      <c r="B1051" t="s">
        <v>421</v>
      </c>
      <c r="C1051" t="s">
        <v>455</v>
      </c>
      <c r="D1051" t="s">
        <v>427</v>
      </c>
      <c r="E1051" t="s">
        <v>509</v>
      </c>
      <c r="F1051" t="s">
        <v>424</v>
      </c>
      <c r="G1051" t="s">
        <v>511</v>
      </c>
      <c r="H1051" t="s">
        <v>426</v>
      </c>
      <c r="I1051" t="s">
        <v>425</v>
      </c>
      <c r="J1051" t="s">
        <v>428</v>
      </c>
    </row>
    <row r="1052" spans="1:10" ht="15" customHeight="1" x14ac:dyDescent="0.25">
      <c r="A1052" s="82">
        <v>43327</v>
      </c>
      <c r="B1052" t="s">
        <v>421</v>
      </c>
      <c r="C1052" t="s">
        <v>427</v>
      </c>
      <c r="D1052" t="s">
        <v>455</v>
      </c>
      <c r="E1052" t="s">
        <v>509</v>
      </c>
      <c r="F1052" t="s">
        <v>424</v>
      </c>
      <c r="G1052" t="s">
        <v>511</v>
      </c>
      <c r="H1052" t="s">
        <v>426</v>
      </c>
      <c r="I1052" t="s">
        <v>425</v>
      </c>
      <c r="J1052" t="s">
        <v>428</v>
      </c>
    </row>
    <row r="1053" spans="1:10" ht="15" customHeight="1" x14ac:dyDescent="0.25">
      <c r="A1053" s="82">
        <v>43328</v>
      </c>
      <c r="B1053" t="s">
        <v>427</v>
      </c>
      <c r="C1053" t="s">
        <v>455</v>
      </c>
      <c r="D1053" t="s">
        <v>509</v>
      </c>
      <c r="E1053" t="s">
        <v>509</v>
      </c>
      <c r="F1053" t="s">
        <v>424</v>
      </c>
      <c r="G1053" t="s">
        <v>511</v>
      </c>
      <c r="H1053" t="s">
        <v>426</v>
      </c>
      <c r="I1053" t="s">
        <v>425</v>
      </c>
      <c r="J1053" t="s">
        <v>428</v>
      </c>
    </row>
    <row r="1054" spans="1:10" ht="15" customHeight="1" x14ac:dyDescent="0.25">
      <c r="A1054" s="82">
        <v>43329</v>
      </c>
      <c r="B1054" t="s">
        <v>455</v>
      </c>
      <c r="C1054" t="s">
        <v>511</v>
      </c>
      <c r="D1054" t="s">
        <v>509</v>
      </c>
      <c r="E1054" t="s">
        <v>428</v>
      </c>
      <c r="F1054" t="s">
        <v>425</v>
      </c>
      <c r="G1054" t="s">
        <v>512</v>
      </c>
      <c r="H1054" t="s">
        <v>421</v>
      </c>
      <c r="I1054" t="s">
        <v>425</v>
      </c>
      <c r="J1054" t="s">
        <v>427</v>
      </c>
    </row>
    <row r="1055" spans="1:10" ht="15" customHeight="1" x14ac:dyDescent="0.25">
      <c r="A1055" s="82">
        <v>43330</v>
      </c>
      <c r="B1055" t="s">
        <v>424</v>
      </c>
      <c r="C1055" t="s">
        <v>511</v>
      </c>
      <c r="D1055" t="s">
        <v>509</v>
      </c>
      <c r="E1055" t="s">
        <v>428</v>
      </c>
      <c r="F1055" t="s">
        <v>425</v>
      </c>
      <c r="G1055" t="s">
        <v>426</v>
      </c>
      <c r="H1055" t="s">
        <v>427</v>
      </c>
      <c r="I1055" t="s">
        <v>421</v>
      </c>
      <c r="J1055" t="s">
        <v>455</v>
      </c>
    </row>
    <row r="1056" spans="1:10" ht="15" customHeight="1" x14ac:dyDescent="0.25">
      <c r="A1056" s="82">
        <v>43331</v>
      </c>
      <c r="B1056" t="s">
        <v>424</v>
      </c>
      <c r="C1056" t="s">
        <v>511</v>
      </c>
      <c r="D1056" t="s">
        <v>509</v>
      </c>
      <c r="E1056" t="s">
        <v>428</v>
      </c>
      <c r="F1056" t="s">
        <v>425</v>
      </c>
      <c r="G1056" t="s">
        <v>426</v>
      </c>
      <c r="H1056" t="s">
        <v>455</v>
      </c>
      <c r="I1056" t="s">
        <v>421</v>
      </c>
      <c r="J1056" t="s">
        <v>427</v>
      </c>
    </row>
    <row r="1057" spans="1:10" ht="15" customHeight="1" x14ac:dyDescent="0.25">
      <c r="A1057" s="82">
        <v>43332</v>
      </c>
      <c r="B1057" t="s">
        <v>424</v>
      </c>
      <c r="C1057" t="s">
        <v>511</v>
      </c>
      <c r="D1057" t="s">
        <v>509</v>
      </c>
      <c r="E1057" t="s">
        <v>428</v>
      </c>
      <c r="F1057" t="s">
        <v>425</v>
      </c>
      <c r="G1057" t="s">
        <v>426</v>
      </c>
      <c r="H1057" t="s">
        <v>421</v>
      </c>
      <c r="I1057" t="s">
        <v>427</v>
      </c>
      <c r="J1057" t="s">
        <v>455</v>
      </c>
    </row>
    <row r="1058" spans="1:10" ht="15" customHeight="1" x14ac:dyDescent="0.25">
      <c r="A1058" s="82">
        <v>43333</v>
      </c>
      <c r="B1058" t="s">
        <v>424</v>
      </c>
      <c r="C1058" t="s">
        <v>511</v>
      </c>
      <c r="D1058" t="s">
        <v>509</v>
      </c>
      <c r="E1058" t="s">
        <v>428</v>
      </c>
      <c r="F1058" t="s">
        <v>425</v>
      </c>
      <c r="G1058" t="s">
        <v>426</v>
      </c>
      <c r="H1058" t="s">
        <v>427</v>
      </c>
      <c r="I1058" t="s">
        <v>455</v>
      </c>
      <c r="J1058" t="s">
        <v>421</v>
      </c>
    </row>
    <row r="1059" spans="1:10" ht="15" customHeight="1" x14ac:dyDescent="0.25">
      <c r="A1059" s="82">
        <v>43334</v>
      </c>
      <c r="B1059" t="s">
        <v>424</v>
      </c>
      <c r="C1059" t="s">
        <v>511</v>
      </c>
      <c r="D1059" t="s">
        <v>509</v>
      </c>
      <c r="E1059" t="s">
        <v>428</v>
      </c>
      <c r="F1059" t="s">
        <v>425</v>
      </c>
      <c r="G1059" t="s">
        <v>426</v>
      </c>
      <c r="H1059" t="s">
        <v>455</v>
      </c>
      <c r="I1059" t="s">
        <v>427</v>
      </c>
      <c r="J1059" t="s">
        <v>421</v>
      </c>
    </row>
    <row r="1060" spans="1:10" ht="15" customHeight="1" x14ac:dyDescent="0.25">
      <c r="A1060" s="82">
        <v>43335</v>
      </c>
      <c r="B1060" t="s">
        <v>424</v>
      </c>
      <c r="C1060" t="s">
        <v>511</v>
      </c>
      <c r="D1060" t="s">
        <v>509</v>
      </c>
      <c r="E1060" t="s">
        <v>428</v>
      </c>
      <c r="F1060" t="s">
        <v>425</v>
      </c>
      <c r="G1060" t="s">
        <v>426</v>
      </c>
      <c r="H1060" t="s">
        <v>509</v>
      </c>
      <c r="I1060" t="s">
        <v>455</v>
      </c>
      <c r="J1060" t="s">
        <v>427</v>
      </c>
    </row>
    <row r="1061" spans="1:10" ht="15" customHeight="1" x14ac:dyDescent="0.25">
      <c r="A1061" s="82">
        <v>43336</v>
      </c>
      <c r="B1061" t="s">
        <v>425</v>
      </c>
      <c r="C1061" t="s">
        <v>512</v>
      </c>
      <c r="D1061" t="s">
        <v>428</v>
      </c>
      <c r="E1061" t="s">
        <v>427</v>
      </c>
      <c r="F1061" t="s">
        <v>425</v>
      </c>
      <c r="G1061" t="s">
        <v>421</v>
      </c>
      <c r="H1061" t="s">
        <v>509</v>
      </c>
      <c r="I1061" t="s">
        <v>511</v>
      </c>
      <c r="J1061" t="s">
        <v>455</v>
      </c>
    </row>
    <row r="1062" spans="1:10" ht="15" customHeight="1" x14ac:dyDescent="0.25">
      <c r="A1062" s="82">
        <v>43337</v>
      </c>
      <c r="B1062" t="s">
        <v>425</v>
      </c>
      <c r="C1062" t="s">
        <v>426</v>
      </c>
      <c r="D1062" t="s">
        <v>428</v>
      </c>
      <c r="E1062" t="s">
        <v>455</v>
      </c>
      <c r="F1062" t="s">
        <v>421</v>
      </c>
      <c r="G1062" t="s">
        <v>427</v>
      </c>
      <c r="H1062" t="s">
        <v>509</v>
      </c>
      <c r="I1062" t="s">
        <v>511</v>
      </c>
      <c r="J1062" t="s">
        <v>424</v>
      </c>
    </row>
    <row r="1063" spans="1:10" ht="15" customHeight="1" x14ac:dyDescent="0.25">
      <c r="A1063" s="82">
        <v>43338</v>
      </c>
      <c r="B1063" t="s">
        <v>425</v>
      </c>
      <c r="C1063" t="s">
        <v>426</v>
      </c>
      <c r="D1063" t="s">
        <v>428</v>
      </c>
      <c r="E1063" t="s">
        <v>427</v>
      </c>
      <c r="F1063" t="s">
        <v>421</v>
      </c>
      <c r="G1063" t="s">
        <v>455</v>
      </c>
      <c r="H1063" t="s">
        <v>509</v>
      </c>
      <c r="I1063" t="s">
        <v>511</v>
      </c>
      <c r="J1063" t="s">
        <v>424</v>
      </c>
    </row>
    <row r="1064" spans="1:10" ht="15" customHeight="1" x14ac:dyDescent="0.25">
      <c r="A1064" s="82">
        <v>43339</v>
      </c>
      <c r="B1064" t="s">
        <v>425</v>
      </c>
      <c r="C1064" t="s">
        <v>426</v>
      </c>
      <c r="D1064" t="s">
        <v>428</v>
      </c>
      <c r="E1064" t="s">
        <v>455</v>
      </c>
      <c r="F1064" t="s">
        <v>427</v>
      </c>
      <c r="G1064" t="s">
        <v>421</v>
      </c>
      <c r="H1064" t="s">
        <v>509</v>
      </c>
      <c r="I1064" t="s">
        <v>511</v>
      </c>
      <c r="J1064" t="s">
        <v>424</v>
      </c>
    </row>
    <row r="1065" spans="1:10" ht="15" customHeight="1" x14ac:dyDescent="0.25">
      <c r="A1065" s="82">
        <v>43340</v>
      </c>
      <c r="B1065" t="s">
        <v>425</v>
      </c>
      <c r="C1065" t="s">
        <v>426</v>
      </c>
      <c r="D1065" t="s">
        <v>428</v>
      </c>
      <c r="E1065" t="s">
        <v>421</v>
      </c>
      <c r="F1065" t="s">
        <v>455</v>
      </c>
      <c r="G1065" t="s">
        <v>427</v>
      </c>
      <c r="H1065" t="s">
        <v>509</v>
      </c>
      <c r="I1065" t="s">
        <v>511</v>
      </c>
      <c r="J1065" t="s">
        <v>424</v>
      </c>
    </row>
    <row r="1066" spans="1:10" ht="15" customHeight="1" x14ac:dyDescent="0.25">
      <c r="A1066" s="82">
        <v>43341</v>
      </c>
      <c r="B1066" t="s">
        <v>425</v>
      </c>
      <c r="C1066" t="s">
        <v>426</v>
      </c>
      <c r="D1066" t="s">
        <v>428</v>
      </c>
      <c r="E1066" t="s">
        <v>421</v>
      </c>
      <c r="F1066" t="s">
        <v>427</v>
      </c>
      <c r="G1066" t="s">
        <v>455</v>
      </c>
      <c r="H1066" t="s">
        <v>509</v>
      </c>
      <c r="I1066" t="s">
        <v>511</v>
      </c>
      <c r="J1066" t="s">
        <v>424</v>
      </c>
    </row>
    <row r="1067" spans="1:10" ht="15" customHeight="1" x14ac:dyDescent="0.25">
      <c r="A1067" s="82">
        <v>43342</v>
      </c>
      <c r="B1067" t="s">
        <v>425</v>
      </c>
      <c r="C1067" t="s">
        <v>426</v>
      </c>
      <c r="D1067" t="s">
        <v>428</v>
      </c>
      <c r="E1067" t="s">
        <v>427</v>
      </c>
      <c r="F1067" t="s">
        <v>455</v>
      </c>
      <c r="G1067" t="s">
        <v>509</v>
      </c>
      <c r="H1067" t="s">
        <v>509</v>
      </c>
      <c r="I1067" t="s">
        <v>511</v>
      </c>
      <c r="J1067" t="s">
        <v>424</v>
      </c>
    </row>
    <row r="1068" spans="1:10" ht="15" customHeight="1" x14ac:dyDescent="0.25">
      <c r="A1068" s="82">
        <v>43343</v>
      </c>
      <c r="B1068" t="s">
        <v>425</v>
      </c>
      <c r="C1068" t="s">
        <v>421</v>
      </c>
      <c r="D1068" t="s">
        <v>427</v>
      </c>
      <c r="E1068" t="s">
        <v>455</v>
      </c>
      <c r="F1068" t="s">
        <v>429</v>
      </c>
      <c r="G1068" t="s">
        <v>509</v>
      </c>
      <c r="H1068" t="s">
        <v>509</v>
      </c>
      <c r="I1068" t="s">
        <v>512</v>
      </c>
      <c r="J1068" t="s">
        <v>425</v>
      </c>
    </row>
    <row r="1069" spans="1:10" ht="15" customHeight="1" x14ac:dyDescent="0.25">
      <c r="A1069" s="82">
        <v>43344</v>
      </c>
      <c r="B1069" t="s">
        <v>421</v>
      </c>
      <c r="C1069" t="s">
        <v>427</v>
      </c>
      <c r="D1069" t="s">
        <v>455</v>
      </c>
      <c r="E1069" t="s">
        <v>424</v>
      </c>
      <c r="F1069" t="s">
        <v>429</v>
      </c>
      <c r="G1069" t="s">
        <v>509</v>
      </c>
      <c r="H1069" t="s">
        <v>428</v>
      </c>
      <c r="I1069" t="s">
        <v>426</v>
      </c>
      <c r="J1069" t="s">
        <v>425</v>
      </c>
    </row>
    <row r="1070" spans="1:10" ht="15" customHeight="1" x14ac:dyDescent="0.25">
      <c r="A1070" s="82">
        <v>43345</v>
      </c>
      <c r="B1070" t="s">
        <v>421</v>
      </c>
      <c r="C1070" t="s">
        <v>455</v>
      </c>
      <c r="D1070" t="s">
        <v>427</v>
      </c>
      <c r="E1070" t="s">
        <v>424</v>
      </c>
      <c r="F1070" t="s">
        <v>429</v>
      </c>
      <c r="G1070" t="s">
        <v>509</v>
      </c>
      <c r="H1070" t="s">
        <v>428</v>
      </c>
      <c r="I1070" t="s">
        <v>426</v>
      </c>
      <c r="J1070" t="s">
        <v>425</v>
      </c>
    </row>
    <row r="1071" spans="1:10" ht="15" customHeight="1" x14ac:dyDescent="0.25">
      <c r="A1071" s="82">
        <v>43346</v>
      </c>
      <c r="B1071" t="s">
        <v>427</v>
      </c>
      <c r="C1071" t="s">
        <v>421</v>
      </c>
      <c r="D1071" t="s">
        <v>455</v>
      </c>
      <c r="E1071" t="s">
        <v>424</v>
      </c>
      <c r="F1071" t="s">
        <v>429</v>
      </c>
      <c r="G1071" t="s">
        <v>509</v>
      </c>
      <c r="H1071" t="s">
        <v>428</v>
      </c>
      <c r="I1071" t="s">
        <v>426</v>
      </c>
      <c r="J1071" t="s">
        <v>425</v>
      </c>
    </row>
    <row r="1072" spans="1:10" ht="15" customHeight="1" x14ac:dyDescent="0.25">
      <c r="A1072" s="82">
        <v>43347</v>
      </c>
      <c r="B1072" t="s">
        <v>455</v>
      </c>
      <c r="C1072" t="s">
        <v>427</v>
      </c>
      <c r="D1072" t="s">
        <v>421</v>
      </c>
      <c r="E1072" t="s">
        <v>424</v>
      </c>
      <c r="F1072" t="s">
        <v>429</v>
      </c>
      <c r="G1072" t="s">
        <v>509</v>
      </c>
      <c r="H1072" t="s">
        <v>428</v>
      </c>
      <c r="I1072" t="s">
        <v>426</v>
      </c>
      <c r="J1072" t="s">
        <v>425</v>
      </c>
    </row>
    <row r="1073" spans="1:10" ht="15" customHeight="1" x14ac:dyDescent="0.25">
      <c r="A1073" s="82">
        <v>43348</v>
      </c>
      <c r="B1073" t="s">
        <v>427</v>
      </c>
      <c r="C1073" t="s">
        <v>455</v>
      </c>
      <c r="D1073" t="s">
        <v>421</v>
      </c>
      <c r="E1073" t="s">
        <v>424</v>
      </c>
      <c r="F1073" t="s">
        <v>429</v>
      </c>
      <c r="G1073" t="s">
        <v>509</v>
      </c>
      <c r="H1073" t="s">
        <v>428</v>
      </c>
      <c r="I1073" t="s">
        <v>426</v>
      </c>
      <c r="J1073" t="s">
        <v>425</v>
      </c>
    </row>
    <row r="1074" spans="1:10" ht="15" customHeight="1" x14ac:dyDescent="0.25">
      <c r="A1074" s="82">
        <v>43349</v>
      </c>
      <c r="B1074" t="s">
        <v>455</v>
      </c>
      <c r="C1074" t="s">
        <v>509</v>
      </c>
      <c r="D1074" t="s">
        <v>427</v>
      </c>
      <c r="E1074" t="s">
        <v>424</v>
      </c>
      <c r="F1074" t="s">
        <v>429</v>
      </c>
      <c r="G1074" t="s">
        <v>509</v>
      </c>
      <c r="H1074" t="s">
        <v>428</v>
      </c>
      <c r="I1074" t="s">
        <v>426</v>
      </c>
      <c r="J1074" t="s">
        <v>425</v>
      </c>
    </row>
    <row r="1075" spans="1:10" ht="15" customHeight="1" x14ac:dyDescent="0.25">
      <c r="A1075" s="82">
        <v>43350</v>
      </c>
      <c r="B1075" t="s">
        <v>429</v>
      </c>
      <c r="C1075" t="s">
        <v>509</v>
      </c>
      <c r="D1075" t="s">
        <v>455</v>
      </c>
      <c r="E1075" t="s">
        <v>425</v>
      </c>
      <c r="F1075" t="s">
        <v>426</v>
      </c>
      <c r="G1075" t="s">
        <v>509</v>
      </c>
      <c r="H1075" t="s">
        <v>427</v>
      </c>
      <c r="I1075" t="s">
        <v>421</v>
      </c>
      <c r="J1075" t="s">
        <v>425</v>
      </c>
    </row>
    <row r="1076" spans="1:10" ht="15" customHeight="1" x14ac:dyDescent="0.25">
      <c r="A1076" s="82">
        <v>43351</v>
      </c>
      <c r="B1076" t="s">
        <v>429</v>
      </c>
      <c r="C1076" t="s">
        <v>509</v>
      </c>
      <c r="D1076" t="s">
        <v>424</v>
      </c>
      <c r="E1076" t="s">
        <v>425</v>
      </c>
      <c r="F1076" t="s">
        <v>426</v>
      </c>
      <c r="G1076" t="s">
        <v>428</v>
      </c>
      <c r="H1076" t="s">
        <v>455</v>
      </c>
      <c r="I1076" t="s">
        <v>427</v>
      </c>
      <c r="J1076" t="s">
        <v>421</v>
      </c>
    </row>
    <row r="1077" spans="1:10" ht="15" customHeight="1" x14ac:dyDescent="0.25">
      <c r="A1077" s="82">
        <v>43352</v>
      </c>
      <c r="B1077" t="s">
        <v>429</v>
      </c>
      <c r="C1077" t="s">
        <v>509</v>
      </c>
      <c r="D1077" t="s">
        <v>424</v>
      </c>
      <c r="E1077" t="s">
        <v>425</v>
      </c>
      <c r="F1077" t="s">
        <v>426</v>
      </c>
      <c r="G1077" t="s">
        <v>428</v>
      </c>
      <c r="H1077" t="s">
        <v>427</v>
      </c>
      <c r="I1077" t="s">
        <v>455</v>
      </c>
      <c r="J1077" t="s">
        <v>421</v>
      </c>
    </row>
    <row r="1078" spans="1:10" ht="15" customHeight="1" x14ac:dyDescent="0.25">
      <c r="A1078" s="82">
        <v>43353</v>
      </c>
      <c r="B1078" t="s">
        <v>429</v>
      </c>
      <c r="C1078" t="s">
        <v>509</v>
      </c>
      <c r="D1078" t="s">
        <v>424</v>
      </c>
      <c r="E1078" t="s">
        <v>425</v>
      </c>
      <c r="F1078" t="s">
        <v>426</v>
      </c>
      <c r="G1078" t="s">
        <v>428</v>
      </c>
      <c r="H1078" t="s">
        <v>455</v>
      </c>
      <c r="I1078" t="s">
        <v>421</v>
      </c>
      <c r="J1078" t="s">
        <v>427</v>
      </c>
    </row>
    <row r="1079" spans="1:10" ht="15" customHeight="1" x14ac:dyDescent="0.25">
      <c r="A1079" s="82">
        <v>43354</v>
      </c>
      <c r="B1079" t="s">
        <v>429</v>
      </c>
      <c r="C1079" t="s">
        <v>509</v>
      </c>
      <c r="D1079" t="s">
        <v>424</v>
      </c>
      <c r="E1079" t="s">
        <v>425</v>
      </c>
      <c r="F1079" t="s">
        <v>426</v>
      </c>
      <c r="G1079" t="s">
        <v>428</v>
      </c>
      <c r="H1079" t="s">
        <v>421</v>
      </c>
      <c r="I1079" t="s">
        <v>427</v>
      </c>
      <c r="J1079" t="s">
        <v>455</v>
      </c>
    </row>
    <row r="1080" spans="1:10" ht="15" customHeight="1" x14ac:dyDescent="0.25">
      <c r="A1080" s="82">
        <v>43355</v>
      </c>
      <c r="B1080" t="s">
        <v>429</v>
      </c>
      <c r="C1080" t="s">
        <v>509</v>
      </c>
      <c r="D1080" t="s">
        <v>424</v>
      </c>
      <c r="E1080" t="s">
        <v>425</v>
      </c>
      <c r="F1080" t="s">
        <v>426</v>
      </c>
      <c r="G1080" t="s">
        <v>428</v>
      </c>
      <c r="H1080" t="s">
        <v>421</v>
      </c>
      <c r="I1080" t="s">
        <v>455</v>
      </c>
      <c r="J1080" t="s">
        <v>427</v>
      </c>
    </row>
    <row r="1081" spans="1:10" ht="15" customHeight="1" x14ac:dyDescent="0.25">
      <c r="A1081" s="82">
        <v>43356</v>
      </c>
      <c r="B1081" t="s">
        <v>429</v>
      </c>
      <c r="C1081" t="s">
        <v>509</v>
      </c>
      <c r="D1081" t="s">
        <v>424</v>
      </c>
      <c r="E1081" t="s">
        <v>425</v>
      </c>
      <c r="F1081" t="s">
        <v>426</v>
      </c>
      <c r="G1081" t="s">
        <v>428</v>
      </c>
      <c r="H1081" t="s">
        <v>427</v>
      </c>
      <c r="I1081" t="s">
        <v>509</v>
      </c>
      <c r="J1081" t="s">
        <v>455</v>
      </c>
    </row>
    <row r="1082" spans="1:10" ht="15" customHeight="1" x14ac:dyDescent="0.25">
      <c r="A1082" s="82">
        <v>43357</v>
      </c>
      <c r="B1082" t="s">
        <v>426</v>
      </c>
      <c r="C1082" t="s">
        <v>509</v>
      </c>
      <c r="D1082" t="s">
        <v>425</v>
      </c>
      <c r="E1082" t="s">
        <v>425</v>
      </c>
      <c r="F1082" t="s">
        <v>421</v>
      </c>
      <c r="G1082" t="s">
        <v>427</v>
      </c>
      <c r="H1082" t="s">
        <v>455</v>
      </c>
      <c r="I1082" t="s">
        <v>509</v>
      </c>
      <c r="J1082" t="s">
        <v>429</v>
      </c>
    </row>
    <row r="1083" spans="1:10" ht="15" customHeight="1" x14ac:dyDescent="0.25">
      <c r="A1083" s="82">
        <v>43358</v>
      </c>
      <c r="B1083" t="s">
        <v>426</v>
      </c>
      <c r="C1083" t="s">
        <v>428</v>
      </c>
      <c r="D1083" t="s">
        <v>425</v>
      </c>
      <c r="E1083" t="s">
        <v>421</v>
      </c>
      <c r="F1083" t="s">
        <v>427</v>
      </c>
      <c r="G1083" t="s">
        <v>455</v>
      </c>
      <c r="H1083" t="s">
        <v>424</v>
      </c>
      <c r="I1083" t="s">
        <v>509</v>
      </c>
      <c r="J1083" t="s">
        <v>429</v>
      </c>
    </row>
    <row r="1084" spans="1:10" ht="15" customHeight="1" x14ac:dyDescent="0.25">
      <c r="A1084" s="82">
        <v>43359</v>
      </c>
      <c r="B1084" t="s">
        <v>426</v>
      </c>
      <c r="C1084" t="s">
        <v>428</v>
      </c>
      <c r="D1084" t="s">
        <v>425</v>
      </c>
      <c r="E1084" t="s">
        <v>421</v>
      </c>
      <c r="F1084" t="s">
        <v>455</v>
      </c>
      <c r="G1084" t="s">
        <v>427</v>
      </c>
      <c r="H1084" t="s">
        <v>424</v>
      </c>
      <c r="I1084" t="s">
        <v>509</v>
      </c>
      <c r="J1084" t="s">
        <v>429</v>
      </c>
    </row>
    <row r="1085" spans="1:10" ht="15" customHeight="1" x14ac:dyDescent="0.25">
      <c r="A1085" s="82">
        <v>43360</v>
      </c>
      <c r="B1085" t="s">
        <v>426</v>
      </c>
      <c r="C1085" t="s">
        <v>428</v>
      </c>
      <c r="D1085" t="s">
        <v>425</v>
      </c>
      <c r="E1085" t="s">
        <v>427</v>
      </c>
      <c r="F1085" t="s">
        <v>421</v>
      </c>
      <c r="G1085" t="s">
        <v>455</v>
      </c>
      <c r="H1085" t="s">
        <v>424</v>
      </c>
      <c r="I1085" t="s">
        <v>509</v>
      </c>
      <c r="J1085" t="s">
        <v>429</v>
      </c>
    </row>
    <row r="1086" spans="1:10" ht="15" customHeight="1" x14ac:dyDescent="0.25">
      <c r="A1086" s="82">
        <v>43361</v>
      </c>
      <c r="B1086" t="s">
        <v>426</v>
      </c>
      <c r="C1086" t="s">
        <v>428</v>
      </c>
      <c r="D1086" t="s">
        <v>425</v>
      </c>
      <c r="E1086" t="s">
        <v>455</v>
      </c>
      <c r="F1086" t="s">
        <v>427</v>
      </c>
      <c r="G1086" t="s">
        <v>421</v>
      </c>
      <c r="H1086" t="s">
        <v>424</v>
      </c>
      <c r="I1086" t="s">
        <v>509</v>
      </c>
      <c r="J1086" t="s">
        <v>429</v>
      </c>
    </row>
    <row r="1087" spans="1:10" ht="15" customHeight="1" x14ac:dyDescent="0.25">
      <c r="A1087" s="82">
        <v>43362</v>
      </c>
      <c r="B1087" t="s">
        <v>426</v>
      </c>
      <c r="C1087" t="s">
        <v>428</v>
      </c>
      <c r="D1087" t="s">
        <v>425</v>
      </c>
      <c r="E1087" t="s">
        <v>427</v>
      </c>
      <c r="F1087" t="s">
        <v>455</v>
      </c>
      <c r="G1087" t="s">
        <v>421</v>
      </c>
      <c r="H1087" t="s">
        <v>424</v>
      </c>
      <c r="I1087" t="s">
        <v>509</v>
      </c>
      <c r="J1087" t="s">
        <v>429</v>
      </c>
    </row>
    <row r="1088" spans="1:10" ht="15" customHeight="1" x14ac:dyDescent="0.25">
      <c r="A1088" s="82">
        <v>43363</v>
      </c>
      <c r="B1088" t="s">
        <v>426</v>
      </c>
      <c r="C1088" t="s">
        <v>428</v>
      </c>
      <c r="D1088" t="s">
        <v>425</v>
      </c>
      <c r="E1088" t="s">
        <v>455</v>
      </c>
      <c r="F1088" t="s">
        <v>509</v>
      </c>
      <c r="G1088" t="s">
        <v>427</v>
      </c>
      <c r="H1088" t="s">
        <v>424</v>
      </c>
      <c r="I1088" t="s">
        <v>509</v>
      </c>
      <c r="J1088" t="s">
        <v>429</v>
      </c>
    </row>
    <row r="1089" spans="1:10" ht="15" customHeight="1" x14ac:dyDescent="0.25">
      <c r="A1089" s="82">
        <v>43364</v>
      </c>
      <c r="B1089" t="s">
        <v>421</v>
      </c>
      <c r="C1089" t="s">
        <v>427</v>
      </c>
      <c r="D1089" t="s">
        <v>425</v>
      </c>
      <c r="E1089" t="s">
        <v>429</v>
      </c>
      <c r="F1089" t="s">
        <v>509</v>
      </c>
      <c r="G1089" t="s">
        <v>455</v>
      </c>
      <c r="H1089" t="s">
        <v>425</v>
      </c>
      <c r="I1089" t="s">
        <v>428</v>
      </c>
      <c r="J1089" t="s">
        <v>426</v>
      </c>
    </row>
    <row r="1090" spans="1:10" ht="15" customHeight="1" x14ac:dyDescent="0.25">
      <c r="A1090" s="82">
        <v>43365</v>
      </c>
      <c r="B1090" t="s">
        <v>427</v>
      </c>
      <c r="C1090" t="s">
        <v>455</v>
      </c>
      <c r="D1090" t="s">
        <v>421</v>
      </c>
      <c r="E1090" t="s">
        <v>429</v>
      </c>
      <c r="F1090" t="s">
        <v>509</v>
      </c>
      <c r="G1090" t="s">
        <v>424</v>
      </c>
      <c r="H1090" t="s">
        <v>425</v>
      </c>
      <c r="I1090" t="s">
        <v>428</v>
      </c>
      <c r="J1090" t="s">
        <v>426</v>
      </c>
    </row>
    <row r="1091" spans="1:10" ht="15" customHeight="1" x14ac:dyDescent="0.25">
      <c r="A1091" s="82">
        <v>43366</v>
      </c>
      <c r="B1091" t="s">
        <v>455</v>
      </c>
      <c r="C1091" t="s">
        <v>427</v>
      </c>
      <c r="D1091" t="s">
        <v>421</v>
      </c>
      <c r="E1091" t="s">
        <v>429</v>
      </c>
      <c r="F1091" t="s">
        <v>509</v>
      </c>
      <c r="G1091" t="s">
        <v>424</v>
      </c>
      <c r="H1091" t="s">
        <v>425</v>
      </c>
      <c r="I1091" t="s">
        <v>428</v>
      </c>
      <c r="J1091" t="s">
        <v>426</v>
      </c>
    </row>
    <row r="1092" spans="1:10" ht="15" customHeight="1" x14ac:dyDescent="0.25">
      <c r="A1092" s="82">
        <v>43367</v>
      </c>
      <c r="B1092" t="s">
        <v>421</v>
      </c>
      <c r="C1092" t="s">
        <v>455</v>
      </c>
      <c r="D1092" t="s">
        <v>427</v>
      </c>
      <c r="E1092" t="s">
        <v>429</v>
      </c>
      <c r="F1092" t="s">
        <v>509</v>
      </c>
      <c r="G1092" t="s">
        <v>424</v>
      </c>
      <c r="H1092" t="s">
        <v>425</v>
      </c>
      <c r="I1092" t="s">
        <v>428</v>
      </c>
      <c r="J1092" t="s">
        <v>426</v>
      </c>
    </row>
    <row r="1093" spans="1:10" ht="15" customHeight="1" x14ac:dyDescent="0.25">
      <c r="A1093" s="82">
        <v>43368</v>
      </c>
      <c r="B1093" t="s">
        <v>427</v>
      </c>
      <c r="C1093" t="s">
        <v>421</v>
      </c>
      <c r="D1093" t="s">
        <v>455</v>
      </c>
      <c r="E1093" t="s">
        <v>429</v>
      </c>
      <c r="F1093" t="s">
        <v>509</v>
      </c>
      <c r="G1093" t="s">
        <v>424</v>
      </c>
      <c r="H1093" t="s">
        <v>425</v>
      </c>
      <c r="I1093" t="s">
        <v>428</v>
      </c>
      <c r="J1093" t="s">
        <v>426</v>
      </c>
    </row>
    <row r="1094" spans="1:10" ht="15" customHeight="1" x14ac:dyDescent="0.25">
      <c r="A1094" s="82">
        <v>43369</v>
      </c>
      <c r="B1094" t="s">
        <v>455</v>
      </c>
      <c r="C1094" t="s">
        <v>421</v>
      </c>
      <c r="D1094" t="s">
        <v>427</v>
      </c>
      <c r="E1094" t="s">
        <v>429</v>
      </c>
      <c r="F1094" t="s">
        <v>509</v>
      </c>
      <c r="G1094" t="s">
        <v>424</v>
      </c>
      <c r="H1094" t="s">
        <v>425</v>
      </c>
      <c r="I1094" t="s">
        <v>428</v>
      </c>
      <c r="J1094" t="s">
        <v>426</v>
      </c>
    </row>
    <row r="1095" spans="1:10" ht="15" customHeight="1" x14ac:dyDescent="0.25">
      <c r="A1095" s="82">
        <v>43370</v>
      </c>
      <c r="B1095" t="s">
        <v>509</v>
      </c>
      <c r="C1095" t="s">
        <v>427</v>
      </c>
      <c r="D1095" t="s">
        <v>455</v>
      </c>
      <c r="E1095" t="s">
        <v>429</v>
      </c>
      <c r="F1095" t="s">
        <v>509</v>
      </c>
      <c r="G1095" t="s">
        <v>424</v>
      </c>
      <c r="H1095" t="s">
        <v>425</v>
      </c>
      <c r="I1095" t="s">
        <v>428</v>
      </c>
      <c r="J1095" t="s">
        <v>426</v>
      </c>
    </row>
    <row r="1096" spans="1:10" ht="15" customHeight="1" x14ac:dyDescent="0.25">
      <c r="A1096" s="82">
        <v>43371</v>
      </c>
      <c r="B1096" t="s">
        <v>509</v>
      </c>
      <c r="C1096" t="s">
        <v>455</v>
      </c>
      <c r="D1096" t="s">
        <v>429</v>
      </c>
      <c r="E1096" t="s">
        <v>426</v>
      </c>
      <c r="F1096" t="s">
        <v>428</v>
      </c>
      <c r="G1096" t="s">
        <v>425</v>
      </c>
      <c r="H1096" t="s">
        <v>425</v>
      </c>
      <c r="I1096" t="s">
        <v>427</v>
      </c>
      <c r="J1096" t="s">
        <v>421</v>
      </c>
    </row>
    <row r="1097" spans="1:10" ht="15" customHeight="1" x14ac:dyDescent="0.25">
      <c r="A1097" s="82">
        <v>43372</v>
      </c>
      <c r="B1097" t="s">
        <v>509</v>
      </c>
      <c r="C1097" t="s">
        <v>424</v>
      </c>
      <c r="D1097" t="s">
        <v>429</v>
      </c>
      <c r="E1097" t="s">
        <v>426</v>
      </c>
      <c r="F1097" t="s">
        <v>428</v>
      </c>
      <c r="G1097" t="s">
        <v>425</v>
      </c>
      <c r="H1097" t="s">
        <v>421</v>
      </c>
      <c r="I1097" t="s">
        <v>455</v>
      </c>
      <c r="J1097" t="s">
        <v>427</v>
      </c>
    </row>
    <row r="1098" spans="1:10" ht="15" customHeight="1" x14ac:dyDescent="0.25">
      <c r="A1098" s="82">
        <v>43373</v>
      </c>
      <c r="B1098" t="s">
        <v>509</v>
      </c>
      <c r="C1098" t="s">
        <v>424</v>
      </c>
      <c r="D1098" t="s">
        <v>429</v>
      </c>
      <c r="E1098" t="s">
        <v>426</v>
      </c>
      <c r="F1098" t="s">
        <v>428</v>
      </c>
      <c r="G1098" t="s">
        <v>425</v>
      </c>
      <c r="H1098" t="s">
        <v>421</v>
      </c>
      <c r="I1098" t="s">
        <v>427</v>
      </c>
      <c r="J1098" t="s">
        <v>455</v>
      </c>
    </row>
    <row r="1099" spans="1:10" ht="15" customHeight="1" x14ac:dyDescent="0.25">
      <c r="A1099" s="82">
        <v>43374</v>
      </c>
      <c r="B1099" t="s">
        <v>430</v>
      </c>
      <c r="C1099" t="s">
        <v>424</v>
      </c>
      <c r="D1099" t="s">
        <v>429</v>
      </c>
      <c r="E1099" t="s">
        <v>426</v>
      </c>
      <c r="F1099" t="s">
        <v>428</v>
      </c>
      <c r="G1099" t="s">
        <v>425</v>
      </c>
      <c r="H1099" t="s">
        <v>427</v>
      </c>
      <c r="I1099" t="s">
        <v>455</v>
      </c>
      <c r="J1099" t="s">
        <v>421</v>
      </c>
    </row>
    <row r="1100" spans="1:10" ht="15" customHeight="1" x14ac:dyDescent="0.25">
      <c r="A1100" s="82">
        <v>43375</v>
      </c>
      <c r="B1100" t="s">
        <v>430</v>
      </c>
      <c r="C1100" t="s">
        <v>424</v>
      </c>
      <c r="D1100" t="s">
        <v>429</v>
      </c>
      <c r="E1100" t="s">
        <v>426</v>
      </c>
      <c r="F1100" t="s">
        <v>428</v>
      </c>
      <c r="G1100" t="s">
        <v>425</v>
      </c>
      <c r="H1100" t="s">
        <v>455</v>
      </c>
      <c r="I1100" t="s">
        <v>421</v>
      </c>
      <c r="J1100" t="s">
        <v>427</v>
      </c>
    </row>
    <row r="1101" spans="1:10" ht="15" customHeight="1" x14ac:dyDescent="0.25">
      <c r="A1101" s="82">
        <v>43376</v>
      </c>
      <c r="B1101" t="s">
        <v>430</v>
      </c>
      <c r="C1101" t="s">
        <v>424</v>
      </c>
      <c r="D1101" t="s">
        <v>429</v>
      </c>
      <c r="E1101" t="s">
        <v>426</v>
      </c>
      <c r="F1101" t="s">
        <v>428</v>
      </c>
      <c r="G1101" t="s">
        <v>425</v>
      </c>
      <c r="H1101" t="s">
        <v>427</v>
      </c>
      <c r="I1101" t="s">
        <v>421</v>
      </c>
      <c r="J1101" t="s">
        <v>455</v>
      </c>
    </row>
    <row r="1102" spans="1:10" ht="15" customHeight="1" x14ac:dyDescent="0.25">
      <c r="A1102" s="82">
        <v>43377</v>
      </c>
      <c r="B1102" t="s">
        <v>430</v>
      </c>
      <c r="C1102" t="s">
        <v>424</v>
      </c>
      <c r="D1102" t="s">
        <v>429</v>
      </c>
      <c r="E1102" t="s">
        <v>426</v>
      </c>
      <c r="F1102" t="s">
        <v>428</v>
      </c>
      <c r="G1102" t="s">
        <v>425</v>
      </c>
      <c r="H1102" t="s">
        <v>455</v>
      </c>
      <c r="I1102" t="s">
        <v>427</v>
      </c>
      <c r="J1102" t="s">
        <v>421</v>
      </c>
    </row>
    <row r="1103" spans="1:10" ht="15" customHeight="1" x14ac:dyDescent="0.25">
      <c r="A1103" s="82">
        <v>43378</v>
      </c>
      <c r="B1103" t="s">
        <v>428</v>
      </c>
      <c r="C1103" t="s">
        <v>425</v>
      </c>
      <c r="D1103" t="s">
        <v>426</v>
      </c>
      <c r="E1103" t="s">
        <v>421</v>
      </c>
      <c r="F1103" t="s">
        <v>427</v>
      </c>
      <c r="G1103" t="s">
        <v>425</v>
      </c>
      <c r="H1103" t="s">
        <v>429</v>
      </c>
      <c r="I1103" t="s">
        <v>455</v>
      </c>
      <c r="J1103" t="s">
        <v>430</v>
      </c>
    </row>
    <row r="1104" spans="1:10" ht="15" customHeight="1" x14ac:dyDescent="0.25">
      <c r="A1104" s="82">
        <v>43379</v>
      </c>
      <c r="B1104" t="s">
        <v>428</v>
      </c>
      <c r="C1104" t="s">
        <v>425</v>
      </c>
      <c r="D1104" t="s">
        <v>426</v>
      </c>
      <c r="E1104" t="s">
        <v>427</v>
      </c>
      <c r="F1104" t="s">
        <v>455</v>
      </c>
      <c r="G1104" t="s">
        <v>421</v>
      </c>
      <c r="H1104" t="s">
        <v>429</v>
      </c>
      <c r="I1104" t="s">
        <v>424</v>
      </c>
      <c r="J1104" t="s">
        <v>430</v>
      </c>
    </row>
    <row r="1105" spans="1:10" ht="15" customHeight="1" x14ac:dyDescent="0.25">
      <c r="A1105" s="82">
        <v>43380</v>
      </c>
      <c r="B1105" t="s">
        <v>428</v>
      </c>
      <c r="C1105" t="s">
        <v>425</v>
      </c>
      <c r="D1105" t="s">
        <v>426</v>
      </c>
      <c r="E1105" t="s">
        <v>455</v>
      </c>
      <c r="F1105" t="s">
        <v>427</v>
      </c>
      <c r="G1105" t="s">
        <v>421</v>
      </c>
      <c r="H1105" t="s">
        <v>429</v>
      </c>
      <c r="I1105" t="s">
        <v>424</v>
      </c>
      <c r="J1105" t="s">
        <v>430</v>
      </c>
    </row>
    <row r="1106" spans="1:10" ht="15" customHeight="1" x14ac:dyDescent="0.25">
      <c r="A1106" s="82">
        <v>43381</v>
      </c>
      <c r="B1106" t="s">
        <v>428</v>
      </c>
      <c r="C1106" t="s">
        <v>425</v>
      </c>
      <c r="D1106" t="s">
        <v>426</v>
      </c>
      <c r="E1106" t="s">
        <v>421</v>
      </c>
      <c r="F1106" t="s">
        <v>455</v>
      </c>
      <c r="G1106" t="s">
        <v>427</v>
      </c>
      <c r="H1106" t="s">
        <v>429</v>
      </c>
      <c r="I1106" t="s">
        <v>424</v>
      </c>
      <c r="J1106" t="s">
        <v>430</v>
      </c>
    </row>
    <row r="1107" spans="1:10" ht="15" customHeight="1" x14ac:dyDescent="0.25">
      <c r="A1107" s="82">
        <v>43382</v>
      </c>
      <c r="B1107" t="s">
        <v>428</v>
      </c>
      <c r="C1107" t="s">
        <v>425</v>
      </c>
      <c r="D1107" t="s">
        <v>426</v>
      </c>
      <c r="E1107" t="s">
        <v>427</v>
      </c>
      <c r="F1107" t="s">
        <v>421</v>
      </c>
      <c r="G1107" t="s">
        <v>455</v>
      </c>
      <c r="H1107" t="s">
        <v>429</v>
      </c>
      <c r="I1107" t="s">
        <v>424</v>
      </c>
      <c r="J1107" t="s">
        <v>430</v>
      </c>
    </row>
    <row r="1108" spans="1:10" ht="15" customHeight="1" x14ac:dyDescent="0.25">
      <c r="A1108" s="82">
        <v>43383</v>
      </c>
      <c r="B1108" t="s">
        <v>428</v>
      </c>
      <c r="C1108" t="s">
        <v>425</v>
      </c>
      <c r="D1108" t="s">
        <v>426</v>
      </c>
      <c r="E1108" t="s">
        <v>455</v>
      </c>
      <c r="F1108" t="s">
        <v>421</v>
      </c>
      <c r="G1108" t="s">
        <v>427</v>
      </c>
      <c r="H1108" t="s">
        <v>429</v>
      </c>
      <c r="I1108" t="s">
        <v>424</v>
      </c>
      <c r="J1108" t="s">
        <v>430</v>
      </c>
    </row>
    <row r="1109" spans="1:10" ht="15" customHeight="1" x14ac:dyDescent="0.25">
      <c r="A1109" s="82">
        <v>43384</v>
      </c>
      <c r="B1109" t="s">
        <v>428</v>
      </c>
      <c r="C1109" t="s">
        <v>425</v>
      </c>
      <c r="D1109" t="s">
        <v>426</v>
      </c>
      <c r="E1109" t="s">
        <v>421</v>
      </c>
      <c r="F1109" t="s">
        <v>427</v>
      </c>
      <c r="G1109" t="s">
        <v>455</v>
      </c>
      <c r="H1109" t="s">
        <v>429</v>
      </c>
      <c r="I1109" t="s">
        <v>424</v>
      </c>
      <c r="J1109" t="s">
        <v>430</v>
      </c>
    </row>
    <row r="1110" spans="1:10" ht="15" customHeight="1" x14ac:dyDescent="0.25">
      <c r="A1110" s="82">
        <v>43385</v>
      </c>
      <c r="B1110" t="s">
        <v>427</v>
      </c>
      <c r="C1110" t="s">
        <v>425</v>
      </c>
      <c r="D1110" t="s">
        <v>421</v>
      </c>
      <c r="E1110" t="s">
        <v>430</v>
      </c>
      <c r="F1110" t="s">
        <v>455</v>
      </c>
      <c r="G1110" t="s">
        <v>429</v>
      </c>
      <c r="H1110" t="s">
        <v>426</v>
      </c>
      <c r="I1110" t="s">
        <v>425</v>
      </c>
      <c r="J1110" t="s">
        <v>428</v>
      </c>
    </row>
    <row r="1111" spans="1:10" ht="15" customHeight="1" x14ac:dyDescent="0.25">
      <c r="A1111" s="82">
        <v>43386</v>
      </c>
      <c r="B1111" t="s">
        <v>455</v>
      </c>
      <c r="C1111" t="s">
        <v>421</v>
      </c>
      <c r="D1111" t="s">
        <v>427</v>
      </c>
      <c r="E1111" t="s">
        <v>430</v>
      </c>
      <c r="F1111" t="s">
        <v>424</v>
      </c>
      <c r="G1111" t="s">
        <v>429</v>
      </c>
      <c r="H1111" t="s">
        <v>426</v>
      </c>
      <c r="I1111" t="s">
        <v>425</v>
      </c>
      <c r="J1111" t="s">
        <v>428</v>
      </c>
    </row>
    <row r="1112" spans="1:10" ht="15" customHeight="1" x14ac:dyDescent="0.25">
      <c r="A1112" s="82">
        <v>43387</v>
      </c>
      <c r="B1112" t="s">
        <v>427</v>
      </c>
      <c r="C1112" t="s">
        <v>421</v>
      </c>
      <c r="D1112" t="s">
        <v>455</v>
      </c>
      <c r="E1112" t="s">
        <v>430</v>
      </c>
      <c r="F1112" t="s">
        <v>424</v>
      </c>
      <c r="G1112" t="s">
        <v>429</v>
      </c>
      <c r="H1112" t="s">
        <v>426</v>
      </c>
      <c r="I1112" t="s">
        <v>425</v>
      </c>
      <c r="J1112" t="s">
        <v>428</v>
      </c>
    </row>
    <row r="1113" spans="1:10" ht="15" customHeight="1" x14ac:dyDescent="0.25">
      <c r="A1113" s="82">
        <v>43388</v>
      </c>
      <c r="B1113" t="s">
        <v>455</v>
      </c>
      <c r="C1113" t="s">
        <v>427</v>
      </c>
      <c r="D1113" t="s">
        <v>421</v>
      </c>
      <c r="E1113" t="s">
        <v>430</v>
      </c>
      <c r="F1113" t="s">
        <v>424</v>
      </c>
      <c r="G1113" t="s">
        <v>429</v>
      </c>
      <c r="H1113" t="s">
        <v>426</v>
      </c>
      <c r="I1113" t="s">
        <v>425</v>
      </c>
      <c r="J1113" t="s">
        <v>428</v>
      </c>
    </row>
    <row r="1114" spans="1:10" ht="15" customHeight="1" x14ac:dyDescent="0.25">
      <c r="A1114" s="82">
        <v>43389</v>
      </c>
      <c r="B1114" t="s">
        <v>421</v>
      </c>
      <c r="C1114" t="s">
        <v>455</v>
      </c>
      <c r="D1114" t="s">
        <v>427</v>
      </c>
      <c r="E1114" t="s">
        <v>430</v>
      </c>
      <c r="F1114" t="s">
        <v>424</v>
      </c>
      <c r="G1114" t="s">
        <v>429</v>
      </c>
      <c r="H1114" t="s">
        <v>426</v>
      </c>
      <c r="I1114" t="s">
        <v>425</v>
      </c>
      <c r="J1114" t="s">
        <v>428</v>
      </c>
    </row>
    <row r="1115" spans="1:10" ht="15" customHeight="1" x14ac:dyDescent="0.25">
      <c r="A1115" s="82">
        <v>43390</v>
      </c>
      <c r="B1115" t="s">
        <v>421</v>
      </c>
      <c r="C1115" t="s">
        <v>427</v>
      </c>
      <c r="D1115" t="s">
        <v>455</v>
      </c>
      <c r="E1115" t="s">
        <v>430</v>
      </c>
      <c r="F1115" t="s">
        <v>424</v>
      </c>
      <c r="G1115" t="s">
        <v>429</v>
      </c>
      <c r="H1115" t="s">
        <v>426</v>
      </c>
      <c r="I1115" t="s">
        <v>425</v>
      </c>
      <c r="J1115" t="s">
        <v>428</v>
      </c>
    </row>
    <row r="1116" spans="1:10" ht="15" customHeight="1" x14ac:dyDescent="0.25">
      <c r="A1116" s="82">
        <v>43391</v>
      </c>
      <c r="B1116" t="s">
        <v>427</v>
      </c>
      <c r="C1116" t="s">
        <v>455</v>
      </c>
      <c r="D1116" t="s">
        <v>421</v>
      </c>
      <c r="E1116" t="s">
        <v>430</v>
      </c>
      <c r="F1116" t="s">
        <v>424</v>
      </c>
      <c r="G1116" t="s">
        <v>429</v>
      </c>
      <c r="H1116" t="s">
        <v>426</v>
      </c>
      <c r="I1116" t="s">
        <v>425</v>
      </c>
      <c r="J1116" t="s">
        <v>428</v>
      </c>
    </row>
    <row r="1117" spans="1:10" ht="15" customHeight="1" x14ac:dyDescent="0.25">
      <c r="A1117" s="82">
        <v>43392</v>
      </c>
      <c r="B1117" t="s">
        <v>455</v>
      </c>
      <c r="C1117" t="s">
        <v>429</v>
      </c>
      <c r="D1117" t="s">
        <v>430</v>
      </c>
      <c r="E1117" t="s">
        <v>428</v>
      </c>
      <c r="F1117" t="s">
        <v>425</v>
      </c>
      <c r="G1117" t="s">
        <v>426</v>
      </c>
      <c r="H1117" t="s">
        <v>421</v>
      </c>
      <c r="I1117" t="s">
        <v>425</v>
      </c>
      <c r="J1117" t="s">
        <v>427</v>
      </c>
    </row>
    <row r="1118" spans="1:10" ht="15" customHeight="1" x14ac:dyDescent="0.25">
      <c r="A1118" s="82">
        <v>43393</v>
      </c>
      <c r="B1118" t="s">
        <v>424</v>
      </c>
      <c r="C1118" t="s">
        <v>429</v>
      </c>
      <c r="D1118" t="s">
        <v>430</v>
      </c>
      <c r="E1118" t="s">
        <v>428</v>
      </c>
      <c r="F1118" t="s">
        <v>425</v>
      </c>
      <c r="G1118" t="s">
        <v>426</v>
      </c>
      <c r="H1118" t="s">
        <v>427</v>
      </c>
      <c r="I1118" t="s">
        <v>421</v>
      </c>
      <c r="J1118" t="s">
        <v>455</v>
      </c>
    </row>
    <row r="1119" spans="1:10" ht="15" customHeight="1" x14ac:dyDescent="0.25">
      <c r="A1119" s="82">
        <v>43394</v>
      </c>
      <c r="B1119" t="s">
        <v>424</v>
      </c>
      <c r="C1119" t="s">
        <v>429</v>
      </c>
      <c r="D1119" t="s">
        <v>430</v>
      </c>
      <c r="E1119" t="s">
        <v>428</v>
      </c>
      <c r="F1119" t="s">
        <v>425</v>
      </c>
      <c r="G1119" t="s">
        <v>426</v>
      </c>
      <c r="H1119" t="s">
        <v>455</v>
      </c>
      <c r="I1119" t="s">
        <v>421</v>
      </c>
      <c r="J1119" t="s">
        <v>427</v>
      </c>
    </row>
    <row r="1120" spans="1:10" ht="15" customHeight="1" x14ac:dyDescent="0.25">
      <c r="A1120" s="82">
        <v>43395</v>
      </c>
      <c r="B1120" t="s">
        <v>424</v>
      </c>
      <c r="C1120" t="s">
        <v>429</v>
      </c>
      <c r="D1120" t="s">
        <v>430</v>
      </c>
      <c r="E1120" t="s">
        <v>428</v>
      </c>
      <c r="F1120" t="s">
        <v>425</v>
      </c>
      <c r="G1120" t="s">
        <v>426</v>
      </c>
      <c r="H1120" t="s">
        <v>421</v>
      </c>
      <c r="I1120" t="s">
        <v>427</v>
      </c>
      <c r="J1120" t="s">
        <v>455</v>
      </c>
    </row>
    <row r="1121" spans="1:10" ht="15" customHeight="1" x14ac:dyDescent="0.25">
      <c r="A1121" s="82">
        <v>43396</v>
      </c>
      <c r="B1121" t="s">
        <v>424</v>
      </c>
      <c r="C1121" t="s">
        <v>429</v>
      </c>
      <c r="D1121" t="s">
        <v>430</v>
      </c>
      <c r="E1121" t="s">
        <v>428</v>
      </c>
      <c r="F1121" t="s">
        <v>425</v>
      </c>
      <c r="G1121" t="s">
        <v>426</v>
      </c>
      <c r="H1121" t="s">
        <v>427</v>
      </c>
      <c r="I1121" t="s">
        <v>455</v>
      </c>
      <c r="J1121" t="s">
        <v>421</v>
      </c>
    </row>
    <row r="1122" spans="1:10" ht="15" customHeight="1" x14ac:dyDescent="0.25">
      <c r="A1122" s="82">
        <v>43397</v>
      </c>
      <c r="B1122" t="s">
        <v>424</v>
      </c>
      <c r="C1122" t="s">
        <v>429</v>
      </c>
      <c r="D1122" t="s">
        <v>430</v>
      </c>
      <c r="E1122" t="s">
        <v>428</v>
      </c>
      <c r="F1122" t="s">
        <v>425</v>
      </c>
      <c r="G1122" t="s">
        <v>426</v>
      </c>
      <c r="H1122" t="s">
        <v>455</v>
      </c>
      <c r="I1122" t="s">
        <v>427</v>
      </c>
      <c r="J1122" t="s">
        <v>421</v>
      </c>
    </row>
    <row r="1123" spans="1:10" ht="15" customHeight="1" x14ac:dyDescent="0.25">
      <c r="A1123" s="82">
        <v>43398</v>
      </c>
      <c r="B1123" t="s">
        <v>424</v>
      </c>
      <c r="C1123" t="s">
        <v>429</v>
      </c>
      <c r="D1123" t="s">
        <v>430</v>
      </c>
      <c r="E1123" t="s">
        <v>428</v>
      </c>
      <c r="F1123" t="s">
        <v>425</v>
      </c>
      <c r="G1123" t="s">
        <v>426</v>
      </c>
      <c r="H1123" t="s">
        <v>421</v>
      </c>
      <c r="I1123" t="s">
        <v>455</v>
      </c>
      <c r="J1123" t="s">
        <v>427</v>
      </c>
    </row>
    <row r="1124" spans="1:10" ht="15" customHeight="1" x14ac:dyDescent="0.25">
      <c r="A1124" s="82">
        <v>43399</v>
      </c>
      <c r="B1124" t="s">
        <v>425</v>
      </c>
      <c r="C1124" t="s">
        <v>426</v>
      </c>
      <c r="D1124" t="s">
        <v>428</v>
      </c>
      <c r="E1124" t="s">
        <v>427</v>
      </c>
      <c r="F1124" t="s">
        <v>425</v>
      </c>
      <c r="G1124" t="s">
        <v>421</v>
      </c>
      <c r="H1124" t="s">
        <v>430</v>
      </c>
      <c r="I1124" t="s">
        <v>429</v>
      </c>
      <c r="J1124" t="s">
        <v>455</v>
      </c>
    </row>
    <row r="1125" spans="1:10" ht="15" customHeight="1" x14ac:dyDescent="0.25">
      <c r="A1125" s="82">
        <v>43400</v>
      </c>
      <c r="B1125" t="s">
        <v>425</v>
      </c>
      <c r="C1125" t="s">
        <v>426</v>
      </c>
      <c r="D1125" t="s">
        <v>428</v>
      </c>
      <c r="E1125" t="s">
        <v>455</v>
      </c>
      <c r="F1125" t="s">
        <v>421</v>
      </c>
      <c r="G1125" t="s">
        <v>427</v>
      </c>
      <c r="H1125" t="s">
        <v>430</v>
      </c>
      <c r="I1125" t="s">
        <v>429</v>
      </c>
      <c r="J1125" t="s">
        <v>424</v>
      </c>
    </row>
    <row r="1126" spans="1:10" ht="15" customHeight="1" x14ac:dyDescent="0.25">
      <c r="A1126" s="82">
        <v>43401</v>
      </c>
      <c r="B1126" t="s">
        <v>425</v>
      </c>
      <c r="C1126" t="s">
        <v>426</v>
      </c>
      <c r="D1126" t="s">
        <v>428</v>
      </c>
      <c r="E1126" t="s">
        <v>427</v>
      </c>
      <c r="F1126" t="s">
        <v>421</v>
      </c>
      <c r="G1126" t="s">
        <v>455</v>
      </c>
      <c r="H1126" t="s">
        <v>430</v>
      </c>
      <c r="I1126" t="s">
        <v>429</v>
      </c>
      <c r="J1126" t="s">
        <v>424</v>
      </c>
    </row>
    <row r="1127" spans="1:10" ht="15" customHeight="1" x14ac:dyDescent="0.25">
      <c r="A1127" s="82">
        <v>43402</v>
      </c>
      <c r="B1127" t="s">
        <v>425</v>
      </c>
      <c r="C1127" t="s">
        <v>426</v>
      </c>
      <c r="D1127" t="s">
        <v>428</v>
      </c>
      <c r="E1127" t="s">
        <v>455</v>
      </c>
      <c r="F1127" t="s">
        <v>427</v>
      </c>
      <c r="G1127" t="s">
        <v>421</v>
      </c>
      <c r="H1127" t="s">
        <v>430</v>
      </c>
      <c r="I1127" t="s">
        <v>429</v>
      </c>
      <c r="J1127" t="s">
        <v>424</v>
      </c>
    </row>
    <row r="1128" spans="1:10" ht="15" customHeight="1" x14ac:dyDescent="0.25">
      <c r="A1128" s="82">
        <v>43403</v>
      </c>
      <c r="B1128" t="s">
        <v>425</v>
      </c>
      <c r="C1128" t="s">
        <v>426</v>
      </c>
      <c r="D1128" t="s">
        <v>428</v>
      </c>
      <c r="E1128" t="s">
        <v>421</v>
      </c>
      <c r="F1128" t="s">
        <v>455</v>
      </c>
      <c r="G1128" t="s">
        <v>427</v>
      </c>
      <c r="H1128" t="s">
        <v>430</v>
      </c>
      <c r="I1128" t="s">
        <v>429</v>
      </c>
      <c r="J1128" t="s">
        <v>424</v>
      </c>
    </row>
    <row r="1129" spans="1:10" ht="15" customHeight="1" x14ac:dyDescent="0.25">
      <c r="A1129" s="82">
        <v>43404</v>
      </c>
      <c r="B1129" t="s">
        <v>425</v>
      </c>
      <c r="C1129" t="s">
        <v>426</v>
      </c>
      <c r="D1129" t="s">
        <v>428</v>
      </c>
      <c r="E1129" t="s">
        <v>421</v>
      </c>
      <c r="F1129" t="s">
        <v>427</v>
      </c>
      <c r="G1129" t="s">
        <v>455</v>
      </c>
      <c r="H1129" t="s">
        <v>430</v>
      </c>
      <c r="I1129" t="s">
        <v>429</v>
      </c>
      <c r="J1129" t="s">
        <v>424</v>
      </c>
    </row>
    <row r="1130" spans="1:10" ht="15" customHeight="1" x14ac:dyDescent="0.25">
      <c r="A1130" s="82">
        <v>43405</v>
      </c>
      <c r="B1130" t="s">
        <v>425</v>
      </c>
      <c r="C1130" t="s">
        <v>426</v>
      </c>
      <c r="D1130" t="s">
        <v>428</v>
      </c>
      <c r="E1130" t="s">
        <v>427</v>
      </c>
      <c r="F1130" t="s">
        <v>455</v>
      </c>
      <c r="G1130" t="s">
        <v>421</v>
      </c>
      <c r="H1130" t="s">
        <v>430</v>
      </c>
      <c r="I1130" t="s">
        <v>429</v>
      </c>
      <c r="J1130" t="s">
        <v>424</v>
      </c>
    </row>
    <row r="1131" spans="1:10" ht="15" customHeight="1" x14ac:dyDescent="0.25">
      <c r="A1131" s="82">
        <v>43406</v>
      </c>
      <c r="B1131" t="s">
        <v>425</v>
      </c>
      <c r="C1131" t="s">
        <v>421</v>
      </c>
      <c r="D1131" t="s">
        <v>427</v>
      </c>
      <c r="E1131" t="s">
        <v>455</v>
      </c>
      <c r="F1131" t="s">
        <v>429</v>
      </c>
      <c r="G1131" t="s">
        <v>430</v>
      </c>
      <c r="H1131" t="s">
        <v>428</v>
      </c>
      <c r="I1131" t="s">
        <v>426</v>
      </c>
      <c r="J1131" t="s">
        <v>425</v>
      </c>
    </row>
    <row r="1132" spans="1:10" ht="15" customHeight="1" x14ac:dyDescent="0.25">
      <c r="A1132" s="82">
        <v>43407</v>
      </c>
      <c r="B1132" t="s">
        <v>421</v>
      </c>
      <c r="C1132" t="s">
        <v>427</v>
      </c>
      <c r="D1132" t="s">
        <v>455</v>
      </c>
      <c r="E1132" t="s">
        <v>424</v>
      </c>
      <c r="F1132" t="s">
        <v>429</v>
      </c>
      <c r="G1132" t="s">
        <v>430</v>
      </c>
      <c r="H1132" t="s">
        <v>428</v>
      </c>
      <c r="I1132" t="s">
        <v>426</v>
      </c>
      <c r="J1132" t="s">
        <v>425</v>
      </c>
    </row>
    <row r="1133" spans="1:10" ht="15" customHeight="1" x14ac:dyDescent="0.25">
      <c r="A1133" s="82">
        <v>43408</v>
      </c>
      <c r="B1133" t="s">
        <v>421</v>
      </c>
      <c r="C1133" t="s">
        <v>455</v>
      </c>
      <c r="D1133" t="s">
        <v>427</v>
      </c>
      <c r="E1133" t="s">
        <v>424</v>
      </c>
      <c r="F1133" t="s">
        <v>429</v>
      </c>
      <c r="G1133" t="s">
        <v>430</v>
      </c>
      <c r="H1133" t="s">
        <v>428</v>
      </c>
      <c r="I1133" t="s">
        <v>426</v>
      </c>
      <c r="J1133" t="s">
        <v>425</v>
      </c>
    </row>
    <row r="1134" spans="1:10" ht="15" customHeight="1" x14ac:dyDescent="0.25">
      <c r="A1134" s="82">
        <v>43409</v>
      </c>
      <c r="B1134" t="s">
        <v>427</v>
      </c>
      <c r="C1134" t="s">
        <v>421</v>
      </c>
      <c r="D1134" t="s">
        <v>455</v>
      </c>
      <c r="E1134" t="s">
        <v>424</v>
      </c>
      <c r="F1134" t="s">
        <v>429</v>
      </c>
      <c r="G1134" t="s">
        <v>430</v>
      </c>
      <c r="H1134" t="s">
        <v>428</v>
      </c>
      <c r="I1134" t="s">
        <v>426</v>
      </c>
      <c r="J1134" t="s">
        <v>425</v>
      </c>
    </row>
    <row r="1135" spans="1:10" ht="15" customHeight="1" x14ac:dyDescent="0.25">
      <c r="A1135" s="82">
        <v>43410</v>
      </c>
      <c r="B1135" t="s">
        <v>455</v>
      </c>
      <c r="C1135" t="s">
        <v>427</v>
      </c>
      <c r="D1135" t="s">
        <v>421</v>
      </c>
      <c r="E1135" t="s">
        <v>424</v>
      </c>
      <c r="F1135" t="s">
        <v>429</v>
      </c>
      <c r="G1135" t="s">
        <v>430</v>
      </c>
      <c r="H1135" t="s">
        <v>428</v>
      </c>
      <c r="I1135" t="s">
        <v>426</v>
      </c>
      <c r="J1135" t="s">
        <v>425</v>
      </c>
    </row>
    <row r="1136" spans="1:10" ht="15" customHeight="1" x14ac:dyDescent="0.25">
      <c r="A1136" s="82">
        <v>43411</v>
      </c>
      <c r="B1136" t="s">
        <v>427</v>
      </c>
      <c r="C1136" t="s">
        <v>455</v>
      </c>
      <c r="D1136" t="s">
        <v>421</v>
      </c>
      <c r="E1136" t="s">
        <v>424</v>
      </c>
      <c r="F1136" t="s">
        <v>429</v>
      </c>
      <c r="G1136" t="s">
        <v>430</v>
      </c>
      <c r="H1136" t="s">
        <v>428</v>
      </c>
      <c r="I1136" t="s">
        <v>426</v>
      </c>
      <c r="J1136" t="s">
        <v>425</v>
      </c>
    </row>
    <row r="1137" spans="1:10" ht="15" customHeight="1" x14ac:dyDescent="0.25">
      <c r="A1137" s="82">
        <v>43412</v>
      </c>
      <c r="B1137" t="s">
        <v>455</v>
      </c>
      <c r="C1137" t="s">
        <v>421</v>
      </c>
      <c r="D1137" t="s">
        <v>427</v>
      </c>
      <c r="E1137" t="s">
        <v>424</v>
      </c>
      <c r="F1137" t="s">
        <v>429</v>
      </c>
      <c r="G1137" t="s">
        <v>430</v>
      </c>
      <c r="H1137" t="s">
        <v>428</v>
      </c>
      <c r="I1137" t="s">
        <v>426</v>
      </c>
      <c r="J1137" t="s">
        <v>425</v>
      </c>
    </row>
    <row r="1138" spans="1:10" ht="15" customHeight="1" x14ac:dyDescent="0.25">
      <c r="A1138" s="82">
        <v>43413</v>
      </c>
      <c r="B1138" t="s">
        <v>429</v>
      </c>
      <c r="C1138" t="s">
        <v>430</v>
      </c>
      <c r="D1138" t="s">
        <v>455</v>
      </c>
      <c r="E1138" t="s">
        <v>425</v>
      </c>
      <c r="F1138" t="s">
        <v>426</v>
      </c>
      <c r="G1138" t="s">
        <v>428</v>
      </c>
      <c r="H1138" t="s">
        <v>427</v>
      </c>
      <c r="I1138" t="s">
        <v>421</v>
      </c>
      <c r="J1138" t="s">
        <v>425</v>
      </c>
    </row>
    <row r="1139" spans="1:10" ht="15" customHeight="1" x14ac:dyDescent="0.25">
      <c r="A1139" s="82">
        <v>43414</v>
      </c>
      <c r="B1139" t="s">
        <v>429</v>
      </c>
      <c r="C1139" t="s">
        <v>430</v>
      </c>
      <c r="D1139" t="s">
        <v>424</v>
      </c>
      <c r="E1139" t="s">
        <v>425</v>
      </c>
      <c r="F1139" t="s">
        <v>426</v>
      </c>
      <c r="G1139" t="s">
        <v>428</v>
      </c>
      <c r="H1139" t="s">
        <v>455</v>
      </c>
      <c r="I1139" t="s">
        <v>427</v>
      </c>
      <c r="J1139" t="s">
        <v>421</v>
      </c>
    </row>
    <row r="1140" spans="1:10" ht="15" customHeight="1" x14ac:dyDescent="0.25">
      <c r="A1140" s="82">
        <v>43415</v>
      </c>
      <c r="B1140" t="s">
        <v>429</v>
      </c>
      <c r="C1140" t="s">
        <v>430</v>
      </c>
      <c r="D1140" t="s">
        <v>424</v>
      </c>
      <c r="E1140" t="s">
        <v>425</v>
      </c>
      <c r="F1140" t="s">
        <v>426</v>
      </c>
      <c r="G1140" t="s">
        <v>428</v>
      </c>
      <c r="H1140" t="s">
        <v>427</v>
      </c>
      <c r="I1140" t="s">
        <v>455</v>
      </c>
      <c r="J1140" t="s">
        <v>421</v>
      </c>
    </row>
    <row r="1141" spans="1:10" ht="15" customHeight="1" x14ac:dyDescent="0.25">
      <c r="A1141" s="82">
        <v>43416</v>
      </c>
      <c r="B1141" t="s">
        <v>429</v>
      </c>
      <c r="C1141" t="s">
        <v>430</v>
      </c>
      <c r="D1141" t="s">
        <v>424</v>
      </c>
      <c r="E1141" t="s">
        <v>425</v>
      </c>
      <c r="F1141" t="s">
        <v>426</v>
      </c>
      <c r="G1141" t="s">
        <v>428</v>
      </c>
      <c r="H1141" t="s">
        <v>455</v>
      </c>
      <c r="I1141" t="s">
        <v>421</v>
      </c>
      <c r="J1141" t="s">
        <v>427</v>
      </c>
    </row>
    <row r="1142" spans="1:10" ht="15" customHeight="1" x14ac:dyDescent="0.25">
      <c r="A1142" s="82">
        <v>43417</v>
      </c>
      <c r="B1142" t="s">
        <v>429</v>
      </c>
      <c r="C1142" t="s">
        <v>430</v>
      </c>
      <c r="D1142" t="s">
        <v>424</v>
      </c>
      <c r="E1142" t="s">
        <v>425</v>
      </c>
      <c r="F1142" t="s">
        <v>426</v>
      </c>
      <c r="G1142" t="s">
        <v>428</v>
      </c>
      <c r="H1142" t="s">
        <v>421</v>
      </c>
      <c r="I1142" t="s">
        <v>427</v>
      </c>
      <c r="J1142" t="s">
        <v>455</v>
      </c>
    </row>
    <row r="1143" spans="1:10" ht="15" customHeight="1" x14ac:dyDescent="0.25">
      <c r="A1143" s="82">
        <v>43418</v>
      </c>
      <c r="B1143" t="s">
        <v>429</v>
      </c>
      <c r="C1143" t="s">
        <v>430</v>
      </c>
      <c r="D1143" t="s">
        <v>424</v>
      </c>
      <c r="E1143" t="s">
        <v>425</v>
      </c>
      <c r="F1143" t="s">
        <v>426</v>
      </c>
      <c r="G1143" t="s">
        <v>428</v>
      </c>
      <c r="H1143" t="s">
        <v>421</v>
      </c>
      <c r="I1143" t="s">
        <v>455</v>
      </c>
      <c r="J1143" t="s">
        <v>427</v>
      </c>
    </row>
    <row r="1144" spans="1:10" ht="15" customHeight="1" x14ac:dyDescent="0.25">
      <c r="A1144" s="82">
        <v>43419</v>
      </c>
      <c r="B1144" t="s">
        <v>429</v>
      </c>
      <c r="C1144" t="s">
        <v>430</v>
      </c>
      <c r="D1144" t="s">
        <v>424</v>
      </c>
      <c r="E1144" t="s">
        <v>425</v>
      </c>
      <c r="F1144" t="s">
        <v>426</v>
      </c>
      <c r="G1144" t="s">
        <v>428</v>
      </c>
      <c r="H1144" t="s">
        <v>427</v>
      </c>
      <c r="I1144" t="s">
        <v>421</v>
      </c>
      <c r="J1144" t="s">
        <v>455</v>
      </c>
    </row>
    <row r="1145" spans="1:10" ht="15" customHeight="1" x14ac:dyDescent="0.25">
      <c r="A1145" s="82">
        <v>43420</v>
      </c>
      <c r="B1145" t="s">
        <v>426</v>
      </c>
      <c r="C1145" t="s">
        <v>428</v>
      </c>
      <c r="D1145" t="s">
        <v>425</v>
      </c>
      <c r="E1145" t="s">
        <v>425</v>
      </c>
      <c r="F1145" t="s">
        <v>421</v>
      </c>
      <c r="G1145" t="s">
        <v>427</v>
      </c>
      <c r="H1145" t="s">
        <v>455</v>
      </c>
      <c r="I1145" t="s">
        <v>430</v>
      </c>
      <c r="J1145" t="s">
        <v>429</v>
      </c>
    </row>
    <row r="1146" spans="1:10" ht="15" customHeight="1" x14ac:dyDescent="0.25">
      <c r="A1146" s="82">
        <v>43421</v>
      </c>
      <c r="B1146" t="s">
        <v>426</v>
      </c>
      <c r="C1146" t="s">
        <v>428</v>
      </c>
      <c r="D1146" t="s">
        <v>425</v>
      </c>
      <c r="E1146" t="s">
        <v>421</v>
      </c>
      <c r="F1146" t="s">
        <v>427</v>
      </c>
      <c r="G1146" t="s">
        <v>455</v>
      </c>
      <c r="H1146" t="s">
        <v>424</v>
      </c>
      <c r="I1146" t="s">
        <v>430</v>
      </c>
      <c r="J1146" t="s">
        <v>429</v>
      </c>
    </row>
    <row r="1147" spans="1:10" ht="15" customHeight="1" x14ac:dyDescent="0.25">
      <c r="A1147" s="82">
        <v>43422</v>
      </c>
      <c r="B1147" t="s">
        <v>426</v>
      </c>
      <c r="C1147" t="s">
        <v>428</v>
      </c>
      <c r="D1147" t="s">
        <v>425</v>
      </c>
      <c r="E1147" t="s">
        <v>421</v>
      </c>
      <c r="F1147" t="s">
        <v>455</v>
      </c>
      <c r="G1147" t="s">
        <v>427</v>
      </c>
      <c r="H1147" t="s">
        <v>424</v>
      </c>
      <c r="I1147" t="s">
        <v>430</v>
      </c>
      <c r="J1147" t="s">
        <v>429</v>
      </c>
    </row>
    <row r="1148" spans="1:10" ht="15" customHeight="1" x14ac:dyDescent="0.25">
      <c r="A1148" s="82">
        <v>43423</v>
      </c>
      <c r="B1148" t="s">
        <v>426</v>
      </c>
      <c r="C1148" t="s">
        <v>428</v>
      </c>
      <c r="D1148" t="s">
        <v>425</v>
      </c>
      <c r="E1148" t="s">
        <v>427</v>
      </c>
      <c r="F1148" t="s">
        <v>421</v>
      </c>
      <c r="G1148" t="s">
        <v>455</v>
      </c>
      <c r="H1148" t="s">
        <v>424</v>
      </c>
      <c r="I1148" t="s">
        <v>430</v>
      </c>
      <c r="J1148" t="s">
        <v>429</v>
      </c>
    </row>
    <row r="1149" spans="1:10" ht="15" customHeight="1" x14ac:dyDescent="0.25">
      <c r="A1149" s="82">
        <v>43424</v>
      </c>
      <c r="B1149" t="s">
        <v>426</v>
      </c>
      <c r="C1149" t="s">
        <v>428</v>
      </c>
      <c r="D1149" t="s">
        <v>425</v>
      </c>
      <c r="E1149" t="s">
        <v>455</v>
      </c>
      <c r="F1149" t="s">
        <v>427</v>
      </c>
      <c r="G1149" t="s">
        <v>421</v>
      </c>
      <c r="H1149" t="s">
        <v>424</v>
      </c>
      <c r="I1149" t="s">
        <v>430</v>
      </c>
      <c r="J1149" t="s">
        <v>429</v>
      </c>
    </row>
    <row r="1150" spans="1:10" ht="15" customHeight="1" x14ac:dyDescent="0.25">
      <c r="A1150" s="82">
        <v>43425</v>
      </c>
      <c r="B1150" t="s">
        <v>426</v>
      </c>
      <c r="C1150" t="s">
        <v>428</v>
      </c>
      <c r="D1150" t="s">
        <v>425</v>
      </c>
      <c r="E1150" t="s">
        <v>427</v>
      </c>
      <c r="F1150" t="s">
        <v>455</v>
      </c>
      <c r="G1150" t="s">
        <v>421</v>
      </c>
      <c r="H1150" t="s">
        <v>424</v>
      </c>
      <c r="I1150" t="s">
        <v>430</v>
      </c>
      <c r="J1150" t="s">
        <v>429</v>
      </c>
    </row>
    <row r="1151" spans="1:10" ht="15" customHeight="1" x14ac:dyDescent="0.25">
      <c r="A1151" s="82">
        <v>43426</v>
      </c>
      <c r="B1151" t="s">
        <v>426</v>
      </c>
      <c r="C1151" t="s">
        <v>428</v>
      </c>
      <c r="D1151" t="s">
        <v>425</v>
      </c>
      <c r="E1151" t="s">
        <v>455</v>
      </c>
      <c r="F1151" t="s">
        <v>421</v>
      </c>
      <c r="G1151" t="s">
        <v>427</v>
      </c>
      <c r="H1151" t="s">
        <v>424</v>
      </c>
      <c r="I1151" t="s">
        <v>430</v>
      </c>
      <c r="J1151" t="s">
        <v>429</v>
      </c>
    </row>
    <row r="1152" spans="1:10" ht="15" customHeight="1" x14ac:dyDescent="0.25">
      <c r="A1152" s="82">
        <v>43427</v>
      </c>
      <c r="B1152" t="s">
        <v>421</v>
      </c>
      <c r="C1152" t="s">
        <v>427</v>
      </c>
      <c r="D1152" t="s">
        <v>425</v>
      </c>
      <c r="E1152" t="s">
        <v>429</v>
      </c>
      <c r="F1152" t="s">
        <v>430</v>
      </c>
      <c r="G1152" t="s">
        <v>455</v>
      </c>
      <c r="H1152" t="s">
        <v>425</v>
      </c>
      <c r="I1152" t="s">
        <v>428</v>
      </c>
      <c r="J1152" t="s">
        <v>426</v>
      </c>
    </row>
    <row r="1153" spans="1:10" ht="15" customHeight="1" x14ac:dyDescent="0.25">
      <c r="A1153" s="82">
        <v>43428</v>
      </c>
      <c r="B1153" t="s">
        <v>427</v>
      </c>
      <c r="C1153" t="s">
        <v>455</v>
      </c>
      <c r="D1153" t="s">
        <v>421</v>
      </c>
      <c r="E1153" t="s">
        <v>429</v>
      </c>
      <c r="F1153" t="s">
        <v>430</v>
      </c>
      <c r="G1153" t="s">
        <v>424</v>
      </c>
      <c r="H1153" t="s">
        <v>425</v>
      </c>
      <c r="I1153" t="s">
        <v>428</v>
      </c>
      <c r="J1153" t="s">
        <v>426</v>
      </c>
    </row>
    <row r="1154" spans="1:10" ht="15" customHeight="1" x14ac:dyDescent="0.25">
      <c r="A1154" s="82">
        <v>43429</v>
      </c>
      <c r="B1154" t="s">
        <v>455</v>
      </c>
      <c r="C1154" t="s">
        <v>427</v>
      </c>
      <c r="D1154" t="s">
        <v>421</v>
      </c>
      <c r="E1154" t="s">
        <v>429</v>
      </c>
      <c r="F1154" t="s">
        <v>430</v>
      </c>
      <c r="G1154" t="s">
        <v>424</v>
      </c>
      <c r="H1154" t="s">
        <v>425</v>
      </c>
      <c r="I1154" t="s">
        <v>428</v>
      </c>
      <c r="J1154" t="s">
        <v>426</v>
      </c>
    </row>
    <row r="1155" spans="1:10" ht="15" customHeight="1" x14ac:dyDescent="0.25">
      <c r="A1155" s="82">
        <v>43430</v>
      </c>
      <c r="B1155" t="s">
        <v>421</v>
      </c>
      <c r="C1155" t="s">
        <v>455</v>
      </c>
      <c r="D1155" t="s">
        <v>427</v>
      </c>
      <c r="E1155" t="s">
        <v>429</v>
      </c>
      <c r="F1155" t="s">
        <v>430</v>
      </c>
      <c r="G1155" t="s">
        <v>424</v>
      </c>
      <c r="H1155" t="s">
        <v>425</v>
      </c>
      <c r="I1155" t="s">
        <v>428</v>
      </c>
      <c r="J1155" t="s">
        <v>426</v>
      </c>
    </row>
    <row r="1156" spans="1:10" ht="15" customHeight="1" x14ac:dyDescent="0.25">
      <c r="A1156" s="82">
        <v>43431</v>
      </c>
      <c r="B1156" t="s">
        <v>427</v>
      </c>
      <c r="C1156" t="s">
        <v>421</v>
      </c>
      <c r="D1156" t="s">
        <v>455</v>
      </c>
      <c r="E1156" t="s">
        <v>429</v>
      </c>
      <c r="F1156" t="s">
        <v>430</v>
      </c>
      <c r="G1156" t="s">
        <v>424</v>
      </c>
      <c r="H1156" t="s">
        <v>425</v>
      </c>
      <c r="I1156" t="s">
        <v>428</v>
      </c>
      <c r="J1156" t="s">
        <v>426</v>
      </c>
    </row>
    <row r="1157" spans="1:10" ht="15" customHeight="1" x14ac:dyDescent="0.25">
      <c r="A1157" s="82">
        <v>43432</v>
      </c>
      <c r="B1157" t="s">
        <v>455</v>
      </c>
      <c r="C1157" t="s">
        <v>421</v>
      </c>
      <c r="D1157" t="s">
        <v>427</v>
      </c>
      <c r="E1157" t="s">
        <v>429</v>
      </c>
      <c r="F1157" t="s">
        <v>430</v>
      </c>
      <c r="G1157" t="s">
        <v>424</v>
      </c>
      <c r="H1157" t="s">
        <v>425</v>
      </c>
      <c r="I1157" t="s">
        <v>428</v>
      </c>
      <c r="J1157" t="s">
        <v>426</v>
      </c>
    </row>
    <row r="1158" spans="1:10" ht="15" customHeight="1" x14ac:dyDescent="0.25">
      <c r="A1158" s="82">
        <v>43433</v>
      </c>
      <c r="B1158" t="s">
        <v>421</v>
      </c>
      <c r="C1158" t="s">
        <v>427</v>
      </c>
      <c r="D1158" t="s">
        <v>455</v>
      </c>
      <c r="E1158" t="s">
        <v>429</v>
      </c>
      <c r="F1158" t="s">
        <v>430</v>
      </c>
      <c r="G1158" t="s">
        <v>424</v>
      </c>
      <c r="H1158" t="s">
        <v>425</v>
      </c>
      <c r="I1158" t="s">
        <v>428</v>
      </c>
      <c r="J1158" t="s">
        <v>426</v>
      </c>
    </row>
    <row r="1159" spans="1:10" ht="15" customHeight="1" x14ac:dyDescent="0.25">
      <c r="A1159" s="82">
        <v>43434</v>
      </c>
      <c r="B1159" t="s">
        <v>430</v>
      </c>
      <c r="C1159" t="s">
        <v>455</v>
      </c>
      <c r="D1159" t="s">
        <v>429</v>
      </c>
      <c r="E1159" t="s">
        <v>426</v>
      </c>
      <c r="F1159" t="s">
        <v>428</v>
      </c>
      <c r="G1159" t="s">
        <v>425</v>
      </c>
      <c r="H1159" t="s">
        <v>425</v>
      </c>
      <c r="I1159" t="s">
        <v>427</v>
      </c>
      <c r="J1159" t="s">
        <v>421</v>
      </c>
    </row>
    <row r="1160" spans="1:10" ht="15" customHeight="1" x14ac:dyDescent="0.25">
      <c r="A1160" s="82">
        <v>43435</v>
      </c>
      <c r="B1160" t="s">
        <v>430</v>
      </c>
      <c r="C1160" t="s">
        <v>424</v>
      </c>
      <c r="D1160" t="s">
        <v>429</v>
      </c>
      <c r="E1160" t="s">
        <v>426</v>
      </c>
      <c r="F1160" t="s">
        <v>428</v>
      </c>
      <c r="G1160" t="s">
        <v>425</v>
      </c>
      <c r="H1160" t="s">
        <v>421</v>
      </c>
      <c r="I1160" t="s">
        <v>455</v>
      </c>
      <c r="J1160" t="s">
        <v>427</v>
      </c>
    </row>
    <row r="1161" spans="1:10" ht="15" customHeight="1" x14ac:dyDescent="0.25">
      <c r="A1161" s="82">
        <v>43436</v>
      </c>
      <c r="B1161" t="s">
        <v>430</v>
      </c>
      <c r="C1161" t="s">
        <v>424</v>
      </c>
      <c r="D1161" t="s">
        <v>429</v>
      </c>
      <c r="E1161" t="s">
        <v>426</v>
      </c>
      <c r="F1161" t="s">
        <v>428</v>
      </c>
      <c r="G1161" t="s">
        <v>425</v>
      </c>
      <c r="H1161" t="s">
        <v>421</v>
      </c>
      <c r="I1161" t="s">
        <v>427</v>
      </c>
      <c r="J1161" t="s">
        <v>455</v>
      </c>
    </row>
    <row r="1162" spans="1:10" ht="15" customHeight="1" x14ac:dyDescent="0.25">
      <c r="A1162" s="82">
        <v>43437</v>
      </c>
      <c r="B1162" t="s">
        <v>430</v>
      </c>
      <c r="C1162" t="s">
        <v>424</v>
      </c>
      <c r="D1162" t="s">
        <v>429</v>
      </c>
      <c r="E1162" t="s">
        <v>426</v>
      </c>
      <c r="F1162" t="s">
        <v>428</v>
      </c>
      <c r="G1162" t="s">
        <v>425</v>
      </c>
      <c r="H1162" t="s">
        <v>427</v>
      </c>
      <c r="I1162" t="s">
        <v>455</v>
      </c>
      <c r="J1162" t="s">
        <v>421</v>
      </c>
    </row>
    <row r="1163" spans="1:10" ht="15" customHeight="1" x14ac:dyDescent="0.25">
      <c r="A1163" s="82">
        <v>43438</v>
      </c>
      <c r="B1163" t="s">
        <v>430</v>
      </c>
      <c r="C1163" t="s">
        <v>424</v>
      </c>
      <c r="D1163" t="s">
        <v>429</v>
      </c>
      <c r="E1163" t="s">
        <v>426</v>
      </c>
      <c r="F1163" t="s">
        <v>428</v>
      </c>
      <c r="G1163" t="s">
        <v>425</v>
      </c>
      <c r="H1163" t="s">
        <v>455</v>
      </c>
      <c r="I1163" t="s">
        <v>421</v>
      </c>
      <c r="J1163" t="s">
        <v>427</v>
      </c>
    </row>
    <row r="1164" spans="1:10" ht="15" customHeight="1" x14ac:dyDescent="0.25">
      <c r="A1164" s="82">
        <v>43439</v>
      </c>
      <c r="B1164" t="s">
        <v>430</v>
      </c>
      <c r="C1164" t="s">
        <v>424</v>
      </c>
      <c r="D1164" t="s">
        <v>429</v>
      </c>
      <c r="E1164" t="s">
        <v>426</v>
      </c>
      <c r="F1164" t="s">
        <v>428</v>
      </c>
      <c r="G1164" t="s">
        <v>425</v>
      </c>
      <c r="H1164" t="s">
        <v>427</v>
      </c>
      <c r="I1164" t="s">
        <v>421</v>
      </c>
      <c r="J1164" t="s">
        <v>455</v>
      </c>
    </row>
    <row r="1165" spans="1:10" ht="15" customHeight="1" x14ac:dyDescent="0.25">
      <c r="A1165" s="82">
        <v>43440</v>
      </c>
      <c r="B1165" t="s">
        <v>430</v>
      </c>
      <c r="C1165" t="s">
        <v>424</v>
      </c>
      <c r="D1165" t="s">
        <v>429</v>
      </c>
      <c r="E1165" t="s">
        <v>426</v>
      </c>
      <c r="F1165" t="s">
        <v>428</v>
      </c>
      <c r="G1165" t="s">
        <v>425</v>
      </c>
      <c r="H1165" t="s">
        <v>455</v>
      </c>
      <c r="I1165" t="s">
        <v>427</v>
      </c>
      <c r="J1165" t="s">
        <v>421</v>
      </c>
    </row>
    <row r="1166" spans="1:10" ht="15" customHeight="1" x14ac:dyDescent="0.25">
      <c r="A1166" s="82">
        <v>43441</v>
      </c>
      <c r="B1166" t="s">
        <v>428</v>
      </c>
      <c r="C1166" t="s">
        <v>425</v>
      </c>
      <c r="D1166" t="s">
        <v>426</v>
      </c>
      <c r="E1166" t="s">
        <v>421</v>
      </c>
      <c r="F1166" t="s">
        <v>427</v>
      </c>
      <c r="G1166" t="s">
        <v>425</v>
      </c>
      <c r="H1166" t="s">
        <v>429</v>
      </c>
      <c r="I1166" t="s">
        <v>455</v>
      </c>
      <c r="J1166" t="s">
        <v>430</v>
      </c>
    </row>
    <row r="1167" spans="1:10" ht="15" customHeight="1" x14ac:dyDescent="0.25">
      <c r="A1167" s="82">
        <v>43442</v>
      </c>
      <c r="B1167" t="s">
        <v>428</v>
      </c>
      <c r="C1167" t="s">
        <v>425</v>
      </c>
      <c r="D1167" t="s">
        <v>426</v>
      </c>
      <c r="E1167" t="s">
        <v>427</v>
      </c>
      <c r="F1167" t="s">
        <v>455</v>
      </c>
      <c r="G1167" t="s">
        <v>421</v>
      </c>
      <c r="H1167" t="s">
        <v>429</v>
      </c>
      <c r="I1167" t="s">
        <v>424</v>
      </c>
      <c r="J1167" t="s">
        <v>430</v>
      </c>
    </row>
    <row r="1168" spans="1:10" ht="15" customHeight="1" x14ac:dyDescent="0.25">
      <c r="A1168" s="82">
        <v>43443</v>
      </c>
      <c r="B1168" t="s">
        <v>428</v>
      </c>
      <c r="C1168" t="s">
        <v>425</v>
      </c>
      <c r="D1168" t="s">
        <v>426</v>
      </c>
      <c r="E1168" t="s">
        <v>455</v>
      </c>
      <c r="F1168" t="s">
        <v>427</v>
      </c>
      <c r="G1168" t="s">
        <v>421</v>
      </c>
      <c r="H1168" t="s">
        <v>429</v>
      </c>
      <c r="I1168" t="s">
        <v>424</v>
      </c>
      <c r="J1168" t="s">
        <v>430</v>
      </c>
    </row>
    <row r="1169" spans="1:10" ht="15" customHeight="1" x14ac:dyDescent="0.25">
      <c r="A1169" s="82">
        <v>43444</v>
      </c>
      <c r="B1169" t="s">
        <v>428</v>
      </c>
      <c r="C1169" t="s">
        <v>425</v>
      </c>
      <c r="D1169" t="s">
        <v>426</v>
      </c>
      <c r="E1169" t="s">
        <v>421</v>
      </c>
      <c r="F1169" t="s">
        <v>455</v>
      </c>
      <c r="G1169" t="s">
        <v>427</v>
      </c>
      <c r="H1169" t="s">
        <v>429</v>
      </c>
      <c r="I1169" t="s">
        <v>424</v>
      </c>
      <c r="J1169" t="s">
        <v>430</v>
      </c>
    </row>
    <row r="1170" spans="1:10" ht="15" customHeight="1" x14ac:dyDescent="0.25">
      <c r="A1170" s="82">
        <v>43445</v>
      </c>
      <c r="B1170" t="s">
        <v>428</v>
      </c>
      <c r="C1170" t="s">
        <v>425</v>
      </c>
      <c r="D1170" t="s">
        <v>426</v>
      </c>
      <c r="E1170" t="s">
        <v>427</v>
      </c>
      <c r="F1170" t="s">
        <v>421</v>
      </c>
      <c r="G1170" t="s">
        <v>455</v>
      </c>
      <c r="H1170" t="s">
        <v>429</v>
      </c>
      <c r="I1170" t="s">
        <v>424</v>
      </c>
      <c r="J1170" t="s">
        <v>430</v>
      </c>
    </row>
    <row r="1171" spans="1:10" ht="15" customHeight="1" x14ac:dyDescent="0.25">
      <c r="A1171" s="82">
        <v>43446</v>
      </c>
      <c r="B1171" t="s">
        <v>428</v>
      </c>
      <c r="C1171" t="s">
        <v>425</v>
      </c>
      <c r="D1171" t="s">
        <v>426</v>
      </c>
      <c r="E1171" t="s">
        <v>455</v>
      </c>
      <c r="F1171" t="s">
        <v>421</v>
      </c>
      <c r="G1171" t="s">
        <v>427</v>
      </c>
      <c r="H1171" t="s">
        <v>429</v>
      </c>
      <c r="I1171" t="s">
        <v>424</v>
      </c>
      <c r="J1171" t="s">
        <v>430</v>
      </c>
    </row>
    <row r="1172" spans="1:10" ht="15" customHeight="1" x14ac:dyDescent="0.25">
      <c r="A1172" s="82">
        <v>43447</v>
      </c>
      <c r="B1172" t="s">
        <v>428</v>
      </c>
      <c r="C1172" t="s">
        <v>425</v>
      </c>
      <c r="D1172" t="s">
        <v>426</v>
      </c>
      <c r="E1172" t="s">
        <v>421</v>
      </c>
      <c r="F1172" t="s">
        <v>427</v>
      </c>
      <c r="G1172" t="s">
        <v>455</v>
      </c>
      <c r="H1172" t="s">
        <v>429</v>
      </c>
      <c r="I1172" t="s">
        <v>424</v>
      </c>
      <c r="J1172" t="s">
        <v>430</v>
      </c>
    </row>
    <row r="1173" spans="1:10" ht="15" customHeight="1" x14ac:dyDescent="0.25">
      <c r="A1173" s="82">
        <v>43448</v>
      </c>
      <c r="B1173" t="s">
        <v>427</v>
      </c>
      <c r="C1173" t="s">
        <v>425</v>
      </c>
      <c r="D1173" t="s">
        <v>421</v>
      </c>
      <c r="E1173" t="s">
        <v>430</v>
      </c>
      <c r="F1173" t="s">
        <v>455</v>
      </c>
      <c r="G1173" t="s">
        <v>429</v>
      </c>
      <c r="H1173" t="s">
        <v>426</v>
      </c>
      <c r="I1173" t="s">
        <v>425</v>
      </c>
      <c r="J1173" t="s">
        <v>428</v>
      </c>
    </row>
    <row r="1174" spans="1:10" ht="15" customHeight="1" x14ac:dyDescent="0.25">
      <c r="A1174" s="82">
        <v>43449</v>
      </c>
      <c r="B1174" t="s">
        <v>455</v>
      </c>
      <c r="C1174" t="s">
        <v>421</v>
      </c>
      <c r="D1174" t="s">
        <v>427</v>
      </c>
      <c r="E1174" t="s">
        <v>430</v>
      </c>
      <c r="F1174" t="s">
        <v>424</v>
      </c>
      <c r="G1174" t="s">
        <v>429</v>
      </c>
      <c r="H1174" t="s">
        <v>426</v>
      </c>
      <c r="I1174" t="s">
        <v>425</v>
      </c>
      <c r="J1174" t="s">
        <v>428</v>
      </c>
    </row>
    <row r="1175" spans="1:10" ht="15" customHeight="1" x14ac:dyDescent="0.25">
      <c r="A1175" s="82">
        <v>43450</v>
      </c>
      <c r="B1175" t="s">
        <v>427</v>
      </c>
      <c r="C1175" t="s">
        <v>421</v>
      </c>
      <c r="D1175" t="s">
        <v>455</v>
      </c>
      <c r="E1175" t="s">
        <v>430</v>
      </c>
      <c r="F1175" t="s">
        <v>424</v>
      </c>
      <c r="G1175" t="s">
        <v>429</v>
      </c>
      <c r="H1175" t="s">
        <v>426</v>
      </c>
      <c r="I1175" t="s">
        <v>425</v>
      </c>
      <c r="J1175" t="s">
        <v>428</v>
      </c>
    </row>
    <row r="1176" spans="1:10" ht="15" customHeight="1" x14ac:dyDescent="0.25">
      <c r="A1176" s="82">
        <v>43451</v>
      </c>
      <c r="B1176" t="s">
        <v>455</v>
      </c>
      <c r="C1176" t="s">
        <v>427</v>
      </c>
      <c r="D1176" t="s">
        <v>421</v>
      </c>
      <c r="E1176" t="s">
        <v>430</v>
      </c>
      <c r="F1176" t="s">
        <v>424</v>
      </c>
      <c r="G1176" t="s">
        <v>429</v>
      </c>
      <c r="H1176" t="s">
        <v>426</v>
      </c>
      <c r="I1176" t="s">
        <v>425</v>
      </c>
      <c r="J1176" t="s">
        <v>428</v>
      </c>
    </row>
    <row r="1177" spans="1:10" ht="15" customHeight="1" x14ac:dyDescent="0.25">
      <c r="A1177" s="82">
        <v>43452</v>
      </c>
      <c r="B1177" t="s">
        <v>421</v>
      </c>
      <c r="C1177" t="s">
        <v>455</v>
      </c>
      <c r="D1177" t="s">
        <v>427</v>
      </c>
      <c r="E1177" t="s">
        <v>430</v>
      </c>
      <c r="F1177" t="s">
        <v>424</v>
      </c>
      <c r="G1177" t="s">
        <v>429</v>
      </c>
      <c r="H1177" t="s">
        <v>426</v>
      </c>
      <c r="I1177" t="s">
        <v>425</v>
      </c>
      <c r="J1177" t="s">
        <v>428</v>
      </c>
    </row>
    <row r="1178" spans="1:10" ht="15" customHeight="1" x14ac:dyDescent="0.25">
      <c r="A1178" s="82">
        <v>43453</v>
      </c>
      <c r="B1178" t="s">
        <v>421</v>
      </c>
      <c r="C1178" t="s">
        <v>427</v>
      </c>
      <c r="D1178" t="s">
        <v>455</v>
      </c>
      <c r="E1178" t="s">
        <v>430</v>
      </c>
      <c r="F1178" t="s">
        <v>424</v>
      </c>
      <c r="G1178" t="s">
        <v>429</v>
      </c>
      <c r="H1178" t="s">
        <v>426</v>
      </c>
      <c r="I1178" t="s">
        <v>425</v>
      </c>
      <c r="J1178" t="s">
        <v>428</v>
      </c>
    </row>
    <row r="1179" spans="1:10" ht="15" customHeight="1" x14ac:dyDescent="0.25">
      <c r="A1179" s="82">
        <v>43454</v>
      </c>
      <c r="B1179" t="s">
        <v>427</v>
      </c>
      <c r="C1179" t="s">
        <v>455</v>
      </c>
      <c r="D1179" t="s">
        <v>421</v>
      </c>
      <c r="E1179" t="s">
        <v>430</v>
      </c>
      <c r="F1179" t="s">
        <v>424</v>
      </c>
      <c r="G1179" t="s">
        <v>429</v>
      </c>
      <c r="H1179" t="s">
        <v>426</v>
      </c>
      <c r="I1179" t="s">
        <v>425</v>
      </c>
      <c r="J1179" t="s">
        <v>428</v>
      </c>
    </row>
    <row r="1180" spans="1:10" ht="15" customHeight="1" x14ac:dyDescent="0.25">
      <c r="A1180" s="82">
        <v>43455</v>
      </c>
      <c r="B1180" t="s">
        <v>455</v>
      </c>
      <c r="C1180" t="s">
        <v>429</v>
      </c>
      <c r="D1180" t="s">
        <v>430</v>
      </c>
      <c r="E1180" t="s">
        <v>428</v>
      </c>
      <c r="F1180" t="s">
        <v>425</v>
      </c>
      <c r="G1180" t="s">
        <v>426</v>
      </c>
      <c r="H1180" t="s">
        <v>421</v>
      </c>
      <c r="I1180" t="s">
        <v>425</v>
      </c>
      <c r="J1180" t="s">
        <v>427</v>
      </c>
    </row>
    <row r="1181" spans="1:10" ht="15" customHeight="1" x14ac:dyDescent="0.25">
      <c r="A1181" s="82">
        <v>43456</v>
      </c>
      <c r="B1181" t="s">
        <v>424</v>
      </c>
      <c r="C1181" t="s">
        <v>429</v>
      </c>
      <c r="D1181" t="s">
        <v>513</v>
      </c>
      <c r="E1181" t="s">
        <v>428</v>
      </c>
      <c r="F1181" t="s">
        <v>425</v>
      </c>
      <c r="G1181" t="s">
        <v>426</v>
      </c>
      <c r="H1181" t="s">
        <v>427</v>
      </c>
      <c r="I1181" t="s">
        <v>421</v>
      </c>
      <c r="J1181" t="s">
        <v>430</v>
      </c>
    </row>
    <row r="1182" spans="1:10" ht="15" customHeight="1" x14ac:dyDescent="0.25">
      <c r="A1182" s="82">
        <v>43457</v>
      </c>
      <c r="B1182" t="s">
        <v>424</v>
      </c>
      <c r="C1182" t="s">
        <v>429</v>
      </c>
      <c r="D1182" t="s">
        <v>427</v>
      </c>
      <c r="E1182" t="s">
        <v>428</v>
      </c>
      <c r="F1182" t="s">
        <v>425</v>
      </c>
      <c r="G1182" t="s">
        <v>426</v>
      </c>
      <c r="H1182" t="s">
        <v>455</v>
      </c>
      <c r="I1182" t="s">
        <v>421</v>
      </c>
      <c r="J1182" t="s">
        <v>430</v>
      </c>
    </row>
    <row r="1183" spans="1:10" ht="15" customHeight="1" x14ac:dyDescent="0.25">
      <c r="A1183" s="82">
        <v>43458</v>
      </c>
      <c r="B1183" t="s">
        <v>424</v>
      </c>
      <c r="C1183" t="s">
        <v>429</v>
      </c>
      <c r="D1183" t="s">
        <v>455</v>
      </c>
      <c r="E1183" t="s">
        <v>428</v>
      </c>
      <c r="F1183" t="s">
        <v>425</v>
      </c>
      <c r="G1183" t="s">
        <v>426</v>
      </c>
      <c r="H1183" t="s">
        <v>421</v>
      </c>
      <c r="I1183" t="s">
        <v>427</v>
      </c>
      <c r="J1183" t="s">
        <v>430</v>
      </c>
    </row>
    <row r="1184" spans="1:10" ht="15" customHeight="1" x14ac:dyDescent="0.25">
      <c r="A1184" s="82">
        <v>43459</v>
      </c>
      <c r="B1184" t="s">
        <v>424</v>
      </c>
      <c r="C1184" t="s">
        <v>429</v>
      </c>
      <c r="D1184" t="s">
        <v>421</v>
      </c>
      <c r="E1184" t="s">
        <v>428</v>
      </c>
      <c r="F1184" t="s">
        <v>425</v>
      </c>
      <c r="G1184" t="s">
        <v>426</v>
      </c>
      <c r="H1184" t="s">
        <v>427</v>
      </c>
      <c r="I1184" t="s">
        <v>455</v>
      </c>
      <c r="J1184" t="s">
        <v>430</v>
      </c>
    </row>
    <row r="1185" spans="1:10" ht="15" customHeight="1" x14ac:dyDescent="0.25">
      <c r="A1185" s="82">
        <v>43460</v>
      </c>
      <c r="B1185" t="s">
        <v>424</v>
      </c>
      <c r="C1185" t="s">
        <v>429</v>
      </c>
      <c r="D1185" t="s">
        <v>427</v>
      </c>
      <c r="E1185" t="s">
        <v>428</v>
      </c>
      <c r="F1185" t="s">
        <v>425</v>
      </c>
      <c r="G1185" t="s">
        <v>426</v>
      </c>
      <c r="H1185" t="s">
        <v>455</v>
      </c>
      <c r="I1185" t="s">
        <v>421</v>
      </c>
      <c r="J1185" t="s">
        <v>430</v>
      </c>
    </row>
    <row r="1186" spans="1:10" ht="15" customHeight="1" x14ac:dyDescent="0.25">
      <c r="A1186" s="82">
        <v>43461</v>
      </c>
      <c r="B1186" t="s">
        <v>424</v>
      </c>
      <c r="C1186" t="s">
        <v>429</v>
      </c>
      <c r="D1186" t="s">
        <v>455</v>
      </c>
      <c r="E1186" t="s">
        <v>428</v>
      </c>
      <c r="F1186" t="s">
        <v>425</v>
      </c>
      <c r="G1186" t="s">
        <v>426</v>
      </c>
      <c r="H1186" t="s">
        <v>421</v>
      </c>
      <c r="I1186" t="s">
        <v>427</v>
      </c>
      <c r="J1186" t="s">
        <v>430</v>
      </c>
    </row>
    <row r="1187" spans="1:10" ht="15" customHeight="1" x14ac:dyDescent="0.25">
      <c r="A1187" s="82">
        <v>43462</v>
      </c>
      <c r="B1187" t="s">
        <v>425</v>
      </c>
      <c r="C1187" t="s">
        <v>426</v>
      </c>
      <c r="D1187" t="s">
        <v>428</v>
      </c>
      <c r="E1187" t="s">
        <v>421</v>
      </c>
      <c r="F1187" t="s">
        <v>425</v>
      </c>
      <c r="G1187" t="s">
        <v>429</v>
      </c>
      <c r="H1187" t="s">
        <v>430</v>
      </c>
      <c r="I1187" t="s">
        <v>455</v>
      </c>
      <c r="J1187" t="s">
        <v>427</v>
      </c>
    </row>
    <row r="1188" spans="1:10" ht="15" customHeight="1" x14ac:dyDescent="0.25">
      <c r="A1188" s="82">
        <v>43463</v>
      </c>
      <c r="B1188" t="s">
        <v>425</v>
      </c>
      <c r="C1188" t="s">
        <v>426</v>
      </c>
      <c r="D1188" t="s">
        <v>428</v>
      </c>
      <c r="E1188" t="s">
        <v>427</v>
      </c>
      <c r="F1188" t="s">
        <v>424</v>
      </c>
      <c r="G1188" t="s">
        <v>421</v>
      </c>
      <c r="H1188" t="s">
        <v>430</v>
      </c>
      <c r="I1188" t="s">
        <v>429</v>
      </c>
      <c r="J1188" t="s">
        <v>455</v>
      </c>
    </row>
    <row r="1189" spans="1:10" ht="15" customHeight="1" x14ac:dyDescent="0.25">
      <c r="A1189" s="82">
        <v>43464</v>
      </c>
      <c r="B1189" t="s">
        <v>425</v>
      </c>
      <c r="C1189" t="s">
        <v>426</v>
      </c>
      <c r="D1189" t="s">
        <v>428</v>
      </c>
      <c r="E1189" t="s">
        <v>455</v>
      </c>
      <c r="F1189" t="s">
        <v>424</v>
      </c>
      <c r="G1189" t="s">
        <v>427</v>
      </c>
      <c r="H1189" t="s">
        <v>430</v>
      </c>
      <c r="I1189" t="s">
        <v>429</v>
      </c>
      <c r="J1189" t="s">
        <v>421</v>
      </c>
    </row>
    <row r="1190" spans="1:10" ht="15" customHeight="1" x14ac:dyDescent="0.25">
      <c r="A1190" s="82">
        <v>43465</v>
      </c>
      <c r="B1190" t="s">
        <v>425</v>
      </c>
      <c r="C1190" t="s">
        <v>426</v>
      </c>
      <c r="D1190" t="s">
        <v>428</v>
      </c>
      <c r="E1190" t="s">
        <v>427</v>
      </c>
      <c r="F1190" t="s">
        <v>424</v>
      </c>
      <c r="G1190" t="s">
        <v>455</v>
      </c>
      <c r="H1190" t="s">
        <v>430</v>
      </c>
      <c r="I1190" t="s">
        <v>429</v>
      </c>
      <c r="J1190" t="s">
        <v>421</v>
      </c>
    </row>
    <row r="1191" spans="1:10" ht="15" customHeight="1" x14ac:dyDescent="0.25">
      <c r="A1191" s="82">
        <v>43466</v>
      </c>
      <c r="B1191" t="s">
        <v>425</v>
      </c>
      <c r="C1191" t="s">
        <v>426</v>
      </c>
      <c r="D1191" t="s">
        <v>428</v>
      </c>
      <c r="E1191" t="s">
        <v>455</v>
      </c>
      <c r="F1191" t="s">
        <v>424</v>
      </c>
      <c r="G1191" t="s">
        <v>427</v>
      </c>
      <c r="H1191" t="s">
        <v>430</v>
      </c>
      <c r="I1191" t="s">
        <v>429</v>
      </c>
      <c r="J1191" t="s">
        <v>421</v>
      </c>
    </row>
    <row r="1192" spans="1:10" ht="15" customHeight="1" x14ac:dyDescent="0.25">
      <c r="A1192" s="82">
        <v>43467</v>
      </c>
      <c r="B1192" t="s">
        <v>425</v>
      </c>
      <c r="C1192" t="s">
        <v>426</v>
      </c>
      <c r="D1192" t="s">
        <v>428</v>
      </c>
      <c r="E1192" t="s">
        <v>421</v>
      </c>
      <c r="F1192" t="s">
        <v>424</v>
      </c>
      <c r="G1192" t="s">
        <v>455</v>
      </c>
      <c r="H1192" t="s">
        <v>430</v>
      </c>
      <c r="I1192" t="s">
        <v>429</v>
      </c>
      <c r="J1192" t="s">
        <v>427</v>
      </c>
    </row>
    <row r="1193" spans="1:10" ht="15" customHeight="1" x14ac:dyDescent="0.25">
      <c r="A1193" s="82">
        <v>43468</v>
      </c>
      <c r="B1193" t="s">
        <v>425</v>
      </c>
      <c r="C1193" t="s">
        <v>426</v>
      </c>
      <c r="D1193" t="s">
        <v>428</v>
      </c>
      <c r="E1193" t="s">
        <v>427</v>
      </c>
      <c r="F1193" t="s">
        <v>424</v>
      </c>
      <c r="G1193" t="s">
        <v>421</v>
      </c>
      <c r="H1193" t="s">
        <v>430</v>
      </c>
      <c r="I1193" t="s">
        <v>429</v>
      </c>
      <c r="J1193" t="s">
        <v>455</v>
      </c>
    </row>
    <row r="1194" spans="1:10" ht="15" customHeight="1" x14ac:dyDescent="0.25">
      <c r="A1194" s="82">
        <v>43469</v>
      </c>
      <c r="B1194" t="s">
        <v>425</v>
      </c>
      <c r="C1194" t="s">
        <v>421</v>
      </c>
      <c r="D1194" t="s">
        <v>427</v>
      </c>
      <c r="E1194" t="s">
        <v>455</v>
      </c>
      <c r="F1194" t="s">
        <v>429</v>
      </c>
      <c r="G1194" t="s">
        <v>430</v>
      </c>
      <c r="H1194" t="s">
        <v>428</v>
      </c>
      <c r="I1194" t="s">
        <v>429</v>
      </c>
      <c r="J1194" t="s">
        <v>425</v>
      </c>
    </row>
    <row r="1195" spans="1:10" ht="15" customHeight="1" x14ac:dyDescent="0.25">
      <c r="A1195" s="82">
        <v>43470</v>
      </c>
      <c r="B1195" t="s">
        <v>421</v>
      </c>
      <c r="C1195" t="s">
        <v>427</v>
      </c>
      <c r="D1195" t="s">
        <v>455</v>
      </c>
      <c r="E1195" t="s">
        <v>424</v>
      </c>
      <c r="F1195" t="s">
        <v>429</v>
      </c>
      <c r="G1195" t="s">
        <v>430</v>
      </c>
      <c r="H1195" t="s">
        <v>428</v>
      </c>
      <c r="I1195" t="s">
        <v>426</v>
      </c>
      <c r="J1195" t="s">
        <v>425</v>
      </c>
    </row>
    <row r="1196" spans="1:10" ht="15" customHeight="1" x14ac:dyDescent="0.25">
      <c r="A1196" s="82">
        <v>43471</v>
      </c>
      <c r="B1196" t="s">
        <v>421</v>
      </c>
      <c r="C1196" t="s">
        <v>455</v>
      </c>
      <c r="D1196" t="s">
        <v>427</v>
      </c>
      <c r="E1196" t="s">
        <v>424</v>
      </c>
      <c r="F1196" t="s">
        <v>429</v>
      </c>
      <c r="G1196" t="s">
        <v>430</v>
      </c>
      <c r="H1196" t="s">
        <v>428</v>
      </c>
      <c r="I1196" t="s">
        <v>426</v>
      </c>
      <c r="J1196" t="s">
        <v>425</v>
      </c>
    </row>
    <row r="1197" spans="1:10" ht="15" customHeight="1" x14ac:dyDescent="0.25">
      <c r="A1197" s="82">
        <v>43472</v>
      </c>
      <c r="B1197" t="s">
        <v>427</v>
      </c>
      <c r="C1197" t="s">
        <v>421</v>
      </c>
      <c r="D1197" t="s">
        <v>455</v>
      </c>
      <c r="E1197" t="s">
        <v>424</v>
      </c>
      <c r="F1197" t="s">
        <v>429</v>
      </c>
      <c r="G1197" t="s">
        <v>430</v>
      </c>
      <c r="H1197" t="s">
        <v>428</v>
      </c>
      <c r="I1197" t="s">
        <v>426</v>
      </c>
      <c r="J1197" t="s">
        <v>425</v>
      </c>
    </row>
    <row r="1198" spans="1:10" ht="15" customHeight="1" x14ac:dyDescent="0.25">
      <c r="A1198" s="82">
        <v>43473</v>
      </c>
      <c r="B1198" t="s">
        <v>455</v>
      </c>
      <c r="C1198" t="s">
        <v>427</v>
      </c>
      <c r="D1198" t="s">
        <v>421</v>
      </c>
      <c r="E1198" t="s">
        <v>424</v>
      </c>
      <c r="F1198" t="s">
        <v>429</v>
      </c>
      <c r="G1198" t="s">
        <v>430</v>
      </c>
      <c r="H1198" t="s">
        <v>428</v>
      </c>
      <c r="I1198" t="s">
        <v>426</v>
      </c>
      <c r="J1198" t="s">
        <v>425</v>
      </c>
    </row>
    <row r="1199" spans="1:10" ht="15" customHeight="1" x14ac:dyDescent="0.25">
      <c r="A1199" s="82">
        <v>43474</v>
      </c>
      <c r="B1199" t="s">
        <v>427</v>
      </c>
      <c r="C1199" t="s">
        <v>455</v>
      </c>
      <c r="D1199" t="s">
        <v>421</v>
      </c>
      <c r="E1199" t="s">
        <v>424</v>
      </c>
      <c r="F1199" t="s">
        <v>429</v>
      </c>
      <c r="G1199" t="s">
        <v>430</v>
      </c>
      <c r="H1199" t="s">
        <v>428</v>
      </c>
      <c r="I1199" t="s">
        <v>426</v>
      </c>
      <c r="J1199" t="s">
        <v>425</v>
      </c>
    </row>
    <row r="1200" spans="1:10" ht="15" customHeight="1" x14ac:dyDescent="0.25">
      <c r="A1200" s="82">
        <v>43475</v>
      </c>
      <c r="B1200" t="s">
        <v>455</v>
      </c>
      <c r="C1200" t="s">
        <v>430</v>
      </c>
      <c r="D1200" t="s">
        <v>427</v>
      </c>
      <c r="E1200" t="s">
        <v>424</v>
      </c>
      <c r="F1200" t="s">
        <v>429</v>
      </c>
      <c r="G1200" t="s">
        <v>430</v>
      </c>
      <c r="H1200" t="s">
        <v>428</v>
      </c>
      <c r="I1200" t="s">
        <v>426</v>
      </c>
      <c r="J1200" t="s">
        <v>425</v>
      </c>
    </row>
    <row r="1201" spans="1:10" ht="15" customHeight="1" x14ac:dyDescent="0.25">
      <c r="A1201" s="82">
        <v>43476</v>
      </c>
      <c r="B1201" t="s">
        <v>429</v>
      </c>
      <c r="C1201" t="s">
        <v>430</v>
      </c>
      <c r="D1201" t="s">
        <v>455</v>
      </c>
      <c r="E1201" t="s">
        <v>425</v>
      </c>
      <c r="F1201" t="s">
        <v>429</v>
      </c>
      <c r="G1201" t="s">
        <v>428</v>
      </c>
      <c r="H1201" t="s">
        <v>427</v>
      </c>
      <c r="I1201" t="s">
        <v>421</v>
      </c>
      <c r="J1201" t="s">
        <v>425</v>
      </c>
    </row>
    <row r="1202" spans="1:10" ht="15" customHeight="1" x14ac:dyDescent="0.25">
      <c r="A1202" s="82">
        <v>43477</v>
      </c>
      <c r="B1202" t="s">
        <v>429</v>
      </c>
      <c r="C1202" t="s">
        <v>430</v>
      </c>
      <c r="D1202" t="s">
        <v>424</v>
      </c>
      <c r="E1202" t="s">
        <v>425</v>
      </c>
      <c r="F1202" t="s">
        <v>426</v>
      </c>
      <c r="G1202" t="s">
        <v>428</v>
      </c>
      <c r="H1202" t="s">
        <v>455</v>
      </c>
      <c r="I1202" t="s">
        <v>427</v>
      </c>
      <c r="J1202" t="s">
        <v>421</v>
      </c>
    </row>
    <row r="1203" spans="1:10" ht="15" customHeight="1" x14ac:dyDescent="0.25">
      <c r="A1203" s="82">
        <v>43478</v>
      </c>
      <c r="B1203" t="s">
        <v>429</v>
      </c>
      <c r="C1203" t="s">
        <v>430</v>
      </c>
      <c r="D1203" t="s">
        <v>424</v>
      </c>
      <c r="E1203" t="s">
        <v>425</v>
      </c>
      <c r="F1203" t="s">
        <v>426</v>
      </c>
      <c r="G1203" t="s">
        <v>428</v>
      </c>
      <c r="H1203" t="s">
        <v>427</v>
      </c>
      <c r="I1203" t="s">
        <v>455</v>
      </c>
      <c r="J1203" t="s">
        <v>421</v>
      </c>
    </row>
    <row r="1204" spans="1:10" ht="15" customHeight="1" x14ac:dyDescent="0.25">
      <c r="A1204" s="82">
        <v>43479</v>
      </c>
      <c r="B1204" t="s">
        <v>429</v>
      </c>
      <c r="C1204" t="s">
        <v>430</v>
      </c>
      <c r="D1204" t="s">
        <v>424</v>
      </c>
      <c r="E1204" t="s">
        <v>425</v>
      </c>
      <c r="F1204" t="s">
        <v>426</v>
      </c>
      <c r="G1204" t="s">
        <v>428</v>
      </c>
      <c r="H1204" t="s">
        <v>455</v>
      </c>
      <c r="I1204" t="s">
        <v>421</v>
      </c>
      <c r="J1204" t="s">
        <v>427</v>
      </c>
    </row>
    <row r="1205" spans="1:10" ht="15" customHeight="1" x14ac:dyDescent="0.25">
      <c r="A1205" s="82">
        <v>43480</v>
      </c>
      <c r="B1205" t="s">
        <v>429</v>
      </c>
      <c r="C1205" t="s">
        <v>430</v>
      </c>
      <c r="D1205" t="s">
        <v>424</v>
      </c>
      <c r="E1205" t="s">
        <v>425</v>
      </c>
      <c r="F1205" t="s">
        <v>426</v>
      </c>
      <c r="G1205" t="s">
        <v>428</v>
      </c>
      <c r="H1205" t="s">
        <v>421</v>
      </c>
      <c r="I1205" t="s">
        <v>427</v>
      </c>
      <c r="J1205" t="s">
        <v>455</v>
      </c>
    </row>
    <row r="1206" spans="1:10" ht="15" customHeight="1" x14ac:dyDescent="0.25">
      <c r="A1206" s="82">
        <v>43481</v>
      </c>
      <c r="B1206" t="s">
        <v>429</v>
      </c>
      <c r="C1206" t="s">
        <v>430</v>
      </c>
      <c r="D1206" t="s">
        <v>424</v>
      </c>
      <c r="E1206" t="s">
        <v>425</v>
      </c>
      <c r="F1206" t="s">
        <v>426</v>
      </c>
      <c r="G1206" t="s">
        <v>428</v>
      </c>
      <c r="H1206" t="s">
        <v>421</v>
      </c>
      <c r="I1206" t="s">
        <v>455</v>
      </c>
      <c r="J1206" t="s">
        <v>427</v>
      </c>
    </row>
    <row r="1207" spans="1:10" ht="15" customHeight="1" x14ac:dyDescent="0.25">
      <c r="A1207" s="82">
        <v>43482</v>
      </c>
      <c r="B1207" t="s">
        <v>429</v>
      </c>
      <c r="C1207" t="s">
        <v>430</v>
      </c>
      <c r="D1207" t="s">
        <v>424</v>
      </c>
      <c r="E1207" t="s">
        <v>425</v>
      </c>
      <c r="F1207" t="s">
        <v>426</v>
      </c>
      <c r="G1207" t="s">
        <v>428</v>
      </c>
      <c r="H1207" t="s">
        <v>427</v>
      </c>
      <c r="I1207" t="s">
        <v>430</v>
      </c>
      <c r="J1207" t="s">
        <v>455</v>
      </c>
    </row>
    <row r="1208" spans="1:10" ht="15" customHeight="1" x14ac:dyDescent="0.25">
      <c r="A1208" s="82">
        <v>43483</v>
      </c>
      <c r="B1208" t="s">
        <v>429</v>
      </c>
      <c r="C1208" t="s">
        <v>428</v>
      </c>
      <c r="D1208" t="s">
        <v>425</v>
      </c>
      <c r="E1208" t="s">
        <v>425</v>
      </c>
      <c r="F1208" t="s">
        <v>421</v>
      </c>
      <c r="G1208" t="s">
        <v>427</v>
      </c>
      <c r="H1208" t="s">
        <v>455</v>
      </c>
      <c r="I1208" t="s">
        <v>430</v>
      </c>
      <c r="J1208" t="s">
        <v>429</v>
      </c>
    </row>
    <row r="1209" spans="1:10" ht="15" customHeight="1" x14ac:dyDescent="0.25">
      <c r="A1209" s="82">
        <v>43484</v>
      </c>
      <c r="B1209" t="s">
        <v>426</v>
      </c>
      <c r="C1209" t="s">
        <v>428</v>
      </c>
      <c r="D1209" t="s">
        <v>425</v>
      </c>
      <c r="E1209" t="s">
        <v>421</v>
      </c>
      <c r="F1209" t="s">
        <v>427</v>
      </c>
      <c r="G1209" t="s">
        <v>455</v>
      </c>
      <c r="H1209" t="s">
        <v>424</v>
      </c>
      <c r="I1209" t="s">
        <v>430</v>
      </c>
      <c r="J1209" t="s">
        <v>429</v>
      </c>
    </row>
    <row r="1210" spans="1:10" ht="15" customHeight="1" x14ac:dyDescent="0.25">
      <c r="A1210" s="82">
        <v>43485</v>
      </c>
      <c r="B1210" t="s">
        <v>426</v>
      </c>
      <c r="C1210" t="s">
        <v>428</v>
      </c>
      <c r="D1210" t="s">
        <v>425</v>
      </c>
      <c r="E1210" t="s">
        <v>421</v>
      </c>
      <c r="F1210" t="s">
        <v>455</v>
      </c>
      <c r="G1210" t="s">
        <v>427</v>
      </c>
      <c r="H1210" t="s">
        <v>424</v>
      </c>
      <c r="I1210" t="s">
        <v>430</v>
      </c>
      <c r="J1210" t="s">
        <v>429</v>
      </c>
    </row>
    <row r="1211" spans="1:10" ht="15" customHeight="1" x14ac:dyDescent="0.25">
      <c r="A1211" s="82">
        <v>43486</v>
      </c>
      <c r="B1211" t="s">
        <v>426</v>
      </c>
      <c r="C1211" t="s">
        <v>428</v>
      </c>
      <c r="D1211" t="s">
        <v>425</v>
      </c>
      <c r="E1211" t="s">
        <v>427</v>
      </c>
      <c r="F1211" t="s">
        <v>421</v>
      </c>
      <c r="G1211" t="s">
        <v>455</v>
      </c>
      <c r="H1211" t="s">
        <v>424</v>
      </c>
      <c r="I1211" t="s">
        <v>430</v>
      </c>
      <c r="J1211" t="s">
        <v>429</v>
      </c>
    </row>
    <row r="1212" spans="1:10" ht="15" customHeight="1" x14ac:dyDescent="0.25">
      <c r="A1212" s="82">
        <v>43487</v>
      </c>
      <c r="B1212" t="s">
        <v>426</v>
      </c>
      <c r="C1212" t="s">
        <v>428</v>
      </c>
      <c r="D1212" t="s">
        <v>425</v>
      </c>
      <c r="E1212" t="s">
        <v>455</v>
      </c>
      <c r="F1212" t="s">
        <v>427</v>
      </c>
      <c r="G1212" t="s">
        <v>421</v>
      </c>
      <c r="H1212" t="s">
        <v>424</v>
      </c>
      <c r="I1212" t="s">
        <v>430</v>
      </c>
      <c r="J1212" t="s">
        <v>429</v>
      </c>
    </row>
    <row r="1213" spans="1:10" ht="15" customHeight="1" x14ac:dyDescent="0.25">
      <c r="A1213" s="82">
        <v>43488</v>
      </c>
      <c r="B1213" t="s">
        <v>426</v>
      </c>
      <c r="C1213" t="s">
        <v>428</v>
      </c>
      <c r="D1213" t="s">
        <v>425</v>
      </c>
      <c r="E1213" t="s">
        <v>427</v>
      </c>
      <c r="F1213" t="s">
        <v>455</v>
      </c>
      <c r="G1213" t="s">
        <v>421</v>
      </c>
      <c r="H1213" t="s">
        <v>424</v>
      </c>
      <c r="I1213" t="s">
        <v>430</v>
      </c>
      <c r="J1213" t="s">
        <v>429</v>
      </c>
    </row>
    <row r="1214" spans="1:10" ht="15" customHeight="1" x14ac:dyDescent="0.25">
      <c r="A1214" s="82">
        <v>43489</v>
      </c>
      <c r="B1214" t="s">
        <v>426</v>
      </c>
      <c r="C1214" t="s">
        <v>428</v>
      </c>
      <c r="D1214" t="s">
        <v>425</v>
      </c>
      <c r="E1214" t="s">
        <v>455</v>
      </c>
      <c r="F1214" t="s">
        <v>430</v>
      </c>
      <c r="G1214" t="s">
        <v>427</v>
      </c>
      <c r="H1214" t="s">
        <v>424</v>
      </c>
      <c r="I1214" t="s">
        <v>430</v>
      </c>
      <c r="J1214" t="s">
        <v>429</v>
      </c>
    </row>
    <row r="1215" spans="1:10" ht="15" customHeight="1" x14ac:dyDescent="0.25">
      <c r="A1215" s="82">
        <v>43490</v>
      </c>
      <c r="B1215" t="s">
        <v>421</v>
      </c>
      <c r="C1215" t="s">
        <v>427</v>
      </c>
      <c r="D1215" t="s">
        <v>425</v>
      </c>
      <c r="E1215" t="s">
        <v>429</v>
      </c>
      <c r="F1215" t="s">
        <v>430</v>
      </c>
      <c r="G1215" t="s">
        <v>455</v>
      </c>
      <c r="H1215" t="s">
        <v>425</v>
      </c>
      <c r="I1215" t="s">
        <v>428</v>
      </c>
      <c r="J1215" t="s">
        <v>429</v>
      </c>
    </row>
    <row r="1216" spans="1:10" ht="15" customHeight="1" x14ac:dyDescent="0.25">
      <c r="A1216" s="82">
        <v>43491</v>
      </c>
      <c r="B1216" t="s">
        <v>427</v>
      </c>
      <c r="C1216" t="s">
        <v>455</v>
      </c>
      <c r="D1216" t="s">
        <v>421</v>
      </c>
      <c r="E1216" t="s">
        <v>429</v>
      </c>
      <c r="F1216" t="s">
        <v>430</v>
      </c>
      <c r="G1216" t="s">
        <v>424</v>
      </c>
      <c r="H1216" t="s">
        <v>425</v>
      </c>
      <c r="I1216" t="s">
        <v>428</v>
      </c>
      <c r="J1216" t="s">
        <v>426</v>
      </c>
    </row>
    <row r="1217" spans="1:10" ht="15" customHeight="1" x14ac:dyDescent="0.25">
      <c r="A1217" s="82">
        <v>43492</v>
      </c>
      <c r="B1217" t="s">
        <v>455</v>
      </c>
      <c r="C1217" t="s">
        <v>427</v>
      </c>
      <c r="D1217" t="s">
        <v>421</v>
      </c>
      <c r="E1217" t="s">
        <v>429</v>
      </c>
      <c r="F1217" t="s">
        <v>430</v>
      </c>
      <c r="G1217" t="s">
        <v>424</v>
      </c>
      <c r="H1217" t="s">
        <v>425</v>
      </c>
      <c r="I1217" t="s">
        <v>428</v>
      </c>
      <c r="J1217" t="s">
        <v>426</v>
      </c>
    </row>
    <row r="1218" spans="1:10" ht="15" customHeight="1" x14ac:dyDescent="0.25">
      <c r="A1218" s="82">
        <v>43493</v>
      </c>
      <c r="B1218" t="s">
        <v>421</v>
      </c>
      <c r="C1218" t="s">
        <v>455</v>
      </c>
      <c r="D1218" t="s">
        <v>427</v>
      </c>
      <c r="E1218" t="s">
        <v>429</v>
      </c>
      <c r="F1218" t="s">
        <v>430</v>
      </c>
      <c r="G1218" t="s">
        <v>424</v>
      </c>
      <c r="H1218" t="s">
        <v>425</v>
      </c>
      <c r="I1218" t="s">
        <v>428</v>
      </c>
      <c r="J1218" t="s">
        <v>426</v>
      </c>
    </row>
    <row r="1219" spans="1:10" ht="15" customHeight="1" x14ac:dyDescent="0.25">
      <c r="A1219" s="82">
        <v>43494</v>
      </c>
      <c r="B1219" t="s">
        <v>427</v>
      </c>
      <c r="C1219" t="s">
        <v>421</v>
      </c>
      <c r="D1219" t="s">
        <v>455</v>
      </c>
      <c r="E1219" t="s">
        <v>429</v>
      </c>
      <c r="F1219" t="s">
        <v>430</v>
      </c>
      <c r="G1219" t="s">
        <v>424</v>
      </c>
      <c r="H1219" t="s">
        <v>425</v>
      </c>
      <c r="I1219" t="s">
        <v>428</v>
      </c>
      <c r="J1219" t="s">
        <v>426</v>
      </c>
    </row>
    <row r="1220" spans="1:10" ht="15" customHeight="1" x14ac:dyDescent="0.25">
      <c r="A1220" s="82">
        <v>43495</v>
      </c>
      <c r="B1220" t="s">
        <v>455</v>
      </c>
      <c r="C1220" t="s">
        <v>421</v>
      </c>
      <c r="D1220" t="s">
        <v>427</v>
      </c>
      <c r="E1220" t="s">
        <v>429</v>
      </c>
      <c r="F1220" t="s">
        <v>430</v>
      </c>
      <c r="G1220" t="s">
        <v>424</v>
      </c>
      <c r="H1220" t="s">
        <v>425</v>
      </c>
      <c r="I1220" t="s">
        <v>428</v>
      </c>
      <c r="J1220" t="s">
        <v>426</v>
      </c>
    </row>
    <row r="1221" spans="1:10" ht="15" customHeight="1" x14ac:dyDescent="0.25">
      <c r="A1221" s="82">
        <v>43496</v>
      </c>
      <c r="B1221" t="s">
        <v>430</v>
      </c>
      <c r="C1221" t="s">
        <v>427</v>
      </c>
      <c r="D1221" t="s">
        <v>455</v>
      </c>
      <c r="E1221" t="s">
        <v>429</v>
      </c>
      <c r="F1221" t="s">
        <v>430</v>
      </c>
      <c r="G1221" t="s">
        <v>424</v>
      </c>
      <c r="H1221" t="s">
        <v>425</v>
      </c>
      <c r="I1221" t="s">
        <v>428</v>
      </c>
      <c r="J1221" t="s">
        <v>426</v>
      </c>
    </row>
    <row r="1222" spans="1:10" ht="15" customHeight="1" x14ac:dyDescent="0.25">
      <c r="A1222" s="82">
        <v>43497</v>
      </c>
      <c r="B1222" t="s">
        <v>429</v>
      </c>
      <c r="C1222" t="s">
        <v>455</v>
      </c>
      <c r="D1222" t="s">
        <v>424</v>
      </c>
      <c r="E1222" t="s">
        <v>424</v>
      </c>
      <c r="F1222" t="s">
        <v>426</v>
      </c>
      <c r="G1222" t="s">
        <v>425</v>
      </c>
      <c r="H1222" t="s">
        <v>425</v>
      </c>
      <c r="I1222" t="s">
        <v>427</v>
      </c>
      <c r="J1222" t="s">
        <v>421</v>
      </c>
    </row>
    <row r="1223" spans="1:10" ht="15" customHeight="1" x14ac:dyDescent="0.25">
      <c r="A1223" s="82">
        <v>43498</v>
      </c>
      <c r="B1223" t="s">
        <v>429</v>
      </c>
      <c r="C1223" t="s">
        <v>428</v>
      </c>
      <c r="D1223" t="s">
        <v>424</v>
      </c>
      <c r="E1223" t="s">
        <v>430</v>
      </c>
      <c r="F1223" t="s">
        <v>426</v>
      </c>
      <c r="G1223" t="s">
        <v>425</v>
      </c>
      <c r="H1223" t="s">
        <v>421</v>
      </c>
      <c r="I1223" t="s">
        <v>455</v>
      </c>
      <c r="J1223" t="s">
        <v>427</v>
      </c>
    </row>
    <row r="1224" spans="1:10" ht="15" customHeight="1" x14ac:dyDescent="0.25">
      <c r="A1224" s="82">
        <v>43499</v>
      </c>
      <c r="B1224" t="s">
        <v>429</v>
      </c>
      <c r="C1224" t="s">
        <v>428</v>
      </c>
      <c r="D1224" t="s">
        <v>424</v>
      </c>
      <c r="E1224" t="s">
        <v>430</v>
      </c>
      <c r="F1224" t="s">
        <v>426</v>
      </c>
      <c r="G1224" t="s">
        <v>425</v>
      </c>
      <c r="H1224" t="s">
        <v>421</v>
      </c>
      <c r="I1224" t="s">
        <v>427</v>
      </c>
      <c r="J1224" t="s">
        <v>455</v>
      </c>
    </row>
    <row r="1225" spans="1:10" ht="15" customHeight="1" x14ac:dyDescent="0.25">
      <c r="A1225" s="82">
        <v>43500</v>
      </c>
      <c r="B1225" t="s">
        <v>429</v>
      </c>
      <c r="C1225" t="s">
        <v>428</v>
      </c>
      <c r="D1225" t="s">
        <v>424</v>
      </c>
      <c r="E1225" t="s">
        <v>430</v>
      </c>
      <c r="F1225" t="s">
        <v>426</v>
      </c>
      <c r="G1225" t="s">
        <v>425</v>
      </c>
      <c r="H1225" t="s">
        <v>427</v>
      </c>
      <c r="I1225" t="s">
        <v>455</v>
      </c>
      <c r="J1225" t="s">
        <v>421</v>
      </c>
    </row>
    <row r="1226" spans="1:10" ht="15" customHeight="1" x14ac:dyDescent="0.25">
      <c r="A1226" s="82">
        <v>43501</v>
      </c>
      <c r="B1226" t="s">
        <v>429</v>
      </c>
      <c r="C1226" t="s">
        <v>428</v>
      </c>
      <c r="D1226" t="s">
        <v>424</v>
      </c>
      <c r="E1226" t="s">
        <v>430</v>
      </c>
      <c r="F1226" t="s">
        <v>426</v>
      </c>
      <c r="G1226" t="s">
        <v>425</v>
      </c>
      <c r="H1226" t="s">
        <v>455</v>
      </c>
      <c r="I1226" t="s">
        <v>421</v>
      </c>
      <c r="J1226" t="s">
        <v>427</v>
      </c>
    </row>
    <row r="1227" spans="1:10" ht="15" customHeight="1" x14ac:dyDescent="0.25">
      <c r="A1227" s="82">
        <v>43502</v>
      </c>
      <c r="B1227" t="s">
        <v>429</v>
      </c>
      <c r="C1227" t="s">
        <v>428</v>
      </c>
      <c r="D1227" t="s">
        <v>424</v>
      </c>
      <c r="E1227" t="s">
        <v>430</v>
      </c>
      <c r="F1227" t="s">
        <v>426</v>
      </c>
      <c r="G1227" t="s">
        <v>425</v>
      </c>
      <c r="H1227" t="s">
        <v>427</v>
      </c>
      <c r="I1227" t="s">
        <v>421</v>
      </c>
      <c r="J1227" t="s">
        <v>455</v>
      </c>
    </row>
    <row r="1228" spans="1:10" ht="15" customHeight="1" x14ac:dyDescent="0.25">
      <c r="A1228" s="82">
        <v>43503</v>
      </c>
      <c r="B1228" t="s">
        <v>429</v>
      </c>
      <c r="C1228" t="s">
        <v>428</v>
      </c>
      <c r="D1228" t="s">
        <v>424</v>
      </c>
      <c r="E1228" t="s">
        <v>430</v>
      </c>
      <c r="F1228" t="s">
        <v>426</v>
      </c>
      <c r="G1228" t="s">
        <v>425</v>
      </c>
      <c r="H1228" t="s">
        <v>455</v>
      </c>
      <c r="I1228" t="s">
        <v>427</v>
      </c>
      <c r="J1228" t="s">
        <v>429</v>
      </c>
    </row>
    <row r="1229" spans="1:10" ht="15" customHeight="1" x14ac:dyDescent="0.25">
      <c r="A1229" s="82">
        <v>43504</v>
      </c>
      <c r="B1229" t="s">
        <v>426</v>
      </c>
      <c r="C1229" t="s">
        <v>425</v>
      </c>
      <c r="D1229" t="s">
        <v>424</v>
      </c>
      <c r="E1229" t="s">
        <v>421</v>
      </c>
      <c r="F1229" t="s">
        <v>427</v>
      </c>
      <c r="G1229" t="s">
        <v>425</v>
      </c>
      <c r="H1229" t="s">
        <v>424</v>
      </c>
      <c r="I1229" t="s">
        <v>455</v>
      </c>
      <c r="J1229" t="s">
        <v>429</v>
      </c>
    </row>
    <row r="1230" spans="1:10" ht="15" customHeight="1" x14ac:dyDescent="0.25">
      <c r="A1230" s="82">
        <v>43505</v>
      </c>
      <c r="B1230" t="s">
        <v>426</v>
      </c>
      <c r="C1230" t="s">
        <v>425</v>
      </c>
      <c r="D1230" t="s">
        <v>430</v>
      </c>
      <c r="E1230" t="s">
        <v>427</v>
      </c>
      <c r="F1230" t="s">
        <v>455</v>
      </c>
      <c r="G1230" t="s">
        <v>421</v>
      </c>
      <c r="H1230" t="s">
        <v>424</v>
      </c>
      <c r="I1230" t="s">
        <v>428</v>
      </c>
      <c r="J1230" t="s">
        <v>429</v>
      </c>
    </row>
    <row r="1231" spans="1:10" ht="15" customHeight="1" x14ac:dyDescent="0.25">
      <c r="A1231" s="82">
        <v>43506</v>
      </c>
      <c r="B1231" t="s">
        <v>426</v>
      </c>
      <c r="C1231" t="s">
        <v>425</v>
      </c>
      <c r="D1231" t="s">
        <v>430</v>
      </c>
      <c r="E1231" t="s">
        <v>455</v>
      </c>
      <c r="F1231" t="s">
        <v>427</v>
      </c>
      <c r="G1231" t="s">
        <v>421</v>
      </c>
      <c r="H1231" t="s">
        <v>424</v>
      </c>
      <c r="I1231" t="s">
        <v>428</v>
      </c>
      <c r="J1231" t="s">
        <v>429</v>
      </c>
    </row>
    <row r="1232" spans="1:10" ht="15" customHeight="1" x14ac:dyDescent="0.25">
      <c r="A1232" s="82">
        <v>43507</v>
      </c>
      <c r="B1232" t="s">
        <v>426</v>
      </c>
      <c r="C1232" t="s">
        <v>425</v>
      </c>
      <c r="D1232" t="s">
        <v>430</v>
      </c>
      <c r="E1232" t="s">
        <v>421</v>
      </c>
      <c r="F1232" t="s">
        <v>455</v>
      </c>
      <c r="G1232" t="s">
        <v>427</v>
      </c>
      <c r="H1232" t="s">
        <v>424</v>
      </c>
      <c r="I1232" t="s">
        <v>428</v>
      </c>
      <c r="J1232" t="s">
        <v>429</v>
      </c>
    </row>
    <row r="1233" spans="1:10" ht="15" customHeight="1" x14ac:dyDescent="0.25">
      <c r="A1233" s="82">
        <v>43508</v>
      </c>
      <c r="B1233" t="s">
        <v>426</v>
      </c>
      <c r="C1233" t="s">
        <v>425</v>
      </c>
      <c r="D1233" t="s">
        <v>430</v>
      </c>
      <c r="E1233" t="s">
        <v>427</v>
      </c>
      <c r="F1233" t="s">
        <v>421</v>
      </c>
      <c r="G1233" t="s">
        <v>455</v>
      </c>
      <c r="H1233" t="s">
        <v>424</v>
      </c>
      <c r="I1233" t="s">
        <v>428</v>
      </c>
      <c r="J1233" t="s">
        <v>429</v>
      </c>
    </row>
    <row r="1234" spans="1:10" ht="15" customHeight="1" x14ac:dyDescent="0.25">
      <c r="A1234" s="82">
        <v>43509</v>
      </c>
      <c r="B1234" t="s">
        <v>426</v>
      </c>
      <c r="C1234" t="s">
        <v>425</v>
      </c>
      <c r="D1234" t="s">
        <v>430</v>
      </c>
      <c r="E1234" t="s">
        <v>455</v>
      </c>
      <c r="F1234" t="s">
        <v>421</v>
      </c>
      <c r="G1234" t="s">
        <v>427</v>
      </c>
      <c r="H1234" t="s">
        <v>424</v>
      </c>
      <c r="I1234" t="s">
        <v>428</v>
      </c>
      <c r="J1234" t="s">
        <v>429</v>
      </c>
    </row>
    <row r="1235" spans="1:10" ht="15" customHeight="1" x14ac:dyDescent="0.25">
      <c r="A1235" s="82">
        <v>43510</v>
      </c>
      <c r="B1235" t="s">
        <v>426</v>
      </c>
      <c r="C1235" t="s">
        <v>425</v>
      </c>
      <c r="D1235" t="s">
        <v>430</v>
      </c>
      <c r="E1235" t="s">
        <v>429</v>
      </c>
      <c r="F1235" t="s">
        <v>427</v>
      </c>
      <c r="G1235" t="s">
        <v>455</v>
      </c>
      <c r="H1235" t="s">
        <v>424</v>
      </c>
      <c r="I1235" t="s">
        <v>428</v>
      </c>
      <c r="J1235" t="s">
        <v>429</v>
      </c>
    </row>
    <row r="1236" spans="1:10" ht="15" customHeight="1" x14ac:dyDescent="0.25">
      <c r="A1236" s="82">
        <v>43511</v>
      </c>
      <c r="B1236" t="s">
        <v>427</v>
      </c>
      <c r="C1236" t="s">
        <v>425</v>
      </c>
      <c r="D1236" t="s">
        <v>421</v>
      </c>
      <c r="E1236" t="s">
        <v>429</v>
      </c>
      <c r="F1236" t="s">
        <v>455</v>
      </c>
      <c r="G1236" t="s">
        <v>424</v>
      </c>
      <c r="H1236" t="s">
        <v>424</v>
      </c>
      <c r="I1236" t="s">
        <v>425</v>
      </c>
      <c r="J1236" t="s">
        <v>426</v>
      </c>
    </row>
    <row r="1237" spans="1:10" ht="15" customHeight="1" x14ac:dyDescent="0.25">
      <c r="A1237" s="82">
        <v>43512</v>
      </c>
      <c r="B1237" t="s">
        <v>455</v>
      </c>
      <c r="C1237" t="s">
        <v>421</v>
      </c>
      <c r="D1237" t="s">
        <v>427</v>
      </c>
      <c r="E1237" t="s">
        <v>429</v>
      </c>
      <c r="F1237" t="s">
        <v>428</v>
      </c>
      <c r="G1237" t="s">
        <v>424</v>
      </c>
      <c r="H1237" t="s">
        <v>430</v>
      </c>
      <c r="I1237" t="s">
        <v>425</v>
      </c>
      <c r="J1237" t="s">
        <v>426</v>
      </c>
    </row>
    <row r="1238" spans="1:10" ht="15" customHeight="1" x14ac:dyDescent="0.25">
      <c r="A1238" s="82">
        <v>43513</v>
      </c>
      <c r="B1238" t="s">
        <v>427</v>
      </c>
      <c r="C1238" t="s">
        <v>421</v>
      </c>
      <c r="D1238" t="s">
        <v>455</v>
      </c>
      <c r="E1238" t="s">
        <v>429</v>
      </c>
      <c r="F1238" t="s">
        <v>428</v>
      </c>
      <c r="G1238" t="s">
        <v>424</v>
      </c>
      <c r="H1238" t="s">
        <v>430</v>
      </c>
      <c r="I1238" t="s">
        <v>425</v>
      </c>
      <c r="J1238" t="s">
        <v>426</v>
      </c>
    </row>
    <row r="1239" spans="1:10" ht="15" customHeight="1" x14ac:dyDescent="0.25">
      <c r="A1239" s="82">
        <v>43514</v>
      </c>
      <c r="B1239" t="s">
        <v>455</v>
      </c>
      <c r="C1239" t="s">
        <v>427</v>
      </c>
      <c r="D1239" t="s">
        <v>421</v>
      </c>
      <c r="E1239" t="s">
        <v>429</v>
      </c>
      <c r="F1239" t="s">
        <v>428</v>
      </c>
      <c r="G1239" t="s">
        <v>424</v>
      </c>
      <c r="H1239" t="s">
        <v>430</v>
      </c>
      <c r="I1239" t="s">
        <v>425</v>
      </c>
      <c r="J1239" t="s">
        <v>426</v>
      </c>
    </row>
    <row r="1240" spans="1:10" ht="15" customHeight="1" x14ac:dyDescent="0.25">
      <c r="A1240" s="82">
        <v>43515</v>
      </c>
      <c r="B1240" t="s">
        <v>421</v>
      </c>
      <c r="C1240" t="s">
        <v>455</v>
      </c>
      <c r="D1240" t="s">
        <v>427</v>
      </c>
      <c r="E1240" t="s">
        <v>429</v>
      </c>
      <c r="F1240" t="s">
        <v>428</v>
      </c>
      <c r="G1240" t="s">
        <v>424</v>
      </c>
      <c r="H1240" t="s">
        <v>430</v>
      </c>
      <c r="I1240" t="s">
        <v>425</v>
      </c>
      <c r="J1240" t="s">
        <v>426</v>
      </c>
    </row>
    <row r="1241" spans="1:10" ht="15" customHeight="1" x14ac:dyDescent="0.25">
      <c r="A1241" s="82">
        <v>43516</v>
      </c>
      <c r="B1241" t="s">
        <v>421</v>
      </c>
      <c r="C1241" t="s">
        <v>427</v>
      </c>
      <c r="D1241" t="s">
        <v>455</v>
      </c>
      <c r="E1241" t="s">
        <v>429</v>
      </c>
      <c r="F1241" t="s">
        <v>428</v>
      </c>
      <c r="G1241" t="s">
        <v>424</v>
      </c>
      <c r="H1241" t="s">
        <v>430</v>
      </c>
      <c r="I1241" t="s">
        <v>425</v>
      </c>
      <c r="J1241" t="s">
        <v>426</v>
      </c>
    </row>
    <row r="1242" spans="1:10" ht="15" customHeight="1" x14ac:dyDescent="0.25">
      <c r="A1242" s="82">
        <v>43517</v>
      </c>
      <c r="B1242" t="s">
        <v>427</v>
      </c>
      <c r="C1242" t="s">
        <v>455</v>
      </c>
      <c r="D1242" t="s">
        <v>429</v>
      </c>
      <c r="E1242" t="s">
        <v>429</v>
      </c>
      <c r="F1242" t="s">
        <v>428</v>
      </c>
      <c r="G1242" t="s">
        <v>424</v>
      </c>
      <c r="H1242" t="s">
        <v>430</v>
      </c>
      <c r="I1242" t="s">
        <v>425</v>
      </c>
      <c r="J1242" t="s">
        <v>426</v>
      </c>
    </row>
    <row r="1243" spans="1:10" ht="15" customHeight="1" x14ac:dyDescent="0.25">
      <c r="A1243" s="82">
        <v>43518</v>
      </c>
      <c r="B1243" t="s">
        <v>455</v>
      </c>
      <c r="C1243" t="s">
        <v>424</v>
      </c>
      <c r="D1243" t="s">
        <v>429</v>
      </c>
      <c r="E1243" t="s">
        <v>426</v>
      </c>
      <c r="F1243" t="s">
        <v>425</v>
      </c>
      <c r="G1243" t="s">
        <v>424</v>
      </c>
      <c r="H1243" t="s">
        <v>421</v>
      </c>
      <c r="I1243" t="s">
        <v>425</v>
      </c>
      <c r="J1243" t="s">
        <v>427</v>
      </c>
    </row>
    <row r="1244" spans="1:10" ht="15" customHeight="1" x14ac:dyDescent="0.25">
      <c r="A1244" s="82">
        <v>43519</v>
      </c>
      <c r="B1244" t="s">
        <v>428</v>
      </c>
      <c r="C1244" t="s">
        <v>424</v>
      </c>
      <c r="D1244" t="s">
        <v>429</v>
      </c>
      <c r="E1244" t="s">
        <v>426</v>
      </c>
      <c r="F1244" t="s">
        <v>425</v>
      </c>
      <c r="G1244" t="s">
        <v>430</v>
      </c>
      <c r="H1244" t="s">
        <v>427</v>
      </c>
      <c r="I1244" t="s">
        <v>421</v>
      </c>
      <c r="J1244" t="s">
        <v>455</v>
      </c>
    </row>
    <row r="1245" spans="1:10" ht="15" customHeight="1" x14ac:dyDescent="0.25">
      <c r="A1245" s="82">
        <v>43520</v>
      </c>
      <c r="B1245" t="s">
        <v>428</v>
      </c>
      <c r="C1245" t="s">
        <v>424</v>
      </c>
      <c r="D1245" t="s">
        <v>429</v>
      </c>
      <c r="E1245" t="s">
        <v>426</v>
      </c>
      <c r="F1245" t="s">
        <v>425</v>
      </c>
      <c r="G1245" t="s">
        <v>430</v>
      </c>
      <c r="H1245" t="s">
        <v>455</v>
      </c>
      <c r="I1245" t="s">
        <v>421</v>
      </c>
      <c r="J1245" t="s">
        <v>427</v>
      </c>
    </row>
    <row r="1246" spans="1:10" ht="15" customHeight="1" x14ac:dyDescent="0.25">
      <c r="A1246" s="82">
        <v>43521</v>
      </c>
      <c r="B1246" t="s">
        <v>428</v>
      </c>
      <c r="C1246" t="s">
        <v>424</v>
      </c>
      <c r="D1246" t="s">
        <v>429</v>
      </c>
      <c r="E1246" t="s">
        <v>426</v>
      </c>
      <c r="F1246" t="s">
        <v>425</v>
      </c>
      <c r="G1246" t="s">
        <v>430</v>
      </c>
      <c r="H1246" t="s">
        <v>421</v>
      </c>
      <c r="I1246" t="s">
        <v>427</v>
      </c>
      <c r="J1246" t="s">
        <v>455</v>
      </c>
    </row>
    <row r="1247" spans="1:10" ht="15" customHeight="1" x14ac:dyDescent="0.25">
      <c r="A1247" s="82">
        <v>43522</v>
      </c>
      <c r="B1247" t="s">
        <v>428</v>
      </c>
      <c r="C1247" t="s">
        <v>424</v>
      </c>
      <c r="D1247" t="s">
        <v>429</v>
      </c>
      <c r="E1247" t="s">
        <v>426</v>
      </c>
      <c r="F1247" t="s">
        <v>425</v>
      </c>
      <c r="G1247" t="s">
        <v>430</v>
      </c>
      <c r="H1247" t="s">
        <v>427</v>
      </c>
      <c r="I1247" t="s">
        <v>455</v>
      </c>
      <c r="J1247" t="s">
        <v>421</v>
      </c>
    </row>
    <row r="1248" spans="1:10" ht="15" customHeight="1" x14ac:dyDescent="0.25">
      <c r="A1248" s="82">
        <v>43523</v>
      </c>
      <c r="B1248" t="s">
        <v>428</v>
      </c>
      <c r="C1248" t="s">
        <v>424</v>
      </c>
      <c r="D1248" t="s">
        <v>429</v>
      </c>
      <c r="E1248" t="s">
        <v>426</v>
      </c>
      <c r="F1248" t="s">
        <v>425</v>
      </c>
      <c r="G1248" t="s">
        <v>430</v>
      </c>
      <c r="H1248" t="s">
        <v>455</v>
      </c>
      <c r="I1248" t="s">
        <v>427</v>
      </c>
      <c r="J1248" t="s">
        <v>421</v>
      </c>
    </row>
    <row r="1249" spans="1:10" ht="15" customHeight="1" x14ac:dyDescent="0.25">
      <c r="A1249" s="82">
        <v>43524</v>
      </c>
      <c r="B1249" t="s">
        <v>428</v>
      </c>
      <c r="C1249" t="s">
        <v>424</v>
      </c>
      <c r="D1249" t="s">
        <v>429</v>
      </c>
      <c r="E1249" t="s">
        <v>426</v>
      </c>
      <c r="F1249" t="s">
        <v>425</v>
      </c>
      <c r="G1249" t="s">
        <v>430</v>
      </c>
      <c r="H1249" t="s">
        <v>429</v>
      </c>
      <c r="I1249" t="s">
        <v>455</v>
      </c>
      <c r="J1249" t="s">
        <v>427</v>
      </c>
    </row>
    <row r="1250" spans="1:10" ht="15" customHeight="1" x14ac:dyDescent="0.25">
      <c r="A1250" s="82">
        <v>43525</v>
      </c>
      <c r="B1250" t="s">
        <v>425</v>
      </c>
      <c r="C1250" t="s">
        <v>424</v>
      </c>
      <c r="D1250" t="s">
        <v>426</v>
      </c>
      <c r="E1250" t="s">
        <v>427</v>
      </c>
      <c r="F1250" t="s">
        <v>425</v>
      </c>
      <c r="G1250" t="s">
        <v>421</v>
      </c>
      <c r="H1250" t="s">
        <v>429</v>
      </c>
      <c r="I1250" t="s">
        <v>424</v>
      </c>
      <c r="J1250" t="s">
        <v>455</v>
      </c>
    </row>
    <row r="1251" spans="1:10" ht="15" customHeight="1" x14ac:dyDescent="0.25">
      <c r="A1251" s="82">
        <v>43526</v>
      </c>
      <c r="B1251" t="s">
        <v>425</v>
      </c>
      <c r="C1251" t="s">
        <v>430</v>
      </c>
      <c r="D1251" t="s">
        <v>426</v>
      </c>
      <c r="E1251" t="s">
        <v>455</v>
      </c>
      <c r="F1251" t="s">
        <v>421</v>
      </c>
      <c r="G1251" t="s">
        <v>427</v>
      </c>
      <c r="H1251" t="s">
        <v>429</v>
      </c>
      <c r="I1251" t="s">
        <v>424</v>
      </c>
      <c r="J1251" t="s">
        <v>428</v>
      </c>
    </row>
    <row r="1252" spans="1:10" ht="15" customHeight="1" x14ac:dyDescent="0.25">
      <c r="A1252" s="82">
        <v>43527</v>
      </c>
      <c r="B1252" t="s">
        <v>425</v>
      </c>
      <c r="C1252" t="s">
        <v>430</v>
      </c>
      <c r="D1252" t="s">
        <v>426</v>
      </c>
      <c r="E1252" t="s">
        <v>427</v>
      </c>
      <c r="F1252" t="s">
        <v>421</v>
      </c>
      <c r="G1252" t="s">
        <v>455</v>
      </c>
      <c r="H1252" t="s">
        <v>429</v>
      </c>
      <c r="I1252" t="s">
        <v>424</v>
      </c>
      <c r="J1252" t="s">
        <v>428</v>
      </c>
    </row>
    <row r="1253" spans="1:10" ht="15" customHeight="1" x14ac:dyDescent="0.25">
      <c r="A1253" s="82">
        <v>43528</v>
      </c>
      <c r="B1253" t="s">
        <v>425</v>
      </c>
      <c r="C1253" t="s">
        <v>430</v>
      </c>
      <c r="D1253" t="s">
        <v>426</v>
      </c>
      <c r="E1253" t="s">
        <v>455</v>
      </c>
      <c r="F1253" t="s">
        <v>427</v>
      </c>
      <c r="G1253" t="s">
        <v>421</v>
      </c>
      <c r="H1253" t="s">
        <v>429</v>
      </c>
      <c r="I1253" t="s">
        <v>424</v>
      </c>
      <c r="J1253" t="s">
        <v>428</v>
      </c>
    </row>
    <row r="1254" spans="1:10" ht="15" customHeight="1" x14ac:dyDescent="0.25">
      <c r="A1254" s="82">
        <v>43529</v>
      </c>
      <c r="B1254" t="s">
        <v>425</v>
      </c>
      <c r="C1254" t="s">
        <v>430</v>
      </c>
      <c r="D1254" t="s">
        <v>426</v>
      </c>
      <c r="E1254" t="s">
        <v>421</v>
      </c>
      <c r="F1254" t="s">
        <v>455</v>
      </c>
      <c r="G1254" t="s">
        <v>427</v>
      </c>
      <c r="H1254" t="s">
        <v>429</v>
      </c>
      <c r="I1254" t="s">
        <v>424</v>
      </c>
      <c r="J1254" t="s">
        <v>428</v>
      </c>
    </row>
    <row r="1255" spans="1:10" ht="15" customHeight="1" x14ac:dyDescent="0.25">
      <c r="A1255" s="82">
        <v>43530</v>
      </c>
      <c r="B1255" t="s">
        <v>425</v>
      </c>
      <c r="C1255" t="s">
        <v>430</v>
      </c>
      <c r="D1255" t="s">
        <v>426</v>
      </c>
      <c r="E1255" t="s">
        <v>421</v>
      </c>
      <c r="F1255" t="s">
        <v>427</v>
      </c>
      <c r="G1255" t="s">
        <v>455</v>
      </c>
      <c r="H1255" t="s">
        <v>429</v>
      </c>
      <c r="I1255" t="s">
        <v>424</v>
      </c>
      <c r="J1255" t="s">
        <v>428</v>
      </c>
    </row>
    <row r="1256" spans="1:10" ht="15" customHeight="1" x14ac:dyDescent="0.25">
      <c r="A1256" s="82">
        <v>43531</v>
      </c>
      <c r="B1256" t="s">
        <v>425</v>
      </c>
      <c r="C1256" t="s">
        <v>430</v>
      </c>
      <c r="D1256" t="s">
        <v>426</v>
      </c>
      <c r="E1256" t="s">
        <v>427</v>
      </c>
      <c r="F1256" t="s">
        <v>455</v>
      </c>
      <c r="G1256" t="s">
        <v>429</v>
      </c>
      <c r="H1256" t="s">
        <v>429</v>
      </c>
      <c r="I1256" t="s">
        <v>424</v>
      </c>
      <c r="J1256" t="s">
        <v>428</v>
      </c>
    </row>
    <row r="1257" spans="1:10" ht="15" customHeight="1" x14ac:dyDescent="0.25">
      <c r="A1257" s="82">
        <v>43532</v>
      </c>
      <c r="B1257" t="s">
        <v>425</v>
      </c>
      <c r="C1257" t="s">
        <v>421</v>
      </c>
      <c r="D1257" t="s">
        <v>427</v>
      </c>
      <c r="E1257" t="s">
        <v>455</v>
      </c>
      <c r="F1257" t="s">
        <v>424</v>
      </c>
      <c r="G1257" t="s">
        <v>429</v>
      </c>
      <c r="H1257" t="s">
        <v>426</v>
      </c>
      <c r="I1257" t="s">
        <v>424</v>
      </c>
      <c r="J1257" t="s">
        <v>425</v>
      </c>
    </row>
    <row r="1258" spans="1:10" ht="15" customHeight="1" x14ac:dyDescent="0.25">
      <c r="A1258" s="82">
        <v>43533</v>
      </c>
      <c r="B1258" t="s">
        <v>421</v>
      </c>
      <c r="C1258" t="s">
        <v>427</v>
      </c>
      <c r="D1258" t="s">
        <v>455</v>
      </c>
      <c r="E1258" t="s">
        <v>428</v>
      </c>
      <c r="F1258" t="s">
        <v>424</v>
      </c>
      <c r="G1258" t="s">
        <v>429</v>
      </c>
      <c r="H1258" t="s">
        <v>426</v>
      </c>
      <c r="I1258" t="s">
        <v>430</v>
      </c>
      <c r="J1258" t="s">
        <v>425</v>
      </c>
    </row>
    <row r="1259" spans="1:10" ht="15" customHeight="1" x14ac:dyDescent="0.25">
      <c r="A1259" s="82">
        <v>43534</v>
      </c>
      <c r="B1259" t="s">
        <v>421</v>
      </c>
      <c r="C1259" t="s">
        <v>455</v>
      </c>
      <c r="D1259" t="s">
        <v>427</v>
      </c>
      <c r="E1259" t="s">
        <v>428</v>
      </c>
      <c r="F1259" t="s">
        <v>424</v>
      </c>
      <c r="G1259" t="s">
        <v>429</v>
      </c>
      <c r="H1259" t="s">
        <v>426</v>
      </c>
      <c r="I1259" t="s">
        <v>430</v>
      </c>
      <c r="J1259" t="s">
        <v>425</v>
      </c>
    </row>
    <row r="1260" spans="1:10" ht="15" customHeight="1" x14ac:dyDescent="0.25">
      <c r="A1260" s="82">
        <v>43535</v>
      </c>
      <c r="B1260" t="s">
        <v>427</v>
      </c>
      <c r="C1260" t="s">
        <v>421</v>
      </c>
      <c r="D1260" t="s">
        <v>455</v>
      </c>
      <c r="E1260" t="s">
        <v>428</v>
      </c>
      <c r="F1260" t="s">
        <v>424</v>
      </c>
      <c r="G1260" t="s">
        <v>429</v>
      </c>
      <c r="H1260" t="s">
        <v>426</v>
      </c>
      <c r="I1260" t="s">
        <v>430</v>
      </c>
      <c r="J1260" t="s">
        <v>425</v>
      </c>
    </row>
    <row r="1261" spans="1:10" ht="15" customHeight="1" x14ac:dyDescent="0.25">
      <c r="A1261" s="82">
        <v>43536</v>
      </c>
      <c r="B1261" t="s">
        <v>455</v>
      </c>
      <c r="C1261" t="s">
        <v>427</v>
      </c>
      <c r="D1261" t="s">
        <v>421</v>
      </c>
      <c r="E1261" t="s">
        <v>428</v>
      </c>
      <c r="F1261" t="s">
        <v>424</v>
      </c>
      <c r="G1261" t="s">
        <v>429</v>
      </c>
      <c r="H1261" t="s">
        <v>426</v>
      </c>
      <c r="I1261" t="s">
        <v>430</v>
      </c>
      <c r="J1261" t="s">
        <v>425</v>
      </c>
    </row>
    <row r="1262" spans="1:10" ht="15" customHeight="1" x14ac:dyDescent="0.25">
      <c r="A1262" s="82">
        <v>43537</v>
      </c>
      <c r="B1262" t="s">
        <v>427</v>
      </c>
      <c r="C1262" t="s">
        <v>455</v>
      </c>
      <c r="D1262" t="s">
        <v>421</v>
      </c>
      <c r="E1262" t="s">
        <v>428</v>
      </c>
      <c r="F1262" t="s">
        <v>424</v>
      </c>
      <c r="G1262" t="s">
        <v>429</v>
      </c>
      <c r="H1262" t="s">
        <v>426</v>
      </c>
      <c r="I1262" t="s">
        <v>430</v>
      </c>
      <c r="J1262" t="s">
        <v>425</v>
      </c>
    </row>
    <row r="1263" spans="1:10" ht="15" customHeight="1" x14ac:dyDescent="0.25">
      <c r="A1263" s="82">
        <v>43538</v>
      </c>
      <c r="B1263" t="s">
        <v>455</v>
      </c>
      <c r="C1263" t="s">
        <v>421</v>
      </c>
      <c r="D1263" t="s">
        <v>427</v>
      </c>
      <c r="E1263" t="s">
        <v>428</v>
      </c>
      <c r="F1263" t="s">
        <v>424</v>
      </c>
      <c r="G1263" t="s">
        <v>429</v>
      </c>
      <c r="H1263" t="s">
        <v>426</v>
      </c>
      <c r="I1263" t="s">
        <v>430</v>
      </c>
      <c r="J1263" t="s">
        <v>425</v>
      </c>
    </row>
    <row r="1264" spans="1:10" ht="15" customHeight="1" x14ac:dyDescent="0.25">
      <c r="A1264" s="82">
        <v>43539</v>
      </c>
      <c r="B1264" t="s">
        <v>424</v>
      </c>
      <c r="C1264" t="s">
        <v>429</v>
      </c>
      <c r="D1264" t="s">
        <v>455</v>
      </c>
      <c r="E1264" t="s">
        <v>425</v>
      </c>
      <c r="F1264" t="s">
        <v>424</v>
      </c>
      <c r="G1264" t="s">
        <v>426</v>
      </c>
      <c r="H1264" t="s">
        <v>427</v>
      </c>
      <c r="I1264" t="s">
        <v>421</v>
      </c>
      <c r="J1264" t="s">
        <v>425</v>
      </c>
    </row>
    <row r="1265" spans="1:10" ht="15" customHeight="1" x14ac:dyDescent="0.25">
      <c r="A1265" s="82">
        <v>43540</v>
      </c>
      <c r="B1265" t="s">
        <v>424</v>
      </c>
      <c r="C1265" t="s">
        <v>429</v>
      </c>
      <c r="D1265" t="s">
        <v>428</v>
      </c>
      <c r="E1265" t="s">
        <v>425</v>
      </c>
      <c r="F1265" t="s">
        <v>430</v>
      </c>
      <c r="G1265" t="s">
        <v>426</v>
      </c>
      <c r="H1265" t="s">
        <v>455</v>
      </c>
      <c r="I1265" t="s">
        <v>427</v>
      </c>
      <c r="J1265" t="s">
        <v>421</v>
      </c>
    </row>
    <row r="1266" spans="1:10" ht="15" customHeight="1" x14ac:dyDescent="0.25">
      <c r="A1266" s="82">
        <v>43541</v>
      </c>
      <c r="B1266" t="s">
        <v>424</v>
      </c>
      <c r="C1266" t="s">
        <v>429</v>
      </c>
      <c r="D1266" t="s">
        <v>428</v>
      </c>
      <c r="E1266" t="s">
        <v>425</v>
      </c>
      <c r="F1266" t="s">
        <v>430</v>
      </c>
      <c r="G1266" t="s">
        <v>426</v>
      </c>
      <c r="H1266" t="s">
        <v>427</v>
      </c>
      <c r="I1266" t="s">
        <v>455</v>
      </c>
      <c r="J1266" t="s">
        <v>421</v>
      </c>
    </row>
    <row r="1267" spans="1:10" ht="15" customHeight="1" x14ac:dyDescent="0.25">
      <c r="A1267" s="82">
        <v>43542</v>
      </c>
      <c r="B1267" t="s">
        <v>424</v>
      </c>
      <c r="C1267" t="s">
        <v>429</v>
      </c>
      <c r="D1267" t="s">
        <v>428</v>
      </c>
      <c r="E1267" t="s">
        <v>425</v>
      </c>
      <c r="F1267" t="s">
        <v>430</v>
      </c>
      <c r="G1267" t="s">
        <v>426</v>
      </c>
      <c r="H1267" t="s">
        <v>455</v>
      </c>
      <c r="I1267" t="s">
        <v>421</v>
      </c>
      <c r="J1267" t="s">
        <v>427</v>
      </c>
    </row>
    <row r="1268" spans="1:10" ht="15" customHeight="1" x14ac:dyDescent="0.25">
      <c r="A1268" s="82">
        <v>43543</v>
      </c>
      <c r="B1268" t="s">
        <v>424</v>
      </c>
      <c r="C1268" t="s">
        <v>429</v>
      </c>
      <c r="D1268" t="s">
        <v>428</v>
      </c>
      <c r="E1268" t="s">
        <v>425</v>
      </c>
      <c r="F1268" t="s">
        <v>430</v>
      </c>
      <c r="G1268" t="s">
        <v>426</v>
      </c>
      <c r="H1268" t="s">
        <v>421</v>
      </c>
      <c r="I1268" t="s">
        <v>427</v>
      </c>
      <c r="J1268" t="s">
        <v>455</v>
      </c>
    </row>
    <row r="1269" spans="1:10" ht="15" customHeight="1" x14ac:dyDescent="0.25">
      <c r="A1269" s="82">
        <v>43544</v>
      </c>
      <c r="B1269" t="s">
        <v>424</v>
      </c>
      <c r="C1269" t="s">
        <v>429</v>
      </c>
      <c r="D1269" t="s">
        <v>428</v>
      </c>
      <c r="E1269" t="s">
        <v>425</v>
      </c>
      <c r="F1269" t="s">
        <v>430</v>
      </c>
      <c r="G1269" t="s">
        <v>426</v>
      </c>
      <c r="H1269" t="s">
        <v>421</v>
      </c>
      <c r="I1269" t="s">
        <v>455</v>
      </c>
      <c r="J1269" t="s">
        <v>427</v>
      </c>
    </row>
    <row r="1270" spans="1:10" ht="15" customHeight="1" x14ac:dyDescent="0.25">
      <c r="A1270" s="82">
        <v>43545</v>
      </c>
      <c r="B1270" t="s">
        <v>424</v>
      </c>
      <c r="C1270" t="s">
        <v>429</v>
      </c>
      <c r="D1270" t="s">
        <v>428</v>
      </c>
      <c r="E1270" t="s">
        <v>425</v>
      </c>
      <c r="F1270" t="s">
        <v>430</v>
      </c>
      <c r="G1270" t="s">
        <v>426</v>
      </c>
      <c r="H1270" t="s">
        <v>427</v>
      </c>
      <c r="I1270" t="s">
        <v>421</v>
      </c>
      <c r="J1270" t="s">
        <v>455</v>
      </c>
    </row>
    <row r="1271" spans="1:10" ht="15" customHeight="1" x14ac:dyDescent="0.25">
      <c r="A1271" s="82">
        <v>43546</v>
      </c>
      <c r="B1271" t="s">
        <v>424</v>
      </c>
      <c r="C1271" t="s">
        <v>426</v>
      </c>
      <c r="D1271" t="s">
        <v>425</v>
      </c>
      <c r="E1271" t="s">
        <v>425</v>
      </c>
      <c r="F1271" t="s">
        <v>421</v>
      </c>
      <c r="G1271" t="s">
        <v>427</v>
      </c>
      <c r="H1271" t="s">
        <v>455</v>
      </c>
      <c r="I1271" t="s">
        <v>429</v>
      </c>
      <c r="J1271" t="s">
        <v>424</v>
      </c>
    </row>
    <row r="1272" spans="1:10" ht="15" customHeight="1" x14ac:dyDescent="0.25">
      <c r="A1272" s="82">
        <v>43547</v>
      </c>
      <c r="B1272" t="s">
        <v>430</v>
      </c>
      <c r="C1272" t="s">
        <v>426</v>
      </c>
      <c r="D1272" t="s">
        <v>425</v>
      </c>
      <c r="E1272" t="s">
        <v>421</v>
      </c>
      <c r="F1272" t="s">
        <v>427</v>
      </c>
      <c r="G1272" t="s">
        <v>455</v>
      </c>
      <c r="H1272" t="s">
        <v>428</v>
      </c>
      <c r="I1272" t="s">
        <v>429</v>
      </c>
      <c r="J1272" t="s">
        <v>424</v>
      </c>
    </row>
    <row r="1273" spans="1:10" ht="15" customHeight="1" x14ac:dyDescent="0.25">
      <c r="A1273" s="82">
        <v>43548</v>
      </c>
      <c r="B1273" t="s">
        <v>430</v>
      </c>
      <c r="C1273" t="s">
        <v>426</v>
      </c>
      <c r="D1273" t="s">
        <v>425</v>
      </c>
      <c r="E1273" t="s">
        <v>421</v>
      </c>
      <c r="F1273" t="s">
        <v>455</v>
      </c>
      <c r="G1273" t="s">
        <v>427</v>
      </c>
      <c r="H1273" t="s">
        <v>428</v>
      </c>
      <c r="I1273" t="s">
        <v>429</v>
      </c>
      <c r="J1273" t="s">
        <v>424</v>
      </c>
    </row>
    <row r="1274" spans="1:10" ht="15" customHeight="1" x14ac:dyDescent="0.25">
      <c r="A1274" s="82">
        <v>43549</v>
      </c>
      <c r="B1274" t="s">
        <v>430</v>
      </c>
      <c r="C1274" t="s">
        <v>426</v>
      </c>
      <c r="D1274" t="s">
        <v>425</v>
      </c>
      <c r="E1274" t="s">
        <v>427</v>
      </c>
      <c r="F1274" t="s">
        <v>421</v>
      </c>
      <c r="G1274" t="s">
        <v>455</v>
      </c>
      <c r="H1274" t="s">
        <v>428</v>
      </c>
      <c r="I1274" t="s">
        <v>429</v>
      </c>
      <c r="J1274" t="s">
        <v>424</v>
      </c>
    </row>
    <row r="1275" spans="1:10" ht="15" customHeight="1" x14ac:dyDescent="0.25">
      <c r="A1275" s="82">
        <v>43550</v>
      </c>
      <c r="B1275" t="s">
        <v>430</v>
      </c>
      <c r="C1275" t="s">
        <v>426</v>
      </c>
      <c r="D1275" t="s">
        <v>425</v>
      </c>
      <c r="E1275" t="s">
        <v>455</v>
      </c>
      <c r="F1275" t="s">
        <v>427</v>
      </c>
      <c r="G1275" t="s">
        <v>421</v>
      </c>
      <c r="H1275" t="s">
        <v>428</v>
      </c>
      <c r="I1275" t="s">
        <v>429</v>
      </c>
      <c r="J1275" t="s">
        <v>424</v>
      </c>
    </row>
    <row r="1276" spans="1:10" ht="15" customHeight="1" x14ac:dyDescent="0.25">
      <c r="A1276" s="82">
        <v>43551</v>
      </c>
      <c r="B1276" t="s">
        <v>430</v>
      </c>
      <c r="C1276" t="s">
        <v>426</v>
      </c>
      <c r="D1276" t="s">
        <v>425</v>
      </c>
      <c r="E1276" t="s">
        <v>427</v>
      </c>
      <c r="F1276" t="s">
        <v>455</v>
      </c>
      <c r="G1276" t="s">
        <v>421</v>
      </c>
      <c r="H1276" t="s">
        <v>428</v>
      </c>
      <c r="I1276" t="s">
        <v>429</v>
      </c>
      <c r="J1276" t="s">
        <v>424</v>
      </c>
    </row>
    <row r="1277" spans="1:10" ht="15" customHeight="1" x14ac:dyDescent="0.25">
      <c r="A1277" s="82">
        <v>43552</v>
      </c>
      <c r="B1277" t="s">
        <v>430</v>
      </c>
      <c r="C1277" t="s">
        <v>426</v>
      </c>
      <c r="D1277" t="s">
        <v>425</v>
      </c>
      <c r="E1277" t="s">
        <v>455</v>
      </c>
      <c r="F1277" t="s">
        <v>421</v>
      </c>
      <c r="G1277" t="s">
        <v>427</v>
      </c>
      <c r="H1277" t="s">
        <v>428</v>
      </c>
      <c r="I1277" t="s">
        <v>429</v>
      </c>
      <c r="J1277" t="s">
        <v>424</v>
      </c>
    </row>
    <row r="1278" spans="1:10" ht="15" customHeight="1" x14ac:dyDescent="0.25">
      <c r="A1278" s="82">
        <v>43553</v>
      </c>
      <c r="B1278" t="s">
        <v>421</v>
      </c>
      <c r="C1278" t="s">
        <v>427</v>
      </c>
      <c r="D1278" t="s">
        <v>425</v>
      </c>
      <c r="E1278" t="s">
        <v>424</v>
      </c>
      <c r="F1278" t="s">
        <v>429</v>
      </c>
      <c r="G1278" t="s">
        <v>455</v>
      </c>
      <c r="H1278" t="s">
        <v>425</v>
      </c>
      <c r="I1278" t="s">
        <v>426</v>
      </c>
      <c r="J1278" t="s">
        <v>424</v>
      </c>
    </row>
    <row r="1279" spans="1:10" ht="15" customHeight="1" x14ac:dyDescent="0.25">
      <c r="A1279" s="82">
        <v>43554</v>
      </c>
      <c r="B1279" t="s">
        <v>427</v>
      </c>
      <c r="C1279" t="s">
        <v>455</v>
      </c>
      <c r="D1279" t="s">
        <v>421</v>
      </c>
      <c r="E1279" t="s">
        <v>424</v>
      </c>
      <c r="F1279" t="s">
        <v>429</v>
      </c>
      <c r="G1279" t="s">
        <v>428</v>
      </c>
      <c r="H1279" t="s">
        <v>425</v>
      </c>
      <c r="I1279" t="s">
        <v>426</v>
      </c>
      <c r="J1279" t="s">
        <v>430</v>
      </c>
    </row>
    <row r="1280" spans="1:10" ht="15" customHeight="1" x14ac:dyDescent="0.25">
      <c r="A1280" s="82">
        <v>43555</v>
      </c>
      <c r="B1280" t="s">
        <v>455</v>
      </c>
      <c r="C1280" t="s">
        <v>427</v>
      </c>
      <c r="D1280" t="s">
        <v>421</v>
      </c>
      <c r="E1280" t="s">
        <v>424</v>
      </c>
      <c r="F1280" t="s">
        <v>429</v>
      </c>
      <c r="G1280" t="s">
        <v>428</v>
      </c>
      <c r="H1280" t="s">
        <v>425</v>
      </c>
      <c r="I1280" t="s">
        <v>426</v>
      </c>
      <c r="J1280" t="s">
        <v>430</v>
      </c>
    </row>
    <row r="1281" spans="1:10" ht="15" customHeight="1" x14ac:dyDescent="0.25">
      <c r="A1281" s="82">
        <v>43556</v>
      </c>
      <c r="B1281" t="s">
        <v>421</v>
      </c>
      <c r="C1281" t="s">
        <v>455</v>
      </c>
      <c r="D1281" t="s">
        <v>427</v>
      </c>
      <c r="E1281" t="s">
        <v>424</v>
      </c>
      <c r="F1281" t="s">
        <v>429</v>
      </c>
      <c r="G1281" t="s">
        <v>428</v>
      </c>
      <c r="H1281" t="s">
        <v>425</v>
      </c>
      <c r="I1281" t="s">
        <v>426</v>
      </c>
      <c r="J1281" t="s">
        <v>430</v>
      </c>
    </row>
    <row r="1282" spans="1:10" ht="15" customHeight="1" x14ac:dyDescent="0.25">
      <c r="A1282" s="82">
        <v>43557</v>
      </c>
      <c r="B1282" t="s">
        <v>427</v>
      </c>
      <c r="C1282" t="s">
        <v>421</v>
      </c>
      <c r="D1282" t="s">
        <v>455</v>
      </c>
      <c r="E1282" t="s">
        <v>424</v>
      </c>
      <c r="F1282" t="s">
        <v>429</v>
      </c>
      <c r="G1282" t="s">
        <v>428</v>
      </c>
      <c r="H1282" t="s">
        <v>425</v>
      </c>
      <c r="I1282" t="s">
        <v>426</v>
      </c>
      <c r="J1282" t="s">
        <v>430</v>
      </c>
    </row>
    <row r="1283" spans="1:10" ht="15" customHeight="1" x14ac:dyDescent="0.25">
      <c r="A1283" s="82">
        <v>43558</v>
      </c>
      <c r="B1283" t="s">
        <v>455</v>
      </c>
      <c r="C1283" t="s">
        <v>421</v>
      </c>
      <c r="D1283" t="s">
        <v>427</v>
      </c>
      <c r="E1283" t="s">
        <v>424</v>
      </c>
      <c r="F1283" t="s">
        <v>429</v>
      </c>
      <c r="G1283" t="s">
        <v>428</v>
      </c>
      <c r="H1283" t="s">
        <v>425</v>
      </c>
      <c r="I1283" t="s">
        <v>426</v>
      </c>
      <c r="J1283" t="s">
        <v>430</v>
      </c>
    </row>
    <row r="1284" spans="1:10" ht="15" customHeight="1" x14ac:dyDescent="0.25">
      <c r="A1284" s="82">
        <v>43559</v>
      </c>
      <c r="B1284" t="s">
        <v>421</v>
      </c>
      <c r="C1284" t="s">
        <v>427</v>
      </c>
      <c r="D1284" t="s">
        <v>455</v>
      </c>
      <c r="E1284" t="s">
        <v>424</v>
      </c>
      <c r="F1284" t="s">
        <v>429</v>
      </c>
      <c r="G1284" t="s">
        <v>428</v>
      </c>
      <c r="H1284" t="s">
        <v>425</v>
      </c>
      <c r="I1284" t="s">
        <v>426</v>
      </c>
      <c r="J1284" t="s">
        <v>430</v>
      </c>
    </row>
    <row r="1285" spans="1:10" ht="15" customHeight="1" x14ac:dyDescent="0.25">
      <c r="A1285" s="82">
        <v>43560</v>
      </c>
      <c r="B1285" t="s">
        <v>429</v>
      </c>
      <c r="C1285" t="s">
        <v>455</v>
      </c>
      <c r="D1285" t="s">
        <v>424</v>
      </c>
      <c r="E1285" t="s">
        <v>424</v>
      </c>
      <c r="F1285" t="s">
        <v>426</v>
      </c>
      <c r="G1285" t="s">
        <v>425</v>
      </c>
      <c r="H1285" t="s">
        <v>425</v>
      </c>
      <c r="I1285" t="s">
        <v>427</v>
      </c>
      <c r="J1285" t="s">
        <v>421</v>
      </c>
    </row>
    <row r="1286" spans="1:10" ht="15" customHeight="1" x14ac:dyDescent="0.25">
      <c r="A1286" s="82">
        <v>43561</v>
      </c>
      <c r="B1286" t="s">
        <v>429</v>
      </c>
      <c r="C1286" t="s">
        <v>428</v>
      </c>
      <c r="D1286" t="s">
        <v>424</v>
      </c>
      <c r="E1286" t="s">
        <v>430</v>
      </c>
      <c r="F1286" t="s">
        <v>426</v>
      </c>
      <c r="G1286" t="s">
        <v>425</v>
      </c>
      <c r="H1286" t="s">
        <v>421</v>
      </c>
      <c r="I1286" t="s">
        <v>455</v>
      </c>
      <c r="J1286" t="s">
        <v>427</v>
      </c>
    </row>
    <row r="1287" spans="1:10" ht="15" customHeight="1" x14ac:dyDescent="0.25">
      <c r="A1287" s="82">
        <v>43562</v>
      </c>
      <c r="B1287" t="s">
        <v>429</v>
      </c>
      <c r="C1287" t="s">
        <v>428</v>
      </c>
      <c r="D1287" t="s">
        <v>424</v>
      </c>
      <c r="E1287" t="s">
        <v>430</v>
      </c>
      <c r="F1287" t="s">
        <v>426</v>
      </c>
      <c r="G1287" t="s">
        <v>425</v>
      </c>
      <c r="H1287" t="s">
        <v>421</v>
      </c>
      <c r="I1287" t="s">
        <v>427</v>
      </c>
      <c r="J1287" t="s">
        <v>455</v>
      </c>
    </row>
    <row r="1288" spans="1:10" ht="15" customHeight="1" x14ac:dyDescent="0.25">
      <c r="A1288" s="82">
        <v>43563</v>
      </c>
      <c r="B1288" t="s">
        <v>429</v>
      </c>
      <c r="C1288" t="s">
        <v>428</v>
      </c>
      <c r="D1288" t="s">
        <v>424</v>
      </c>
      <c r="E1288" t="s">
        <v>430</v>
      </c>
      <c r="F1288" t="s">
        <v>426</v>
      </c>
      <c r="G1288" t="s">
        <v>425</v>
      </c>
      <c r="H1288" t="s">
        <v>427</v>
      </c>
      <c r="I1288" t="s">
        <v>455</v>
      </c>
      <c r="J1288" t="s">
        <v>421</v>
      </c>
    </row>
    <row r="1289" spans="1:10" ht="15" customHeight="1" x14ac:dyDescent="0.25">
      <c r="A1289" s="82">
        <v>43564</v>
      </c>
      <c r="B1289" t="s">
        <v>429</v>
      </c>
      <c r="C1289" t="s">
        <v>428</v>
      </c>
      <c r="D1289" t="s">
        <v>424</v>
      </c>
      <c r="E1289" t="s">
        <v>430</v>
      </c>
      <c r="F1289" t="s">
        <v>426</v>
      </c>
      <c r="G1289" t="s">
        <v>425</v>
      </c>
      <c r="H1289" t="s">
        <v>455</v>
      </c>
      <c r="I1289" t="s">
        <v>421</v>
      </c>
      <c r="J1289" t="s">
        <v>427</v>
      </c>
    </row>
    <row r="1290" spans="1:10" ht="15" customHeight="1" x14ac:dyDescent="0.25">
      <c r="A1290" s="82">
        <v>43565</v>
      </c>
      <c r="B1290" t="s">
        <v>429</v>
      </c>
      <c r="C1290" t="s">
        <v>428</v>
      </c>
      <c r="D1290" t="s">
        <v>424</v>
      </c>
      <c r="E1290" t="s">
        <v>430</v>
      </c>
      <c r="F1290" t="s">
        <v>426</v>
      </c>
      <c r="G1290" t="s">
        <v>425</v>
      </c>
      <c r="H1290" t="s">
        <v>427</v>
      </c>
      <c r="I1290" t="s">
        <v>421</v>
      </c>
      <c r="J1290" t="s">
        <v>455</v>
      </c>
    </row>
    <row r="1291" spans="1:10" ht="15" customHeight="1" x14ac:dyDescent="0.25">
      <c r="A1291" s="82">
        <v>43566</v>
      </c>
      <c r="B1291" t="s">
        <v>429</v>
      </c>
      <c r="C1291" t="s">
        <v>428</v>
      </c>
      <c r="D1291" t="s">
        <v>424</v>
      </c>
      <c r="E1291" t="s">
        <v>430</v>
      </c>
      <c r="F1291" t="s">
        <v>426</v>
      </c>
      <c r="G1291" t="s">
        <v>425</v>
      </c>
      <c r="H1291" t="s">
        <v>455</v>
      </c>
      <c r="I1291" t="s">
        <v>427</v>
      </c>
      <c r="J1291" t="s">
        <v>421</v>
      </c>
    </row>
    <row r="1292" spans="1:10" ht="15" customHeight="1" x14ac:dyDescent="0.25">
      <c r="A1292" s="82">
        <v>43567</v>
      </c>
      <c r="B1292" t="s">
        <v>426</v>
      </c>
      <c r="C1292" t="s">
        <v>425</v>
      </c>
      <c r="D1292" t="s">
        <v>424</v>
      </c>
      <c r="E1292" t="s">
        <v>421</v>
      </c>
      <c r="F1292" t="s">
        <v>427</v>
      </c>
      <c r="G1292" t="s">
        <v>425</v>
      </c>
      <c r="H1292" t="s">
        <v>424</v>
      </c>
      <c r="I1292" t="s">
        <v>455</v>
      </c>
      <c r="J1292" t="s">
        <v>429</v>
      </c>
    </row>
    <row r="1293" spans="1:10" ht="15" customHeight="1" x14ac:dyDescent="0.25">
      <c r="A1293" s="82">
        <v>43568</v>
      </c>
      <c r="B1293" t="s">
        <v>426</v>
      </c>
      <c r="C1293" t="s">
        <v>425</v>
      </c>
      <c r="D1293" t="s">
        <v>430</v>
      </c>
      <c r="E1293" t="s">
        <v>427</v>
      </c>
      <c r="F1293" t="s">
        <v>455</v>
      </c>
      <c r="G1293" t="s">
        <v>421</v>
      </c>
      <c r="H1293" t="s">
        <v>424</v>
      </c>
      <c r="I1293" t="s">
        <v>428</v>
      </c>
      <c r="J1293" t="s">
        <v>429</v>
      </c>
    </row>
    <row r="1294" spans="1:10" ht="15" customHeight="1" x14ac:dyDescent="0.25">
      <c r="A1294" s="82">
        <v>43569</v>
      </c>
      <c r="B1294" t="s">
        <v>426</v>
      </c>
      <c r="C1294" t="s">
        <v>425</v>
      </c>
      <c r="D1294" t="s">
        <v>430</v>
      </c>
      <c r="E1294" t="s">
        <v>455</v>
      </c>
      <c r="F1294" t="s">
        <v>427</v>
      </c>
      <c r="G1294" t="s">
        <v>421</v>
      </c>
      <c r="H1294" t="s">
        <v>424</v>
      </c>
      <c r="I1294" t="s">
        <v>428</v>
      </c>
      <c r="J1294" t="s">
        <v>429</v>
      </c>
    </row>
    <row r="1295" spans="1:10" ht="15" customHeight="1" x14ac:dyDescent="0.25">
      <c r="A1295" s="82">
        <v>43570</v>
      </c>
      <c r="B1295" t="s">
        <v>426</v>
      </c>
      <c r="C1295" t="s">
        <v>425</v>
      </c>
      <c r="D1295" t="s">
        <v>430</v>
      </c>
      <c r="E1295" t="s">
        <v>421</v>
      </c>
      <c r="F1295" t="s">
        <v>455</v>
      </c>
      <c r="G1295" t="s">
        <v>427</v>
      </c>
      <c r="H1295" t="s">
        <v>424</v>
      </c>
      <c r="I1295" t="s">
        <v>428</v>
      </c>
      <c r="J1295" t="s">
        <v>429</v>
      </c>
    </row>
    <row r="1296" spans="1:10" ht="15" customHeight="1" x14ac:dyDescent="0.25">
      <c r="A1296" s="82">
        <v>43571</v>
      </c>
      <c r="B1296" t="s">
        <v>426</v>
      </c>
      <c r="C1296" t="s">
        <v>425</v>
      </c>
      <c r="D1296" t="s">
        <v>430</v>
      </c>
      <c r="E1296" t="s">
        <v>427</v>
      </c>
      <c r="F1296" t="s">
        <v>421</v>
      </c>
      <c r="G1296" t="s">
        <v>455</v>
      </c>
      <c r="H1296" t="s">
        <v>424</v>
      </c>
      <c r="I1296" t="s">
        <v>428</v>
      </c>
      <c r="J1296" t="s">
        <v>429</v>
      </c>
    </row>
    <row r="1297" spans="1:10" ht="15" customHeight="1" x14ac:dyDescent="0.25">
      <c r="A1297" s="82">
        <v>43572</v>
      </c>
      <c r="B1297" t="s">
        <v>426</v>
      </c>
      <c r="C1297" t="s">
        <v>425</v>
      </c>
      <c r="D1297" t="s">
        <v>430</v>
      </c>
      <c r="E1297" t="s">
        <v>455</v>
      </c>
      <c r="F1297" t="s">
        <v>421</v>
      </c>
      <c r="G1297" t="s">
        <v>427</v>
      </c>
      <c r="H1297" t="s">
        <v>424</v>
      </c>
      <c r="I1297" t="s">
        <v>428</v>
      </c>
      <c r="J1297" t="s">
        <v>429</v>
      </c>
    </row>
    <row r="1298" spans="1:10" ht="15" customHeight="1" x14ac:dyDescent="0.25">
      <c r="A1298" s="82">
        <v>43573</v>
      </c>
      <c r="B1298" t="s">
        <v>426</v>
      </c>
      <c r="C1298" t="s">
        <v>425</v>
      </c>
      <c r="D1298" t="s">
        <v>430</v>
      </c>
      <c r="E1298" t="s">
        <v>421</v>
      </c>
      <c r="F1298" t="s">
        <v>427</v>
      </c>
      <c r="G1298" t="s">
        <v>455</v>
      </c>
      <c r="H1298" t="s">
        <v>424</v>
      </c>
      <c r="I1298" t="s">
        <v>428</v>
      </c>
      <c r="J1298" t="s">
        <v>429</v>
      </c>
    </row>
    <row r="1299" spans="1:10" ht="15" customHeight="1" x14ac:dyDescent="0.25">
      <c r="A1299" s="82">
        <v>43574</v>
      </c>
      <c r="B1299" t="s">
        <v>427</v>
      </c>
      <c r="C1299" t="s">
        <v>425</v>
      </c>
      <c r="D1299" t="s">
        <v>421</v>
      </c>
      <c r="E1299" t="s">
        <v>429</v>
      </c>
      <c r="F1299" t="s">
        <v>455</v>
      </c>
      <c r="G1299" t="s">
        <v>424</v>
      </c>
      <c r="H1299" t="s">
        <v>424</v>
      </c>
      <c r="I1299" t="s">
        <v>425</v>
      </c>
      <c r="J1299" t="s">
        <v>426</v>
      </c>
    </row>
    <row r="1300" spans="1:10" ht="15" customHeight="1" x14ac:dyDescent="0.25">
      <c r="A1300" s="82">
        <v>43575</v>
      </c>
      <c r="B1300" t="s">
        <v>455</v>
      </c>
      <c r="C1300" t="s">
        <v>421</v>
      </c>
      <c r="D1300" t="s">
        <v>427</v>
      </c>
      <c r="E1300" t="s">
        <v>429</v>
      </c>
      <c r="F1300" t="s">
        <v>428</v>
      </c>
      <c r="G1300" t="s">
        <v>424</v>
      </c>
      <c r="H1300" t="s">
        <v>430</v>
      </c>
      <c r="I1300" t="s">
        <v>425</v>
      </c>
      <c r="J1300" t="s">
        <v>426</v>
      </c>
    </row>
    <row r="1301" spans="1:10" ht="15" customHeight="1" x14ac:dyDescent="0.25">
      <c r="A1301" s="82">
        <v>43576</v>
      </c>
      <c r="B1301" t="s">
        <v>427</v>
      </c>
      <c r="C1301" t="s">
        <v>421</v>
      </c>
      <c r="D1301" t="s">
        <v>455</v>
      </c>
      <c r="E1301" t="s">
        <v>429</v>
      </c>
      <c r="F1301" t="s">
        <v>428</v>
      </c>
      <c r="G1301" t="s">
        <v>424</v>
      </c>
      <c r="H1301" t="s">
        <v>430</v>
      </c>
      <c r="I1301" t="s">
        <v>425</v>
      </c>
      <c r="J1301" t="s">
        <v>426</v>
      </c>
    </row>
    <row r="1302" spans="1:10" ht="15" customHeight="1" x14ac:dyDescent="0.25">
      <c r="A1302" s="82">
        <v>43577</v>
      </c>
      <c r="B1302" t="s">
        <v>455</v>
      </c>
      <c r="C1302" t="s">
        <v>427</v>
      </c>
      <c r="D1302" t="s">
        <v>421</v>
      </c>
      <c r="E1302" t="s">
        <v>429</v>
      </c>
      <c r="F1302" t="s">
        <v>428</v>
      </c>
      <c r="G1302" t="s">
        <v>424</v>
      </c>
      <c r="H1302" t="s">
        <v>430</v>
      </c>
      <c r="I1302" t="s">
        <v>425</v>
      </c>
      <c r="J1302" t="s">
        <v>426</v>
      </c>
    </row>
    <row r="1303" spans="1:10" ht="15" customHeight="1" x14ac:dyDescent="0.25">
      <c r="A1303" s="82">
        <v>43578</v>
      </c>
      <c r="B1303" t="s">
        <v>421</v>
      </c>
      <c r="C1303" t="s">
        <v>455</v>
      </c>
      <c r="D1303" t="s">
        <v>427</v>
      </c>
      <c r="E1303" t="s">
        <v>429</v>
      </c>
      <c r="F1303" t="s">
        <v>428</v>
      </c>
      <c r="G1303" t="s">
        <v>424</v>
      </c>
      <c r="H1303" t="s">
        <v>430</v>
      </c>
      <c r="I1303" t="s">
        <v>425</v>
      </c>
      <c r="J1303" t="s">
        <v>426</v>
      </c>
    </row>
    <row r="1304" spans="1:10" ht="15" customHeight="1" x14ac:dyDescent="0.25">
      <c r="A1304" s="82">
        <v>43579</v>
      </c>
      <c r="B1304" t="s">
        <v>421</v>
      </c>
      <c r="C1304" t="s">
        <v>427</v>
      </c>
      <c r="D1304" t="s">
        <v>455</v>
      </c>
      <c r="E1304" t="s">
        <v>429</v>
      </c>
      <c r="F1304" t="s">
        <v>428</v>
      </c>
      <c r="G1304" t="s">
        <v>424</v>
      </c>
      <c r="H1304" t="s">
        <v>430</v>
      </c>
      <c r="I1304" t="s">
        <v>425</v>
      </c>
      <c r="J1304" t="s">
        <v>426</v>
      </c>
    </row>
    <row r="1305" spans="1:10" ht="15" customHeight="1" x14ac:dyDescent="0.25">
      <c r="A1305" s="82">
        <v>43580</v>
      </c>
      <c r="B1305" t="s">
        <v>427</v>
      </c>
      <c r="C1305" t="s">
        <v>455</v>
      </c>
      <c r="D1305" t="s">
        <v>421</v>
      </c>
      <c r="E1305" t="s">
        <v>429</v>
      </c>
      <c r="F1305" t="s">
        <v>428</v>
      </c>
      <c r="G1305" t="s">
        <v>424</v>
      </c>
      <c r="H1305" t="s">
        <v>430</v>
      </c>
      <c r="I1305" t="s">
        <v>425</v>
      </c>
      <c r="J1305" t="s">
        <v>426</v>
      </c>
    </row>
    <row r="1306" spans="1:10" ht="15" customHeight="1" x14ac:dyDescent="0.25">
      <c r="A1306" s="82">
        <v>43581</v>
      </c>
      <c r="B1306" t="s">
        <v>455</v>
      </c>
      <c r="C1306" t="s">
        <v>424</v>
      </c>
      <c r="D1306" t="s">
        <v>429</v>
      </c>
      <c r="E1306" t="s">
        <v>426</v>
      </c>
      <c r="F1306" t="s">
        <v>425</v>
      </c>
      <c r="G1306" t="s">
        <v>424</v>
      </c>
      <c r="H1306" t="s">
        <v>421</v>
      </c>
      <c r="I1306" t="s">
        <v>425</v>
      </c>
      <c r="J1306" t="s">
        <v>427</v>
      </c>
    </row>
    <row r="1307" spans="1:10" ht="15" customHeight="1" x14ac:dyDescent="0.25">
      <c r="A1307" s="82">
        <v>43582</v>
      </c>
      <c r="B1307" t="s">
        <v>428</v>
      </c>
      <c r="C1307" t="s">
        <v>424</v>
      </c>
      <c r="D1307" t="s">
        <v>429</v>
      </c>
      <c r="E1307" t="s">
        <v>426</v>
      </c>
      <c r="F1307" t="s">
        <v>425</v>
      </c>
      <c r="G1307" t="s">
        <v>430</v>
      </c>
      <c r="H1307" t="s">
        <v>427</v>
      </c>
      <c r="I1307" t="s">
        <v>421</v>
      </c>
      <c r="J1307" t="s">
        <v>455</v>
      </c>
    </row>
    <row r="1308" spans="1:10" ht="15" customHeight="1" x14ac:dyDescent="0.25">
      <c r="A1308" s="82">
        <v>43583</v>
      </c>
      <c r="B1308" t="s">
        <v>428</v>
      </c>
      <c r="C1308" t="s">
        <v>424</v>
      </c>
      <c r="D1308" t="s">
        <v>429</v>
      </c>
      <c r="E1308" t="s">
        <v>426</v>
      </c>
      <c r="F1308" t="s">
        <v>425</v>
      </c>
      <c r="G1308" t="s">
        <v>430</v>
      </c>
      <c r="H1308" t="s">
        <v>455</v>
      </c>
      <c r="I1308" t="s">
        <v>421</v>
      </c>
      <c r="J1308" t="s">
        <v>427</v>
      </c>
    </row>
    <row r="1309" spans="1:10" ht="15" customHeight="1" x14ac:dyDescent="0.25">
      <c r="A1309" s="82">
        <v>43584</v>
      </c>
      <c r="B1309" t="s">
        <v>428</v>
      </c>
      <c r="C1309" t="s">
        <v>424</v>
      </c>
      <c r="D1309" t="s">
        <v>429</v>
      </c>
      <c r="E1309" t="s">
        <v>426</v>
      </c>
      <c r="F1309" t="s">
        <v>425</v>
      </c>
      <c r="G1309" t="s">
        <v>430</v>
      </c>
      <c r="H1309" t="s">
        <v>421</v>
      </c>
      <c r="I1309" t="s">
        <v>427</v>
      </c>
      <c r="J1309" t="s">
        <v>455</v>
      </c>
    </row>
    <row r="1310" spans="1:10" ht="15" customHeight="1" x14ac:dyDescent="0.25">
      <c r="A1310" s="82">
        <v>43585</v>
      </c>
      <c r="B1310" t="s">
        <v>428</v>
      </c>
      <c r="C1310" t="s">
        <v>424</v>
      </c>
      <c r="D1310" t="s">
        <v>429</v>
      </c>
      <c r="E1310" t="s">
        <v>426</v>
      </c>
      <c r="F1310" t="s">
        <v>425</v>
      </c>
      <c r="G1310" t="s">
        <v>430</v>
      </c>
      <c r="H1310" t="s">
        <v>427</v>
      </c>
      <c r="I1310" t="s">
        <v>455</v>
      </c>
      <c r="J1310" t="s">
        <v>421</v>
      </c>
    </row>
    <row r="1311" spans="1:10" ht="15" customHeight="1" x14ac:dyDescent="0.25">
      <c r="A1311" s="82">
        <v>43586</v>
      </c>
      <c r="B1311" t="s">
        <v>428</v>
      </c>
      <c r="C1311" t="s">
        <v>424</v>
      </c>
      <c r="D1311" t="s">
        <v>429</v>
      </c>
      <c r="E1311" t="s">
        <v>426</v>
      </c>
      <c r="F1311" t="s">
        <v>425</v>
      </c>
      <c r="G1311" t="s">
        <v>430</v>
      </c>
      <c r="H1311" t="s">
        <v>455</v>
      </c>
      <c r="I1311" t="s">
        <v>427</v>
      </c>
      <c r="J1311" t="s">
        <v>421</v>
      </c>
    </row>
    <row r="1312" spans="1:10" ht="15" customHeight="1" x14ac:dyDescent="0.25">
      <c r="A1312" s="82">
        <v>43587</v>
      </c>
      <c r="B1312" t="s">
        <v>428</v>
      </c>
      <c r="C1312" t="s">
        <v>424</v>
      </c>
      <c r="D1312" t="s">
        <v>429</v>
      </c>
      <c r="E1312" t="s">
        <v>426</v>
      </c>
      <c r="F1312" t="s">
        <v>425</v>
      </c>
      <c r="G1312" t="s">
        <v>430</v>
      </c>
      <c r="H1312" t="s">
        <v>421</v>
      </c>
      <c r="I1312" t="s">
        <v>455</v>
      </c>
      <c r="J1312" t="s">
        <v>427</v>
      </c>
    </row>
    <row r="1313" spans="1:10" ht="15" customHeight="1" x14ac:dyDescent="0.25">
      <c r="A1313" s="82">
        <v>43588</v>
      </c>
      <c r="B1313" t="s">
        <v>425</v>
      </c>
      <c r="C1313" t="s">
        <v>424</v>
      </c>
      <c r="D1313" t="s">
        <v>426</v>
      </c>
      <c r="E1313" t="s">
        <v>427</v>
      </c>
      <c r="F1313" t="s">
        <v>425</v>
      </c>
      <c r="G1313" t="s">
        <v>421</v>
      </c>
      <c r="H1313" t="s">
        <v>429</v>
      </c>
      <c r="I1313" t="s">
        <v>424</v>
      </c>
      <c r="J1313" t="s">
        <v>455</v>
      </c>
    </row>
    <row r="1314" spans="1:10" ht="15" customHeight="1" x14ac:dyDescent="0.25">
      <c r="A1314" s="82">
        <v>43589</v>
      </c>
      <c r="B1314" t="s">
        <v>425</v>
      </c>
      <c r="C1314" t="s">
        <v>430</v>
      </c>
      <c r="D1314" t="s">
        <v>426</v>
      </c>
      <c r="E1314" t="s">
        <v>455</v>
      </c>
      <c r="F1314" t="s">
        <v>421</v>
      </c>
      <c r="G1314" t="s">
        <v>427</v>
      </c>
      <c r="H1314" t="s">
        <v>429</v>
      </c>
      <c r="I1314" t="s">
        <v>424</v>
      </c>
      <c r="J1314" t="s">
        <v>428</v>
      </c>
    </row>
    <row r="1315" spans="1:10" ht="15" customHeight="1" x14ac:dyDescent="0.25">
      <c r="A1315" s="82">
        <v>43590</v>
      </c>
      <c r="B1315" t="s">
        <v>425</v>
      </c>
      <c r="C1315" t="s">
        <v>430</v>
      </c>
      <c r="D1315" t="s">
        <v>426</v>
      </c>
      <c r="E1315" t="s">
        <v>427</v>
      </c>
      <c r="F1315" t="s">
        <v>421</v>
      </c>
      <c r="G1315" t="s">
        <v>455</v>
      </c>
      <c r="H1315" t="s">
        <v>429</v>
      </c>
      <c r="I1315" t="s">
        <v>424</v>
      </c>
      <c r="J1315" t="s">
        <v>428</v>
      </c>
    </row>
    <row r="1316" spans="1:10" ht="15" customHeight="1" x14ac:dyDescent="0.25">
      <c r="A1316" s="82">
        <v>43591</v>
      </c>
      <c r="B1316" t="s">
        <v>425</v>
      </c>
      <c r="C1316" t="s">
        <v>430</v>
      </c>
      <c r="D1316" t="s">
        <v>426</v>
      </c>
      <c r="E1316" t="s">
        <v>455</v>
      </c>
      <c r="F1316" t="s">
        <v>427</v>
      </c>
      <c r="G1316" t="s">
        <v>421</v>
      </c>
      <c r="H1316" t="s">
        <v>429</v>
      </c>
      <c r="I1316" t="s">
        <v>424</v>
      </c>
      <c r="J1316" t="s">
        <v>428</v>
      </c>
    </row>
    <row r="1317" spans="1:10" ht="15" customHeight="1" x14ac:dyDescent="0.25">
      <c r="A1317" s="82">
        <v>43592</v>
      </c>
      <c r="B1317" t="s">
        <v>425</v>
      </c>
      <c r="C1317" t="s">
        <v>430</v>
      </c>
      <c r="D1317" t="s">
        <v>426</v>
      </c>
      <c r="E1317" t="s">
        <v>421</v>
      </c>
      <c r="F1317" t="s">
        <v>455</v>
      </c>
      <c r="G1317" t="s">
        <v>427</v>
      </c>
      <c r="H1317" t="s">
        <v>429</v>
      </c>
      <c r="I1317" t="s">
        <v>424</v>
      </c>
      <c r="J1317" t="s">
        <v>428</v>
      </c>
    </row>
    <row r="1318" spans="1:10" ht="15" customHeight="1" x14ac:dyDescent="0.25">
      <c r="A1318" s="82">
        <v>43593</v>
      </c>
      <c r="B1318" t="s">
        <v>425</v>
      </c>
      <c r="C1318" t="s">
        <v>430</v>
      </c>
      <c r="D1318" t="s">
        <v>426</v>
      </c>
      <c r="E1318" t="s">
        <v>421</v>
      </c>
      <c r="F1318" t="s">
        <v>427</v>
      </c>
      <c r="G1318" t="s">
        <v>455</v>
      </c>
      <c r="H1318" t="s">
        <v>429</v>
      </c>
      <c r="I1318" t="s">
        <v>424</v>
      </c>
      <c r="J1318" t="s">
        <v>428</v>
      </c>
    </row>
    <row r="1319" spans="1:10" ht="15" customHeight="1" x14ac:dyDescent="0.25">
      <c r="A1319" s="82">
        <v>43594</v>
      </c>
      <c r="B1319" t="s">
        <v>425</v>
      </c>
      <c r="C1319" t="s">
        <v>430</v>
      </c>
      <c r="D1319" t="s">
        <v>426</v>
      </c>
      <c r="E1319" t="s">
        <v>427</v>
      </c>
      <c r="F1319" t="s">
        <v>455</v>
      </c>
      <c r="G1319" t="s">
        <v>421</v>
      </c>
      <c r="H1319" t="s">
        <v>429</v>
      </c>
      <c r="I1319" t="s">
        <v>424</v>
      </c>
      <c r="J1319" t="s">
        <v>428</v>
      </c>
    </row>
    <row r="1320" spans="1:10" ht="15" customHeight="1" x14ac:dyDescent="0.25">
      <c r="A1320" s="82">
        <v>43595</v>
      </c>
      <c r="B1320" t="s">
        <v>425</v>
      </c>
      <c r="C1320" t="s">
        <v>421</v>
      </c>
      <c r="D1320" t="s">
        <v>427</v>
      </c>
      <c r="E1320" t="s">
        <v>455</v>
      </c>
      <c r="F1320" t="s">
        <v>424</v>
      </c>
      <c r="G1320" t="s">
        <v>429</v>
      </c>
      <c r="H1320" t="s">
        <v>426</v>
      </c>
      <c r="I1320" t="s">
        <v>424</v>
      </c>
      <c r="J1320" t="s">
        <v>425</v>
      </c>
    </row>
    <row r="1321" spans="1:10" ht="15" customHeight="1" x14ac:dyDescent="0.25">
      <c r="A1321" s="82">
        <v>43596</v>
      </c>
      <c r="B1321" t="s">
        <v>421</v>
      </c>
      <c r="C1321" t="s">
        <v>427</v>
      </c>
      <c r="D1321" t="s">
        <v>455</v>
      </c>
      <c r="E1321" t="s">
        <v>428</v>
      </c>
      <c r="F1321" t="s">
        <v>424</v>
      </c>
      <c r="G1321" t="s">
        <v>429</v>
      </c>
      <c r="H1321" t="s">
        <v>426</v>
      </c>
      <c r="I1321" t="s">
        <v>430</v>
      </c>
      <c r="J1321" t="s">
        <v>425</v>
      </c>
    </row>
    <row r="1322" spans="1:10" ht="15" customHeight="1" x14ac:dyDescent="0.25">
      <c r="A1322" s="82">
        <v>43597</v>
      </c>
      <c r="B1322" t="s">
        <v>421</v>
      </c>
      <c r="C1322" t="s">
        <v>455</v>
      </c>
      <c r="D1322" t="s">
        <v>427</v>
      </c>
      <c r="E1322" t="s">
        <v>428</v>
      </c>
      <c r="F1322" t="s">
        <v>424</v>
      </c>
      <c r="G1322" t="s">
        <v>429</v>
      </c>
      <c r="H1322" t="s">
        <v>426</v>
      </c>
      <c r="I1322" t="s">
        <v>430</v>
      </c>
      <c r="J1322" t="s">
        <v>425</v>
      </c>
    </row>
    <row r="1323" spans="1:10" ht="15" customHeight="1" x14ac:dyDescent="0.25">
      <c r="A1323" s="82">
        <v>43598</v>
      </c>
      <c r="B1323" t="s">
        <v>427</v>
      </c>
      <c r="C1323" t="s">
        <v>421</v>
      </c>
      <c r="D1323" t="s">
        <v>455</v>
      </c>
      <c r="E1323" t="s">
        <v>428</v>
      </c>
      <c r="F1323" t="s">
        <v>424</v>
      </c>
      <c r="G1323" t="s">
        <v>429</v>
      </c>
      <c r="H1323" t="s">
        <v>426</v>
      </c>
      <c r="I1323" t="s">
        <v>430</v>
      </c>
      <c r="J1323" t="s">
        <v>425</v>
      </c>
    </row>
    <row r="1324" spans="1:10" ht="15" customHeight="1" x14ac:dyDescent="0.25">
      <c r="A1324" s="82">
        <v>43599</v>
      </c>
      <c r="B1324" t="s">
        <v>455</v>
      </c>
      <c r="C1324" t="s">
        <v>427</v>
      </c>
      <c r="D1324" t="s">
        <v>421</v>
      </c>
      <c r="E1324" t="s">
        <v>428</v>
      </c>
      <c r="F1324" t="s">
        <v>424</v>
      </c>
      <c r="G1324" t="s">
        <v>429</v>
      </c>
      <c r="H1324" t="s">
        <v>426</v>
      </c>
      <c r="I1324" t="s">
        <v>430</v>
      </c>
      <c r="J1324" t="s">
        <v>425</v>
      </c>
    </row>
    <row r="1325" spans="1:10" ht="15" customHeight="1" x14ac:dyDescent="0.25">
      <c r="A1325" s="82">
        <v>43600</v>
      </c>
      <c r="B1325" t="s">
        <v>427</v>
      </c>
      <c r="C1325" t="s">
        <v>455</v>
      </c>
      <c r="D1325" t="s">
        <v>421</v>
      </c>
      <c r="E1325" t="s">
        <v>428</v>
      </c>
      <c r="F1325" t="s">
        <v>424</v>
      </c>
      <c r="G1325" t="s">
        <v>429</v>
      </c>
      <c r="H1325" t="s">
        <v>426</v>
      </c>
      <c r="I1325" t="s">
        <v>430</v>
      </c>
      <c r="J1325" t="s">
        <v>425</v>
      </c>
    </row>
    <row r="1326" spans="1:10" ht="15" customHeight="1" x14ac:dyDescent="0.25">
      <c r="A1326" s="82">
        <v>43601</v>
      </c>
      <c r="B1326" t="s">
        <v>455</v>
      </c>
      <c r="C1326" t="s">
        <v>421</v>
      </c>
      <c r="D1326" t="s">
        <v>427</v>
      </c>
      <c r="E1326" t="s">
        <v>428</v>
      </c>
      <c r="F1326" t="s">
        <v>424</v>
      </c>
      <c r="G1326" t="s">
        <v>429</v>
      </c>
      <c r="H1326" t="s">
        <v>426</v>
      </c>
      <c r="I1326" t="s">
        <v>430</v>
      </c>
      <c r="J1326" t="s">
        <v>425</v>
      </c>
    </row>
    <row r="1327" spans="1:10" ht="15" customHeight="1" x14ac:dyDescent="0.25">
      <c r="A1327" s="82">
        <v>43602</v>
      </c>
      <c r="B1327" t="s">
        <v>424</v>
      </c>
      <c r="C1327" t="s">
        <v>429</v>
      </c>
      <c r="D1327" t="s">
        <v>455</v>
      </c>
      <c r="E1327" t="s">
        <v>425</v>
      </c>
      <c r="F1327" t="s">
        <v>424</v>
      </c>
      <c r="G1327" t="s">
        <v>426</v>
      </c>
      <c r="H1327" t="s">
        <v>427</v>
      </c>
      <c r="I1327" t="s">
        <v>421</v>
      </c>
      <c r="J1327" t="s">
        <v>425</v>
      </c>
    </row>
    <row r="1328" spans="1:10" ht="15" customHeight="1" x14ac:dyDescent="0.25">
      <c r="A1328" s="82">
        <v>43603</v>
      </c>
      <c r="B1328" t="s">
        <v>424</v>
      </c>
      <c r="C1328" t="s">
        <v>429</v>
      </c>
      <c r="D1328" t="s">
        <v>428</v>
      </c>
      <c r="E1328" t="s">
        <v>425</v>
      </c>
      <c r="F1328" t="s">
        <v>430</v>
      </c>
      <c r="G1328" t="s">
        <v>426</v>
      </c>
      <c r="H1328" t="s">
        <v>455</v>
      </c>
      <c r="I1328" t="s">
        <v>427</v>
      </c>
      <c r="J1328" t="s">
        <v>421</v>
      </c>
    </row>
    <row r="1329" spans="1:10" ht="15" customHeight="1" x14ac:dyDescent="0.25">
      <c r="A1329" s="82">
        <v>43604</v>
      </c>
      <c r="B1329" t="s">
        <v>424</v>
      </c>
      <c r="C1329" t="s">
        <v>429</v>
      </c>
      <c r="D1329" t="s">
        <v>428</v>
      </c>
      <c r="E1329" t="s">
        <v>425</v>
      </c>
      <c r="F1329" t="s">
        <v>430</v>
      </c>
      <c r="G1329" t="s">
        <v>426</v>
      </c>
      <c r="H1329" t="s">
        <v>427</v>
      </c>
      <c r="I1329" t="s">
        <v>455</v>
      </c>
      <c r="J1329" t="s">
        <v>421</v>
      </c>
    </row>
    <row r="1330" spans="1:10" ht="15" customHeight="1" x14ac:dyDescent="0.25">
      <c r="A1330" s="82">
        <v>43605</v>
      </c>
      <c r="B1330" t="s">
        <v>424</v>
      </c>
      <c r="C1330" t="s">
        <v>429</v>
      </c>
      <c r="D1330" t="s">
        <v>428</v>
      </c>
      <c r="E1330" t="s">
        <v>425</v>
      </c>
      <c r="F1330" t="s">
        <v>430</v>
      </c>
      <c r="G1330" t="s">
        <v>426</v>
      </c>
      <c r="H1330" t="s">
        <v>455</v>
      </c>
      <c r="I1330" t="s">
        <v>421</v>
      </c>
      <c r="J1330" t="s">
        <v>427</v>
      </c>
    </row>
    <row r="1331" spans="1:10" ht="15" customHeight="1" x14ac:dyDescent="0.25">
      <c r="A1331" s="82">
        <v>43606</v>
      </c>
      <c r="B1331" t="s">
        <v>424</v>
      </c>
      <c r="C1331" t="s">
        <v>429</v>
      </c>
      <c r="D1331" t="s">
        <v>428</v>
      </c>
      <c r="E1331" t="s">
        <v>425</v>
      </c>
      <c r="F1331" t="s">
        <v>430</v>
      </c>
      <c r="G1331" t="s">
        <v>426</v>
      </c>
      <c r="H1331" t="s">
        <v>421</v>
      </c>
      <c r="I1331" t="s">
        <v>427</v>
      </c>
      <c r="J1331" t="s">
        <v>455</v>
      </c>
    </row>
    <row r="1332" spans="1:10" ht="15" customHeight="1" x14ac:dyDescent="0.25">
      <c r="A1332" s="82">
        <v>43607</v>
      </c>
      <c r="B1332" t="s">
        <v>424</v>
      </c>
      <c r="C1332" t="s">
        <v>429</v>
      </c>
      <c r="D1332" t="s">
        <v>428</v>
      </c>
      <c r="E1332" t="s">
        <v>425</v>
      </c>
      <c r="F1332" t="s">
        <v>430</v>
      </c>
      <c r="G1332" t="s">
        <v>426</v>
      </c>
      <c r="H1332" t="s">
        <v>421</v>
      </c>
      <c r="I1332" t="s">
        <v>455</v>
      </c>
      <c r="J1332" t="s">
        <v>427</v>
      </c>
    </row>
    <row r="1333" spans="1:10" ht="15" customHeight="1" x14ac:dyDescent="0.25">
      <c r="A1333" s="82">
        <v>43608</v>
      </c>
      <c r="B1333" t="s">
        <v>424</v>
      </c>
      <c r="C1333" t="s">
        <v>429</v>
      </c>
      <c r="D1333" t="s">
        <v>428</v>
      </c>
      <c r="E1333" t="s">
        <v>425</v>
      </c>
      <c r="F1333" t="s">
        <v>430</v>
      </c>
      <c r="G1333" t="s">
        <v>426</v>
      </c>
      <c r="H1333" t="s">
        <v>427</v>
      </c>
      <c r="I1333" t="s">
        <v>421</v>
      </c>
      <c r="J1333" t="s">
        <v>455</v>
      </c>
    </row>
    <row r="1334" spans="1:10" ht="15" customHeight="1" x14ac:dyDescent="0.25">
      <c r="A1334" s="82">
        <v>43609</v>
      </c>
      <c r="B1334" t="s">
        <v>424</v>
      </c>
      <c r="C1334" t="s">
        <v>426</v>
      </c>
      <c r="D1334" t="s">
        <v>425</v>
      </c>
      <c r="E1334" t="s">
        <v>425</v>
      </c>
      <c r="F1334" t="s">
        <v>421</v>
      </c>
      <c r="G1334" t="s">
        <v>427</v>
      </c>
      <c r="H1334" t="s">
        <v>455</v>
      </c>
      <c r="I1334" t="s">
        <v>429</v>
      </c>
      <c r="J1334" t="s">
        <v>424</v>
      </c>
    </row>
    <row r="1335" spans="1:10" ht="15" customHeight="1" x14ac:dyDescent="0.25">
      <c r="A1335" s="82">
        <v>43610</v>
      </c>
      <c r="B1335" t="s">
        <v>430</v>
      </c>
      <c r="C1335" t="s">
        <v>426</v>
      </c>
      <c r="D1335" t="s">
        <v>425</v>
      </c>
      <c r="E1335" t="s">
        <v>421</v>
      </c>
      <c r="F1335" t="s">
        <v>427</v>
      </c>
      <c r="G1335" t="s">
        <v>455</v>
      </c>
      <c r="H1335" t="s">
        <v>428</v>
      </c>
      <c r="I1335" t="s">
        <v>429</v>
      </c>
      <c r="J1335" t="s">
        <v>424</v>
      </c>
    </row>
    <row r="1336" spans="1:10" ht="15" customHeight="1" x14ac:dyDescent="0.25">
      <c r="A1336" s="82">
        <v>43611</v>
      </c>
      <c r="B1336" t="s">
        <v>430</v>
      </c>
      <c r="C1336" t="s">
        <v>426</v>
      </c>
      <c r="D1336" t="s">
        <v>425</v>
      </c>
      <c r="E1336" t="s">
        <v>421</v>
      </c>
      <c r="F1336" t="s">
        <v>455</v>
      </c>
      <c r="G1336" t="s">
        <v>427</v>
      </c>
      <c r="H1336" t="s">
        <v>428</v>
      </c>
      <c r="I1336" t="s">
        <v>429</v>
      </c>
      <c r="J1336" t="s">
        <v>424</v>
      </c>
    </row>
    <row r="1337" spans="1:10" ht="15" customHeight="1" x14ac:dyDescent="0.25">
      <c r="A1337" s="82">
        <v>43612</v>
      </c>
      <c r="B1337" t="s">
        <v>430</v>
      </c>
      <c r="C1337" t="s">
        <v>426</v>
      </c>
      <c r="D1337" t="s">
        <v>425</v>
      </c>
      <c r="E1337" t="s">
        <v>427</v>
      </c>
      <c r="F1337" t="s">
        <v>421</v>
      </c>
      <c r="G1337" t="s">
        <v>455</v>
      </c>
      <c r="H1337" t="s">
        <v>428</v>
      </c>
      <c r="I1337" t="s">
        <v>429</v>
      </c>
      <c r="J1337" t="s">
        <v>424</v>
      </c>
    </row>
    <row r="1338" spans="1:10" ht="15" customHeight="1" x14ac:dyDescent="0.25">
      <c r="A1338" s="82">
        <v>43613</v>
      </c>
      <c r="B1338" t="s">
        <v>430</v>
      </c>
      <c r="C1338" t="s">
        <v>426</v>
      </c>
      <c r="D1338" t="s">
        <v>425</v>
      </c>
      <c r="E1338" t="s">
        <v>455</v>
      </c>
      <c r="F1338" t="s">
        <v>427</v>
      </c>
      <c r="G1338" t="s">
        <v>421</v>
      </c>
      <c r="H1338" t="s">
        <v>428</v>
      </c>
      <c r="I1338" t="s">
        <v>429</v>
      </c>
      <c r="J1338" t="s">
        <v>424</v>
      </c>
    </row>
    <row r="1339" spans="1:10" ht="15" customHeight="1" x14ac:dyDescent="0.25">
      <c r="A1339" s="82">
        <v>43614</v>
      </c>
      <c r="B1339" t="s">
        <v>430</v>
      </c>
      <c r="C1339" t="s">
        <v>426</v>
      </c>
      <c r="D1339" t="s">
        <v>425</v>
      </c>
      <c r="E1339" t="s">
        <v>427</v>
      </c>
      <c r="F1339" t="s">
        <v>455</v>
      </c>
      <c r="G1339" t="s">
        <v>421</v>
      </c>
      <c r="H1339" t="s">
        <v>428</v>
      </c>
      <c r="I1339" t="s">
        <v>429</v>
      </c>
      <c r="J1339" t="s">
        <v>424</v>
      </c>
    </row>
    <row r="1340" spans="1:10" ht="15" customHeight="1" x14ac:dyDescent="0.25">
      <c r="A1340" s="82">
        <v>43615</v>
      </c>
      <c r="B1340" t="s">
        <v>430</v>
      </c>
      <c r="C1340" t="s">
        <v>426</v>
      </c>
      <c r="D1340" t="s">
        <v>425</v>
      </c>
      <c r="E1340" t="s">
        <v>455</v>
      </c>
      <c r="F1340" t="s">
        <v>421</v>
      </c>
      <c r="G1340" t="s">
        <v>427</v>
      </c>
      <c r="H1340" t="s">
        <v>428</v>
      </c>
      <c r="I1340" t="s">
        <v>429</v>
      </c>
      <c r="J1340" t="s">
        <v>424</v>
      </c>
    </row>
    <row r="1341" spans="1:10" ht="15" customHeight="1" x14ac:dyDescent="0.25">
      <c r="A1341" s="82">
        <v>43616</v>
      </c>
      <c r="B1341" t="s">
        <v>421</v>
      </c>
      <c r="C1341" t="s">
        <v>427</v>
      </c>
      <c r="D1341" t="s">
        <v>425</v>
      </c>
      <c r="E1341" t="s">
        <v>424</v>
      </c>
      <c r="F1341" t="s">
        <v>429</v>
      </c>
      <c r="G1341" t="s">
        <v>455</v>
      </c>
      <c r="H1341" t="s">
        <v>425</v>
      </c>
      <c r="I1341" t="s">
        <v>426</v>
      </c>
      <c r="J1341" t="s">
        <v>424</v>
      </c>
    </row>
    <row r="1342" spans="1:10" ht="15" customHeight="1" x14ac:dyDescent="0.25">
      <c r="A1342" s="82">
        <v>43617</v>
      </c>
      <c r="B1342" t="s">
        <v>427</v>
      </c>
      <c r="C1342" t="s">
        <v>455</v>
      </c>
      <c r="D1342" t="s">
        <v>421</v>
      </c>
      <c r="E1342" t="s">
        <v>424</v>
      </c>
      <c r="F1342" t="s">
        <v>514</v>
      </c>
      <c r="G1342" t="s">
        <v>428</v>
      </c>
      <c r="H1342" t="s">
        <v>425</v>
      </c>
      <c r="I1342" t="s">
        <v>426</v>
      </c>
      <c r="J1342" t="s">
        <v>430</v>
      </c>
    </row>
    <row r="1343" spans="1:10" ht="15" customHeight="1" x14ac:dyDescent="0.25">
      <c r="A1343" s="82">
        <v>43618</v>
      </c>
      <c r="B1343" t="s">
        <v>455</v>
      </c>
      <c r="C1343" t="s">
        <v>427</v>
      </c>
      <c r="D1343" t="s">
        <v>421</v>
      </c>
      <c r="E1343" t="s">
        <v>424</v>
      </c>
      <c r="F1343" t="s">
        <v>514</v>
      </c>
      <c r="G1343" t="s">
        <v>428</v>
      </c>
      <c r="H1343" t="s">
        <v>425</v>
      </c>
      <c r="I1343" t="s">
        <v>426</v>
      </c>
      <c r="J1343" t="s">
        <v>430</v>
      </c>
    </row>
    <row r="1344" spans="1:10" ht="15" customHeight="1" x14ac:dyDescent="0.25">
      <c r="A1344" s="82">
        <v>43619</v>
      </c>
      <c r="B1344" t="s">
        <v>421</v>
      </c>
      <c r="C1344" t="s">
        <v>455</v>
      </c>
      <c r="D1344" t="s">
        <v>427</v>
      </c>
      <c r="E1344" t="s">
        <v>424</v>
      </c>
      <c r="F1344" t="s">
        <v>514</v>
      </c>
      <c r="G1344" t="s">
        <v>428</v>
      </c>
      <c r="H1344" t="s">
        <v>425</v>
      </c>
      <c r="I1344" t="s">
        <v>426</v>
      </c>
      <c r="J1344" t="s">
        <v>430</v>
      </c>
    </row>
    <row r="1345" spans="1:10" ht="15" customHeight="1" x14ac:dyDescent="0.25">
      <c r="A1345" s="82">
        <v>43620</v>
      </c>
      <c r="B1345" t="s">
        <v>427</v>
      </c>
      <c r="C1345" t="s">
        <v>421</v>
      </c>
      <c r="D1345" t="s">
        <v>455</v>
      </c>
      <c r="E1345" t="s">
        <v>424</v>
      </c>
      <c r="F1345" t="s">
        <v>514</v>
      </c>
      <c r="G1345" t="s">
        <v>428</v>
      </c>
      <c r="H1345" t="s">
        <v>425</v>
      </c>
      <c r="I1345" t="s">
        <v>426</v>
      </c>
      <c r="J1345" t="s">
        <v>430</v>
      </c>
    </row>
    <row r="1346" spans="1:10" ht="15" customHeight="1" x14ac:dyDescent="0.25">
      <c r="A1346" s="82">
        <v>43621</v>
      </c>
      <c r="B1346" t="s">
        <v>455</v>
      </c>
      <c r="C1346" t="s">
        <v>421</v>
      </c>
      <c r="D1346" t="s">
        <v>427</v>
      </c>
      <c r="E1346" t="s">
        <v>424</v>
      </c>
      <c r="F1346" t="s">
        <v>514</v>
      </c>
      <c r="G1346" t="s">
        <v>428</v>
      </c>
      <c r="H1346" t="s">
        <v>425</v>
      </c>
      <c r="I1346" t="s">
        <v>426</v>
      </c>
      <c r="J1346" t="s">
        <v>430</v>
      </c>
    </row>
    <row r="1347" spans="1:10" ht="15" customHeight="1" x14ac:dyDescent="0.25">
      <c r="A1347" s="82">
        <v>43622</v>
      </c>
      <c r="B1347" t="s">
        <v>514</v>
      </c>
      <c r="C1347" t="s">
        <v>427</v>
      </c>
      <c r="D1347" t="s">
        <v>455</v>
      </c>
      <c r="E1347" t="s">
        <v>424</v>
      </c>
      <c r="F1347" t="s">
        <v>514</v>
      </c>
      <c r="G1347" t="s">
        <v>428</v>
      </c>
      <c r="H1347" t="s">
        <v>425</v>
      </c>
      <c r="I1347" t="s">
        <v>426</v>
      </c>
      <c r="J1347" t="s">
        <v>430</v>
      </c>
    </row>
    <row r="1348" spans="1:10" ht="15" customHeight="1" x14ac:dyDescent="0.25">
      <c r="A1348" s="82">
        <v>43623</v>
      </c>
      <c r="B1348" t="s">
        <v>514</v>
      </c>
      <c r="C1348" t="s">
        <v>455</v>
      </c>
      <c r="D1348" t="s">
        <v>424</v>
      </c>
      <c r="E1348" t="s">
        <v>424</v>
      </c>
      <c r="F1348" t="s">
        <v>426</v>
      </c>
      <c r="G1348" t="s">
        <v>425</v>
      </c>
      <c r="H1348" t="s">
        <v>425</v>
      </c>
      <c r="I1348" t="s">
        <v>427</v>
      </c>
      <c r="J1348" t="s">
        <v>421</v>
      </c>
    </row>
    <row r="1349" spans="1:10" ht="15" customHeight="1" x14ac:dyDescent="0.25">
      <c r="A1349" s="82">
        <v>43624</v>
      </c>
      <c r="B1349" t="s">
        <v>514</v>
      </c>
      <c r="C1349" t="s">
        <v>428</v>
      </c>
      <c r="D1349" t="s">
        <v>424</v>
      </c>
      <c r="E1349" t="s">
        <v>424</v>
      </c>
      <c r="F1349" t="s">
        <v>426</v>
      </c>
      <c r="G1349" t="s">
        <v>425</v>
      </c>
      <c r="H1349" t="s">
        <v>421</v>
      </c>
      <c r="I1349" t="s">
        <v>455</v>
      </c>
      <c r="J1349" t="s">
        <v>427</v>
      </c>
    </row>
    <row r="1350" spans="1:10" ht="15" customHeight="1" x14ac:dyDescent="0.25">
      <c r="A1350" s="82">
        <v>43625</v>
      </c>
      <c r="B1350" t="s">
        <v>514</v>
      </c>
      <c r="C1350" t="s">
        <v>428</v>
      </c>
      <c r="D1350" t="s">
        <v>424</v>
      </c>
      <c r="E1350" t="s">
        <v>430</v>
      </c>
      <c r="F1350" t="s">
        <v>426</v>
      </c>
      <c r="G1350" t="s">
        <v>425</v>
      </c>
      <c r="H1350" t="s">
        <v>421</v>
      </c>
      <c r="I1350" t="s">
        <v>427</v>
      </c>
      <c r="J1350" t="s">
        <v>455</v>
      </c>
    </row>
    <row r="1351" spans="1:10" ht="15" customHeight="1" x14ac:dyDescent="0.25">
      <c r="A1351" s="82">
        <v>43626</v>
      </c>
      <c r="B1351" t="s">
        <v>514</v>
      </c>
      <c r="C1351" t="s">
        <v>428</v>
      </c>
      <c r="D1351" t="s">
        <v>424</v>
      </c>
      <c r="E1351" t="s">
        <v>430</v>
      </c>
      <c r="F1351" t="s">
        <v>426</v>
      </c>
      <c r="G1351" t="s">
        <v>425</v>
      </c>
      <c r="H1351" t="s">
        <v>427</v>
      </c>
      <c r="I1351" t="s">
        <v>455</v>
      </c>
      <c r="J1351" t="s">
        <v>421</v>
      </c>
    </row>
    <row r="1352" spans="1:10" ht="15" customHeight="1" x14ac:dyDescent="0.25">
      <c r="A1352" s="82">
        <v>43627</v>
      </c>
      <c r="B1352" t="s">
        <v>514</v>
      </c>
      <c r="C1352" t="s">
        <v>428</v>
      </c>
      <c r="D1352" t="s">
        <v>424</v>
      </c>
      <c r="E1352" t="s">
        <v>430</v>
      </c>
      <c r="F1352" t="s">
        <v>426</v>
      </c>
      <c r="G1352" t="s">
        <v>425</v>
      </c>
      <c r="H1352" t="s">
        <v>455</v>
      </c>
      <c r="I1352" t="s">
        <v>421</v>
      </c>
      <c r="J1352" t="s">
        <v>427</v>
      </c>
    </row>
    <row r="1353" spans="1:10" ht="15" customHeight="1" x14ac:dyDescent="0.25">
      <c r="A1353" s="82">
        <v>43628</v>
      </c>
      <c r="B1353" t="s">
        <v>514</v>
      </c>
      <c r="C1353" t="s">
        <v>428</v>
      </c>
      <c r="D1353" t="s">
        <v>424</v>
      </c>
      <c r="E1353" t="s">
        <v>430</v>
      </c>
      <c r="F1353" t="s">
        <v>426</v>
      </c>
      <c r="G1353" t="s">
        <v>425</v>
      </c>
      <c r="H1353" t="s">
        <v>427</v>
      </c>
      <c r="I1353" t="s">
        <v>421</v>
      </c>
      <c r="J1353" t="s">
        <v>455</v>
      </c>
    </row>
    <row r="1354" spans="1:10" ht="15" customHeight="1" x14ac:dyDescent="0.25">
      <c r="A1354" s="82">
        <v>43629</v>
      </c>
      <c r="B1354" t="s">
        <v>514</v>
      </c>
      <c r="C1354" t="s">
        <v>428</v>
      </c>
      <c r="D1354" t="s">
        <v>424</v>
      </c>
      <c r="E1354" t="s">
        <v>430</v>
      </c>
      <c r="F1354" t="s">
        <v>426</v>
      </c>
      <c r="G1354" t="s">
        <v>425</v>
      </c>
      <c r="H1354" t="s">
        <v>455</v>
      </c>
      <c r="I1354" t="s">
        <v>427</v>
      </c>
      <c r="J1354" t="s">
        <v>514</v>
      </c>
    </row>
    <row r="1355" spans="1:10" ht="15" customHeight="1" x14ac:dyDescent="0.25">
      <c r="A1355" s="82">
        <v>43630</v>
      </c>
      <c r="B1355" t="s">
        <v>426</v>
      </c>
      <c r="C1355" t="s">
        <v>425</v>
      </c>
      <c r="D1355" t="s">
        <v>424</v>
      </c>
      <c r="E1355" t="s">
        <v>430</v>
      </c>
      <c r="F1355" t="s">
        <v>427</v>
      </c>
      <c r="G1355" t="s">
        <v>425</v>
      </c>
      <c r="H1355" t="s">
        <v>424</v>
      </c>
      <c r="I1355" t="s">
        <v>455</v>
      </c>
      <c r="J1355" t="s">
        <v>514</v>
      </c>
    </row>
    <row r="1356" spans="1:10" ht="15" customHeight="1" x14ac:dyDescent="0.25">
      <c r="A1356" s="82">
        <v>43631</v>
      </c>
      <c r="B1356" t="s">
        <v>426</v>
      </c>
      <c r="C1356" t="s">
        <v>425</v>
      </c>
      <c r="D1356" t="s">
        <v>430</v>
      </c>
      <c r="E1356" t="s">
        <v>427</v>
      </c>
      <c r="F1356" t="s">
        <v>455</v>
      </c>
      <c r="G1356" t="s">
        <v>421</v>
      </c>
      <c r="H1356" t="s">
        <v>424</v>
      </c>
      <c r="I1356" t="s">
        <v>428</v>
      </c>
      <c r="J1356" t="s">
        <v>514</v>
      </c>
    </row>
    <row r="1357" spans="1:10" ht="15" customHeight="1" x14ac:dyDescent="0.25">
      <c r="A1357" s="82">
        <v>43632</v>
      </c>
      <c r="B1357" t="s">
        <v>426</v>
      </c>
      <c r="C1357" t="s">
        <v>425</v>
      </c>
      <c r="D1357" t="s">
        <v>430</v>
      </c>
      <c r="E1357" t="s">
        <v>455</v>
      </c>
      <c r="F1357" t="s">
        <v>427</v>
      </c>
      <c r="G1357" t="s">
        <v>421</v>
      </c>
      <c r="H1357" t="s">
        <v>424</v>
      </c>
      <c r="I1357" t="s">
        <v>428</v>
      </c>
      <c r="J1357" t="s">
        <v>514</v>
      </c>
    </row>
    <row r="1358" spans="1:10" ht="15" customHeight="1" x14ac:dyDescent="0.25">
      <c r="A1358" s="82">
        <v>43633</v>
      </c>
      <c r="B1358" t="s">
        <v>426</v>
      </c>
      <c r="C1358" t="s">
        <v>425</v>
      </c>
      <c r="D1358" t="s">
        <v>430</v>
      </c>
      <c r="E1358" t="s">
        <v>421</v>
      </c>
      <c r="F1358" t="s">
        <v>455</v>
      </c>
      <c r="G1358" t="s">
        <v>427</v>
      </c>
      <c r="H1358" t="s">
        <v>424</v>
      </c>
      <c r="I1358" t="s">
        <v>428</v>
      </c>
      <c r="J1358" t="s">
        <v>514</v>
      </c>
    </row>
    <row r="1359" spans="1:10" ht="15" customHeight="1" x14ac:dyDescent="0.25">
      <c r="A1359" s="82">
        <v>43634</v>
      </c>
      <c r="B1359" t="s">
        <v>426</v>
      </c>
      <c r="C1359" t="s">
        <v>425</v>
      </c>
      <c r="D1359" t="s">
        <v>430</v>
      </c>
      <c r="E1359" t="s">
        <v>427</v>
      </c>
      <c r="F1359" t="s">
        <v>421</v>
      </c>
      <c r="G1359" t="s">
        <v>455</v>
      </c>
      <c r="H1359" t="s">
        <v>424</v>
      </c>
      <c r="I1359" t="s">
        <v>428</v>
      </c>
      <c r="J1359" t="s">
        <v>514</v>
      </c>
    </row>
    <row r="1360" spans="1:10" ht="15" customHeight="1" x14ac:dyDescent="0.25">
      <c r="A1360" s="82">
        <v>43635</v>
      </c>
      <c r="B1360" t="s">
        <v>426</v>
      </c>
      <c r="C1360" t="s">
        <v>425</v>
      </c>
      <c r="D1360" t="s">
        <v>430</v>
      </c>
      <c r="E1360" t="s">
        <v>455</v>
      </c>
      <c r="F1360" t="s">
        <v>421</v>
      </c>
      <c r="G1360" t="s">
        <v>427</v>
      </c>
      <c r="H1360" t="s">
        <v>424</v>
      </c>
      <c r="I1360" t="s">
        <v>428</v>
      </c>
      <c r="J1360" t="s">
        <v>514</v>
      </c>
    </row>
    <row r="1361" spans="1:10" ht="15" customHeight="1" x14ac:dyDescent="0.25">
      <c r="A1361" s="82">
        <v>43636</v>
      </c>
      <c r="B1361" t="s">
        <v>426</v>
      </c>
      <c r="C1361" t="s">
        <v>425</v>
      </c>
      <c r="D1361" t="s">
        <v>430</v>
      </c>
      <c r="E1361" t="s">
        <v>514</v>
      </c>
      <c r="F1361" t="s">
        <v>427</v>
      </c>
      <c r="G1361" t="s">
        <v>455</v>
      </c>
      <c r="H1361" t="s">
        <v>424</v>
      </c>
      <c r="I1361" t="s">
        <v>428</v>
      </c>
      <c r="J1361" t="s">
        <v>514</v>
      </c>
    </row>
    <row r="1362" spans="1:10" ht="15" customHeight="1" x14ac:dyDescent="0.25">
      <c r="A1362" s="82">
        <v>43637</v>
      </c>
      <c r="B1362" t="s">
        <v>427</v>
      </c>
      <c r="C1362" t="s">
        <v>425</v>
      </c>
      <c r="D1362" t="s">
        <v>421</v>
      </c>
      <c r="E1362" t="s">
        <v>514</v>
      </c>
      <c r="F1362" t="s">
        <v>455</v>
      </c>
      <c r="G1362" t="s">
        <v>424</v>
      </c>
      <c r="H1362" t="s">
        <v>424</v>
      </c>
      <c r="I1362" t="s">
        <v>425</v>
      </c>
      <c r="J1362" t="s">
        <v>426</v>
      </c>
    </row>
    <row r="1363" spans="1:10" ht="15" customHeight="1" x14ac:dyDescent="0.25">
      <c r="A1363" s="82">
        <v>43638</v>
      </c>
      <c r="B1363" t="s">
        <v>455</v>
      </c>
      <c r="C1363" t="s">
        <v>421</v>
      </c>
      <c r="D1363" t="s">
        <v>427</v>
      </c>
      <c r="E1363" t="s">
        <v>514</v>
      </c>
      <c r="F1363" t="s">
        <v>428</v>
      </c>
      <c r="G1363" t="s">
        <v>424</v>
      </c>
      <c r="H1363" t="s">
        <v>430</v>
      </c>
      <c r="I1363" t="s">
        <v>425</v>
      </c>
      <c r="J1363" t="s">
        <v>426</v>
      </c>
    </row>
    <row r="1364" spans="1:10" ht="15" customHeight="1" x14ac:dyDescent="0.25">
      <c r="A1364" s="82">
        <v>43639</v>
      </c>
      <c r="B1364" t="s">
        <v>427</v>
      </c>
      <c r="C1364" t="s">
        <v>421</v>
      </c>
      <c r="D1364" t="s">
        <v>455</v>
      </c>
      <c r="E1364" t="s">
        <v>514</v>
      </c>
      <c r="F1364" t="s">
        <v>428</v>
      </c>
      <c r="G1364" t="s">
        <v>424</v>
      </c>
      <c r="H1364" t="s">
        <v>430</v>
      </c>
      <c r="I1364" t="s">
        <v>425</v>
      </c>
      <c r="J1364" t="s">
        <v>426</v>
      </c>
    </row>
    <row r="1365" spans="1:10" ht="15" customHeight="1" x14ac:dyDescent="0.25">
      <c r="A1365" s="82">
        <v>43640</v>
      </c>
      <c r="B1365" t="s">
        <v>455</v>
      </c>
      <c r="C1365" t="s">
        <v>427</v>
      </c>
      <c r="D1365" t="s">
        <v>421</v>
      </c>
      <c r="E1365" t="s">
        <v>514</v>
      </c>
      <c r="F1365" t="s">
        <v>428</v>
      </c>
      <c r="G1365" t="s">
        <v>424</v>
      </c>
      <c r="H1365" t="s">
        <v>430</v>
      </c>
      <c r="I1365" t="s">
        <v>425</v>
      </c>
      <c r="J1365" t="s">
        <v>426</v>
      </c>
    </row>
    <row r="1366" spans="1:10" ht="15" customHeight="1" x14ac:dyDescent="0.25">
      <c r="A1366" s="82">
        <v>43641</v>
      </c>
      <c r="B1366" t="s">
        <v>421</v>
      </c>
      <c r="C1366" t="s">
        <v>455</v>
      </c>
      <c r="D1366" t="s">
        <v>427</v>
      </c>
      <c r="E1366" t="s">
        <v>514</v>
      </c>
      <c r="F1366" t="s">
        <v>428</v>
      </c>
      <c r="G1366" t="s">
        <v>424</v>
      </c>
      <c r="H1366" t="s">
        <v>430</v>
      </c>
      <c r="I1366" t="s">
        <v>425</v>
      </c>
      <c r="J1366" t="s">
        <v>426</v>
      </c>
    </row>
    <row r="1367" spans="1:10" ht="15" customHeight="1" x14ac:dyDescent="0.25">
      <c r="A1367" s="82">
        <v>43642</v>
      </c>
      <c r="B1367" t="s">
        <v>421</v>
      </c>
      <c r="C1367" t="s">
        <v>427</v>
      </c>
      <c r="D1367" t="s">
        <v>455</v>
      </c>
      <c r="E1367" t="s">
        <v>514</v>
      </c>
      <c r="F1367" t="s">
        <v>428</v>
      </c>
      <c r="G1367" t="s">
        <v>424</v>
      </c>
      <c r="H1367" t="s">
        <v>430</v>
      </c>
      <c r="I1367" t="s">
        <v>425</v>
      </c>
      <c r="J1367" t="s">
        <v>426</v>
      </c>
    </row>
    <row r="1368" spans="1:10" ht="15" customHeight="1" x14ac:dyDescent="0.25">
      <c r="A1368" s="82">
        <v>43643</v>
      </c>
      <c r="B1368" t="s">
        <v>427</v>
      </c>
      <c r="C1368" t="s">
        <v>455</v>
      </c>
      <c r="D1368" t="s">
        <v>514</v>
      </c>
      <c r="E1368" t="s">
        <v>514</v>
      </c>
      <c r="F1368" t="s">
        <v>428</v>
      </c>
      <c r="G1368" t="s">
        <v>424</v>
      </c>
      <c r="H1368" t="s">
        <v>430</v>
      </c>
      <c r="I1368" t="s">
        <v>425</v>
      </c>
      <c r="J1368" t="s">
        <v>426</v>
      </c>
    </row>
    <row r="1369" spans="1:10" ht="15" customHeight="1" x14ac:dyDescent="0.25">
      <c r="A1369" s="82">
        <v>43644</v>
      </c>
      <c r="B1369" t="s">
        <v>455</v>
      </c>
      <c r="C1369" t="s">
        <v>424</v>
      </c>
      <c r="D1369" t="s">
        <v>514</v>
      </c>
      <c r="E1369" t="s">
        <v>426</v>
      </c>
      <c r="F1369" t="s">
        <v>425</v>
      </c>
      <c r="G1369" t="s">
        <v>515</v>
      </c>
      <c r="H1369" t="s">
        <v>421</v>
      </c>
      <c r="I1369" t="s">
        <v>425</v>
      </c>
      <c r="J1369" t="s">
        <v>427</v>
      </c>
    </row>
    <row r="1370" spans="1:10" ht="15" customHeight="1" x14ac:dyDescent="0.25">
      <c r="A1370" s="82">
        <v>43645</v>
      </c>
      <c r="B1370" t="s">
        <v>428</v>
      </c>
      <c r="C1370" t="s">
        <v>424</v>
      </c>
      <c r="D1370" t="s">
        <v>514</v>
      </c>
      <c r="E1370" t="s">
        <v>426</v>
      </c>
      <c r="F1370" t="s">
        <v>425</v>
      </c>
      <c r="G1370" t="s">
        <v>515</v>
      </c>
      <c r="H1370" t="s">
        <v>427</v>
      </c>
      <c r="I1370" t="s">
        <v>421</v>
      </c>
      <c r="J1370" t="s">
        <v>455</v>
      </c>
    </row>
    <row r="1371" spans="1:10" ht="15" customHeight="1" x14ac:dyDescent="0.25">
      <c r="A1371" s="82">
        <v>43646</v>
      </c>
      <c r="B1371" t="s">
        <v>428</v>
      </c>
      <c r="C1371" t="s">
        <v>424</v>
      </c>
      <c r="D1371" t="s">
        <v>514</v>
      </c>
      <c r="E1371" t="s">
        <v>426</v>
      </c>
      <c r="F1371" t="s">
        <v>425</v>
      </c>
      <c r="G1371" t="s">
        <v>515</v>
      </c>
      <c r="H1371" t="s">
        <v>455</v>
      </c>
      <c r="I1371" t="s">
        <v>421</v>
      </c>
      <c r="J1371" t="s">
        <v>427</v>
      </c>
    </row>
    <row r="1372" spans="1:10" ht="15" customHeight="1" x14ac:dyDescent="0.25">
      <c r="A1372" s="82">
        <v>43647</v>
      </c>
      <c r="B1372" t="s">
        <v>428</v>
      </c>
      <c r="C1372" t="s">
        <v>516</v>
      </c>
      <c r="D1372" t="s">
        <v>514</v>
      </c>
      <c r="E1372" t="s">
        <v>426</v>
      </c>
      <c r="F1372" t="s">
        <v>425</v>
      </c>
      <c r="G1372" t="s">
        <v>430</v>
      </c>
      <c r="H1372" t="s">
        <v>421</v>
      </c>
      <c r="I1372" t="s">
        <v>427</v>
      </c>
      <c r="J1372" t="s">
        <v>455</v>
      </c>
    </row>
    <row r="1373" spans="1:10" ht="15" customHeight="1" x14ac:dyDescent="0.25">
      <c r="A1373" s="82">
        <v>43648</v>
      </c>
      <c r="B1373" t="s">
        <v>428</v>
      </c>
      <c r="C1373" t="s">
        <v>516</v>
      </c>
      <c r="D1373" t="s">
        <v>514</v>
      </c>
      <c r="E1373" t="s">
        <v>426</v>
      </c>
      <c r="F1373" t="s">
        <v>425</v>
      </c>
      <c r="G1373" t="s">
        <v>430</v>
      </c>
      <c r="H1373" t="s">
        <v>427</v>
      </c>
      <c r="I1373" t="s">
        <v>455</v>
      </c>
      <c r="J1373" t="s">
        <v>421</v>
      </c>
    </row>
    <row r="1374" spans="1:10" ht="15" customHeight="1" x14ac:dyDescent="0.25">
      <c r="A1374" s="82">
        <v>43649</v>
      </c>
      <c r="B1374" t="s">
        <v>428</v>
      </c>
      <c r="C1374" t="s">
        <v>516</v>
      </c>
      <c r="D1374" t="s">
        <v>514</v>
      </c>
      <c r="E1374" t="s">
        <v>426</v>
      </c>
      <c r="F1374" t="s">
        <v>425</v>
      </c>
      <c r="G1374" t="s">
        <v>430</v>
      </c>
      <c r="H1374" t="s">
        <v>455</v>
      </c>
      <c r="I1374" t="s">
        <v>427</v>
      </c>
      <c r="J1374" t="s">
        <v>421</v>
      </c>
    </row>
    <row r="1375" spans="1:10" ht="15" customHeight="1" x14ac:dyDescent="0.25">
      <c r="A1375" s="82">
        <v>43650</v>
      </c>
      <c r="B1375" t="s">
        <v>428</v>
      </c>
      <c r="C1375" t="s">
        <v>516</v>
      </c>
      <c r="D1375" t="s">
        <v>514</v>
      </c>
      <c r="E1375" t="s">
        <v>426</v>
      </c>
      <c r="F1375" t="s">
        <v>425</v>
      </c>
      <c r="G1375" t="s">
        <v>430</v>
      </c>
      <c r="H1375" t="s">
        <v>514</v>
      </c>
      <c r="I1375" t="s">
        <v>455</v>
      </c>
      <c r="J1375" t="s">
        <v>427</v>
      </c>
    </row>
    <row r="1376" spans="1:10" ht="15" customHeight="1" x14ac:dyDescent="0.25">
      <c r="A1376" s="82">
        <v>43651</v>
      </c>
      <c r="B1376" t="s">
        <v>425</v>
      </c>
      <c r="C1376" t="s">
        <v>516</v>
      </c>
      <c r="D1376" t="s">
        <v>426</v>
      </c>
      <c r="E1376" t="s">
        <v>427</v>
      </c>
      <c r="F1376" t="s">
        <v>425</v>
      </c>
      <c r="G1376" t="s">
        <v>421</v>
      </c>
      <c r="H1376" t="s">
        <v>514</v>
      </c>
      <c r="I1376" t="s">
        <v>516</v>
      </c>
      <c r="J1376" t="s">
        <v>455</v>
      </c>
    </row>
    <row r="1377" spans="1:10" ht="15" customHeight="1" x14ac:dyDescent="0.25">
      <c r="A1377" s="82">
        <v>43652</v>
      </c>
      <c r="B1377" t="s">
        <v>425</v>
      </c>
      <c r="C1377" t="s">
        <v>430</v>
      </c>
      <c r="D1377" t="s">
        <v>426</v>
      </c>
      <c r="E1377" t="s">
        <v>455</v>
      </c>
      <c r="F1377" t="s">
        <v>421</v>
      </c>
      <c r="G1377" t="s">
        <v>427</v>
      </c>
      <c r="H1377" t="s">
        <v>514</v>
      </c>
      <c r="I1377" t="s">
        <v>516</v>
      </c>
      <c r="J1377" t="s">
        <v>428</v>
      </c>
    </row>
    <row r="1378" spans="1:10" ht="15" customHeight="1" x14ac:dyDescent="0.25">
      <c r="A1378" s="82">
        <v>43653</v>
      </c>
      <c r="B1378" t="s">
        <v>425</v>
      </c>
      <c r="C1378" t="s">
        <v>430</v>
      </c>
      <c r="D1378" t="s">
        <v>426</v>
      </c>
      <c r="E1378" t="s">
        <v>427</v>
      </c>
      <c r="F1378" t="s">
        <v>421</v>
      </c>
      <c r="G1378" t="s">
        <v>455</v>
      </c>
      <c r="H1378" t="s">
        <v>514</v>
      </c>
      <c r="I1378" t="s">
        <v>516</v>
      </c>
      <c r="J1378" t="s">
        <v>428</v>
      </c>
    </row>
    <row r="1379" spans="1:10" ht="15" customHeight="1" x14ac:dyDescent="0.25">
      <c r="A1379" s="82">
        <v>43654</v>
      </c>
      <c r="B1379" t="s">
        <v>425</v>
      </c>
      <c r="C1379" t="s">
        <v>430</v>
      </c>
      <c r="D1379" t="s">
        <v>426</v>
      </c>
      <c r="E1379" t="s">
        <v>455</v>
      </c>
      <c r="F1379" t="s">
        <v>427</v>
      </c>
      <c r="G1379" t="s">
        <v>421</v>
      </c>
      <c r="H1379" t="s">
        <v>514</v>
      </c>
      <c r="I1379" t="s">
        <v>516</v>
      </c>
      <c r="J1379" t="s">
        <v>428</v>
      </c>
    </row>
    <row r="1380" spans="1:10" ht="15" customHeight="1" x14ac:dyDescent="0.25">
      <c r="A1380" s="82">
        <v>43655</v>
      </c>
      <c r="B1380" t="s">
        <v>425</v>
      </c>
      <c r="C1380" t="s">
        <v>430</v>
      </c>
      <c r="D1380" t="s">
        <v>426</v>
      </c>
      <c r="E1380" t="s">
        <v>421</v>
      </c>
      <c r="F1380" t="s">
        <v>455</v>
      </c>
      <c r="G1380" t="s">
        <v>427</v>
      </c>
      <c r="H1380" t="s">
        <v>514</v>
      </c>
      <c r="I1380" t="s">
        <v>516</v>
      </c>
      <c r="J1380" t="s">
        <v>428</v>
      </c>
    </row>
    <row r="1381" spans="1:10" ht="15" customHeight="1" x14ac:dyDescent="0.25">
      <c r="A1381" s="82">
        <v>43656</v>
      </c>
      <c r="B1381" t="s">
        <v>425</v>
      </c>
      <c r="C1381" t="s">
        <v>430</v>
      </c>
      <c r="D1381" t="s">
        <v>426</v>
      </c>
      <c r="E1381" t="s">
        <v>421</v>
      </c>
      <c r="F1381" t="s">
        <v>427</v>
      </c>
      <c r="G1381" t="s">
        <v>455</v>
      </c>
      <c r="H1381" t="s">
        <v>514</v>
      </c>
      <c r="I1381" t="s">
        <v>516</v>
      </c>
      <c r="J1381" t="s">
        <v>428</v>
      </c>
    </row>
    <row r="1382" spans="1:10" ht="15" customHeight="1" x14ac:dyDescent="0.25">
      <c r="A1382" s="82">
        <v>43657</v>
      </c>
      <c r="B1382" t="s">
        <v>425</v>
      </c>
      <c r="C1382" t="s">
        <v>430</v>
      </c>
      <c r="D1382" t="s">
        <v>426</v>
      </c>
      <c r="E1382" t="s">
        <v>427</v>
      </c>
      <c r="F1382" t="s">
        <v>455</v>
      </c>
      <c r="G1382" t="s">
        <v>514</v>
      </c>
      <c r="H1382" t="s">
        <v>514</v>
      </c>
      <c r="I1382" t="s">
        <v>516</v>
      </c>
      <c r="J1382" t="s">
        <v>428</v>
      </c>
    </row>
    <row r="1383" spans="1:10" ht="15" customHeight="1" x14ac:dyDescent="0.25">
      <c r="A1383" s="82">
        <v>43658</v>
      </c>
      <c r="B1383" t="s">
        <v>425</v>
      </c>
      <c r="C1383" t="s">
        <v>421</v>
      </c>
      <c r="D1383" t="s">
        <v>427</v>
      </c>
      <c r="E1383" t="s">
        <v>455</v>
      </c>
      <c r="F1383" t="s">
        <v>516</v>
      </c>
      <c r="G1383" t="s">
        <v>514</v>
      </c>
      <c r="H1383" t="s">
        <v>426</v>
      </c>
      <c r="I1383" t="s">
        <v>516</v>
      </c>
      <c r="J1383" t="s">
        <v>425</v>
      </c>
    </row>
    <row r="1384" spans="1:10" ht="15" customHeight="1" x14ac:dyDescent="0.25">
      <c r="A1384" s="82">
        <v>43659</v>
      </c>
      <c r="B1384" t="s">
        <v>421</v>
      </c>
      <c r="C1384" t="s">
        <v>427</v>
      </c>
      <c r="D1384" t="s">
        <v>455</v>
      </c>
      <c r="E1384" t="s">
        <v>428</v>
      </c>
      <c r="F1384" t="s">
        <v>516</v>
      </c>
      <c r="G1384" t="s">
        <v>514</v>
      </c>
      <c r="H1384" t="s">
        <v>426</v>
      </c>
      <c r="I1384" t="s">
        <v>430</v>
      </c>
      <c r="J1384" t="s">
        <v>425</v>
      </c>
    </row>
    <row r="1385" spans="1:10" ht="15" customHeight="1" x14ac:dyDescent="0.25">
      <c r="A1385" s="82">
        <v>43660</v>
      </c>
      <c r="B1385" t="s">
        <v>421</v>
      </c>
      <c r="C1385" t="s">
        <v>455</v>
      </c>
      <c r="D1385" t="s">
        <v>427</v>
      </c>
      <c r="E1385" t="s">
        <v>428</v>
      </c>
      <c r="F1385" t="s">
        <v>516</v>
      </c>
      <c r="G1385" t="s">
        <v>514</v>
      </c>
      <c r="H1385" t="s">
        <v>426</v>
      </c>
      <c r="I1385" t="s">
        <v>430</v>
      </c>
      <c r="J1385" t="s">
        <v>425</v>
      </c>
    </row>
    <row r="1386" spans="1:10" ht="15" customHeight="1" x14ac:dyDescent="0.25">
      <c r="A1386" s="82">
        <v>43661</v>
      </c>
      <c r="B1386" t="s">
        <v>427</v>
      </c>
      <c r="C1386" t="s">
        <v>421</v>
      </c>
      <c r="D1386" t="s">
        <v>455</v>
      </c>
      <c r="E1386" t="s">
        <v>428</v>
      </c>
      <c r="F1386" t="s">
        <v>516</v>
      </c>
      <c r="G1386" t="s">
        <v>514</v>
      </c>
      <c r="H1386" t="s">
        <v>426</v>
      </c>
      <c r="I1386" t="s">
        <v>430</v>
      </c>
      <c r="J1386" t="s">
        <v>425</v>
      </c>
    </row>
    <row r="1387" spans="1:10" ht="15" customHeight="1" x14ac:dyDescent="0.25">
      <c r="A1387" s="82">
        <v>43662</v>
      </c>
      <c r="B1387" t="s">
        <v>455</v>
      </c>
      <c r="C1387" t="s">
        <v>427</v>
      </c>
      <c r="D1387" t="s">
        <v>421</v>
      </c>
      <c r="E1387" t="s">
        <v>428</v>
      </c>
      <c r="F1387" t="s">
        <v>516</v>
      </c>
      <c r="G1387" t="s">
        <v>514</v>
      </c>
      <c r="H1387" t="s">
        <v>426</v>
      </c>
      <c r="I1387" t="s">
        <v>430</v>
      </c>
      <c r="J1387" t="s">
        <v>425</v>
      </c>
    </row>
    <row r="1388" spans="1:10" ht="15" customHeight="1" x14ac:dyDescent="0.25">
      <c r="A1388" s="82">
        <v>43663</v>
      </c>
      <c r="B1388" t="s">
        <v>427</v>
      </c>
      <c r="C1388" t="s">
        <v>455</v>
      </c>
      <c r="D1388" t="s">
        <v>421</v>
      </c>
      <c r="E1388" t="s">
        <v>428</v>
      </c>
      <c r="F1388" t="s">
        <v>516</v>
      </c>
      <c r="G1388" t="s">
        <v>514</v>
      </c>
      <c r="H1388" t="s">
        <v>426</v>
      </c>
      <c r="I1388" t="s">
        <v>430</v>
      </c>
      <c r="J1388" t="s">
        <v>425</v>
      </c>
    </row>
    <row r="1389" spans="1:10" ht="15" customHeight="1" x14ac:dyDescent="0.25">
      <c r="A1389" s="82">
        <v>43664</v>
      </c>
      <c r="B1389" t="s">
        <v>455</v>
      </c>
      <c r="C1389" t="s">
        <v>514</v>
      </c>
      <c r="D1389" t="s">
        <v>427</v>
      </c>
      <c r="E1389" t="s">
        <v>428</v>
      </c>
      <c r="F1389" t="s">
        <v>516</v>
      </c>
      <c r="G1389" t="s">
        <v>514</v>
      </c>
      <c r="H1389" t="s">
        <v>426</v>
      </c>
      <c r="I1389" t="s">
        <v>430</v>
      </c>
      <c r="J1389" t="s">
        <v>425</v>
      </c>
    </row>
    <row r="1390" spans="1:10" ht="15" customHeight="1" x14ac:dyDescent="0.25">
      <c r="A1390" s="82">
        <v>43665</v>
      </c>
      <c r="B1390" t="s">
        <v>516</v>
      </c>
      <c r="C1390" t="s">
        <v>514</v>
      </c>
      <c r="D1390" t="s">
        <v>455</v>
      </c>
      <c r="E1390" t="s">
        <v>425</v>
      </c>
      <c r="F1390" t="s">
        <v>516</v>
      </c>
      <c r="G1390" t="s">
        <v>426</v>
      </c>
      <c r="H1390" t="s">
        <v>427</v>
      </c>
      <c r="I1390" t="s">
        <v>421</v>
      </c>
      <c r="J1390" t="s">
        <v>425</v>
      </c>
    </row>
    <row r="1391" spans="1:10" ht="15" customHeight="1" x14ac:dyDescent="0.25">
      <c r="A1391" s="82">
        <v>43666</v>
      </c>
      <c r="B1391" t="s">
        <v>516</v>
      </c>
      <c r="C1391" t="s">
        <v>514</v>
      </c>
      <c r="D1391" t="s">
        <v>428</v>
      </c>
      <c r="E1391" t="s">
        <v>425</v>
      </c>
      <c r="F1391" t="s">
        <v>430</v>
      </c>
      <c r="G1391" t="s">
        <v>426</v>
      </c>
      <c r="H1391" t="s">
        <v>455</v>
      </c>
      <c r="I1391" t="s">
        <v>427</v>
      </c>
      <c r="J1391" t="s">
        <v>421</v>
      </c>
    </row>
    <row r="1392" spans="1:10" ht="15" customHeight="1" x14ac:dyDescent="0.25">
      <c r="A1392" s="82">
        <v>43667</v>
      </c>
      <c r="B1392" t="s">
        <v>516</v>
      </c>
      <c r="C1392" t="s">
        <v>514</v>
      </c>
      <c r="D1392" t="s">
        <v>428</v>
      </c>
      <c r="E1392" t="s">
        <v>425</v>
      </c>
      <c r="F1392" t="s">
        <v>430</v>
      </c>
      <c r="G1392" t="s">
        <v>426</v>
      </c>
      <c r="H1392" t="s">
        <v>427</v>
      </c>
      <c r="I1392" t="s">
        <v>455</v>
      </c>
      <c r="J1392" t="s">
        <v>421</v>
      </c>
    </row>
    <row r="1393" spans="1:10" ht="15" customHeight="1" x14ac:dyDescent="0.25">
      <c r="A1393" s="82">
        <v>43668</v>
      </c>
      <c r="B1393" t="s">
        <v>516</v>
      </c>
      <c r="C1393" t="s">
        <v>514</v>
      </c>
      <c r="D1393" t="s">
        <v>428</v>
      </c>
      <c r="E1393" t="s">
        <v>425</v>
      </c>
      <c r="F1393" t="s">
        <v>430</v>
      </c>
      <c r="G1393" t="s">
        <v>426</v>
      </c>
      <c r="H1393" t="s">
        <v>455</v>
      </c>
      <c r="I1393" t="s">
        <v>421</v>
      </c>
      <c r="J1393" t="s">
        <v>427</v>
      </c>
    </row>
    <row r="1394" spans="1:10" ht="15" customHeight="1" x14ac:dyDescent="0.25">
      <c r="A1394" s="82">
        <v>43669</v>
      </c>
      <c r="B1394" t="s">
        <v>516</v>
      </c>
      <c r="C1394" t="s">
        <v>514</v>
      </c>
      <c r="D1394" t="s">
        <v>428</v>
      </c>
      <c r="E1394" t="s">
        <v>425</v>
      </c>
      <c r="F1394" t="s">
        <v>430</v>
      </c>
      <c r="G1394" t="s">
        <v>426</v>
      </c>
      <c r="H1394" t="s">
        <v>421</v>
      </c>
      <c r="I1394" t="s">
        <v>427</v>
      </c>
      <c r="J1394" t="s">
        <v>455</v>
      </c>
    </row>
    <row r="1395" spans="1:10" ht="15" customHeight="1" x14ac:dyDescent="0.25">
      <c r="A1395" s="82">
        <v>43670</v>
      </c>
      <c r="B1395" t="s">
        <v>516</v>
      </c>
      <c r="C1395" t="s">
        <v>514</v>
      </c>
      <c r="D1395" t="s">
        <v>428</v>
      </c>
      <c r="E1395" t="s">
        <v>425</v>
      </c>
      <c r="F1395" t="s">
        <v>430</v>
      </c>
      <c r="G1395" t="s">
        <v>426</v>
      </c>
      <c r="H1395" t="s">
        <v>421</v>
      </c>
      <c r="I1395" t="s">
        <v>455</v>
      </c>
      <c r="J1395" t="s">
        <v>427</v>
      </c>
    </row>
    <row r="1396" spans="1:10" ht="15" customHeight="1" x14ac:dyDescent="0.25">
      <c r="A1396" s="82">
        <v>43671</v>
      </c>
      <c r="B1396" t="s">
        <v>516</v>
      </c>
      <c r="C1396" t="s">
        <v>514</v>
      </c>
      <c r="D1396" t="s">
        <v>428</v>
      </c>
      <c r="E1396" t="s">
        <v>425</v>
      </c>
      <c r="F1396" t="s">
        <v>430</v>
      </c>
      <c r="G1396" t="s">
        <v>426</v>
      </c>
      <c r="H1396" t="s">
        <v>427</v>
      </c>
      <c r="I1396" t="s">
        <v>514</v>
      </c>
      <c r="J1396" t="s">
        <v>455</v>
      </c>
    </row>
    <row r="1397" spans="1:10" ht="15" customHeight="1" x14ac:dyDescent="0.25">
      <c r="A1397" s="82">
        <v>43672</v>
      </c>
      <c r="B1397" t="s">
        <v>516</v>
      </c>
      <c r="C1397" t="s">
        <v>426</v>
      </c>
      <c r="D1397" t="s">
        <v>425</v>
      </c>
      <c r="E1397" t="s">
        <v>425</v>
      </c>
      <c r="F1397" t="s">
        <v>421</v>
      </c>
      <c r="G1397" t="s">
        <v>427</v>
      </c>
      <c r="H1397" t="s">
        <v>455</v>
      </c>
      <c r="I1397" t="s">
        <v>514</v>
      </c>
      <c r="J1397" t="s">
        <v>516</v>
      </c>
    </row>
    <row r="1398" spans="1:10" ht="15" customHeight="1" x14ac:dyDescent="0.25">
      <c r="A1398" s="82">
        <v>43673</v>
      </c>
      <c r="B1398" t="s">
        <v>430</v>
      </c>
      <c r="C1398" t="s">
        <v>426</v>
      </c>
      <c r="D1398" t="s">
        <v>425</v>
      </c>
      <c r="E1398" t="s">
        <v>421</v>
      </c>
      <c r="F1398" t="s">
        <v>427</v>
      </c>
      <c r="G1398" t="s">
        <v>455</v>
      </c>
      <c r="H1398" t="s">
        <v>428</v>
      </c>
      <c r="I1398" t="s">
        <v>514</v>
      </c>
      <c r="J1398" t="s">
        <v>516</v>
      </c>
    </row>
    <row r="1399" spans="1:10" ht="15" customHeight="1" x14ac:dyDescent="0.25">
      <c r="A1399" s="82">
        <v>43674</v>
      </c>
      <c r="B1399" t="s">
        <v>430</v>
      </c>
      <c r="C1399" t="s">
        <v>426</v>
      </c>
      <c r="D1399" t="s">
        <v>425</v>
      </c>
      <c r="E1399" t="s">
        <v>421</v>
      </c>
      <c r="F1399" t="s">
        <v>455</v>
      </c>
      <c r="G1399" t="s">
        <v>427</v>
      </c>
      <c r="H1399" t="s">
        <v>428</v>
      </c>
      <c r="I1399" t="s">
        <v>514</v>
      </c>
      <c r="J1399" t="s">
        <v>516</v>
      </c>
    </row>
    <row r="1400" spans="1:10" ht="15" customHeight="1" x14ac:dyDescent="0.25">
      <c r="A1400" s="82">
        <v>43675</v>
      </c>
      <c r="B1400" t="s">
        <v>430</v>
      </c>
      <c r="C1400" t="s">
        <v>426</v>
      </c>
      <c r="D1400" t="s">
        <v>425</v>
      </c>
      <c r="E1400" t="s">
        <v>427</v>
      </c>
      <c r="F1400" t="s">
        <v>421</v>
      </c>
      <c r="G1400" t="s">
        <v>455</v>
      </c>
      <c r="H1400" t="s">
        <v>428</v>
      </c>
      <c r="I1400" t="s">
        <v>514</v>
      </c>
      <c r="J1400" t="s">
        <v>516</v>
      </c>
    </row>
    <row r="1401" spans="1:10" ht="15" customHeight="1" x14ac:dyDescent="0.25">
      <c r="A1401" s="82">
        <v>43676</v>
      </c>
      <c r="B1401" t="s">
        <v>430</v>
      </c>
      <c r="C1401" t="s">
        <v>426</v>
      </c>
      <c r="D1401" t="s">
        <v>425</v>
      </c>
      <c r="E1401" t="s">
        <v>455</v>
      </c>
      <c r="F1401" t="s">
        <v>427</v>
      </c>
      <c r="G1401" t="s">
        <v>421</v>
      </c>
      <c r="H1401" t="s">
        <v>428</v>
      </c>
      <c r="I1401" t="s">
        <v>514</v>
      </c>
      <c r="J1401" t="s">
        <v>516</v>
      </c>
    </row>
    <row r="1402" spans="1:10" ht="15" customHeight="1" x14ac:dyDescent="0.25">
      <c r="A1402" s="82">
        <v>43677</v>
      </c>
      <c r="B1402" t="s">
        <v>430</v>
      </c>
      <c r="C1402" t="s">
        <v>426</v>
      </c>
      <c r="D1402" t="s">
        <v>425</v>
      </c>
      <c r="E1402" t="s">
        <v>427</v>
      </c>
      <c r="F1402" t="s">
        <v>455</v>
      </c>
      <c r="G1402" t="s">
        <v>421</v>
      </c>
      <c r="H1402" t="s">
        <v>428</v>
      </c>
      <c r="I1402" t="s">
        <v>514</v>
      </c>
      <c r="J1402" t="s">
        <v>516</v>
      </c>
    </row>
    <row r="1403" spans="1:10" ht="15" customHeight="1" x14ac:dyDescent="0.25">
      <c r="A1403" s="82">
        <v>43678</v>
      </c>
      <c r="B1403" t="s">
        <v>430</v>
      </c>
      <c r="C1403" t="s">
        <v>426</v>
      </c>
      <c r="D1403" t="s">
        <v>425</v>
      </c>
      <c r="E1403" t="s">
        <v>455</v>
      </c>
      <c r="F1403" t="s">
        <v>514</v>
      </c>
      <c r="G1403" t="s">
        <v>427</v>
      </c>
      <c r="H1403" t="s">
        <v>428</v>
      </c>
      <c r="I1403" t="s">
        <v>514</v>
      </c>
      <c r="J1403" t="s">
        <v>516</v>
      </c>
    </row>
    <row r="1404" spans="1:10" ht="15" customHeight="1" x14ac:dyDescent="0.25">
      <c r="A1404" s="82">
        <v>43679</v>
      </c>
      <c r="B1404" t="s">
        <v>421</v>
      </c>
      <c r="C1404" t="s">
        <v>427</v>
      </c>
      <c r="D1404" t="s">
        <v>425</v>
      </c>
      <c r="E1404" t="s">
        <v>516</v>
      </c>
      <c r="F1404" t="s">
        <v>514</v>
      </c>
      <c r="G1404" t="s">
        <v>455</v>
      </c>
      <c r="H1404" t="s">
        <v>425</v>
      </c>
      <c r="I1404" t="s">
        <v>426</v>
      </c>
      <c r="J1404" t="s">
        <v>516</v>
      </c>
    </row>
    <row r="1405" spans="1:10" ht="15" customHeight="1" x14ac:dyDescent="0.25">
      <c r="A1405" s="82">
        <v>43680</v>
      </c>
      <c r="B1405" t="s">
        <v>427</v>
      </c>
      <c r="C1405" t="s">
        <v>455</v>
      </c>
      <c r="D1405" t="s">
        <v>421</v>
      </c>
      <c r="E1405" t="s">
        <v>516</v>
      </c>
      <c r="F1405" t="s">
        <v>514</v>
      </c>
      <c r="G1405" t="s">
        <v>428</v>
      </c>
      <c r="H1405" t="s">
        <v>425</v>
      </c>
      <c r="I1405" t="s">
        <v>426</v>
      </c>
      <c r="J1405" t="s">
        <v>430</v>
      </c>
    </row>
    <row r="1406" spans="1:10" ht="15" customHeight="1" x14ac:dyDescent="0.25">
      <c r="A1406" s="82">
        <v>43681</v>
      </c>
      <c r="B1406" t="s">
        <v>455</v>
      </c>
      <c r="C1406" t="s">
        <v>427</v>
      </c>
      <c r="D1406" t="s">
        <v>421</v>
      </c>
      <c r="E1406" t="s">
        <v>516</v>
      </c>
      <c r="F1406" t="s">
        <v>514</v>
      </c>
      <c r="G1406" t="s">
        <v>428</v>
      </c>
      <c r="H1406" t="s">
        <v>425</v>
      </c>
      <c r="I1406" t="s">
        <v>426</v>
      </c>
      <c r="J1406" t="s">
        <v>430</v>
      </c>
    </row>
    <row r="1407" spans="1:10" ht="15" customHeight="1" x14ac:dyDescent="0.25">
      <c r="A1407" s="82">
        <v>43682</v>
      </c>
      <c r="B1407" t="s">
        <v>421</v>
      </c>
      <c r="C1407" t="s">
        <v>455</v>
      </c>
      <c r="D1407" t="s">
        <v>427</v>
      </c>
      <c r="E1407" t="s">
        <v>516</v>
      </c>
      <c r="F1407" t="s">
        <v>514</v>
      </c>
      <c r="G1407" t="s">
        <v>428</v>
      </c>
      <c r="H1407" t="s">
        <v>425</v>
      </c>
      <c r="I1407" t="s">
        <v>426</v>
      </c>
      <c r="J1407" t="s">
        <v>430</v>
      </c>
    </row>
    <row r="1408" spans="1:10" ht="15" customHeight="1" x14ac:dyDescent="0.25">
      <c r="A1408" s="82">
        <v>43683</v>
      </c>
      <c r="B1408" t="s">
        <v>427</v>
      </c>
      <c r="C1408" t="s">
        <v>421</v>
      </c>
      <c r="D1408" t="s">
        <v>455</v>
      </c>
      <c r="E1408" t="s">
        <v>516</v>
      </c>
      <c r="F1408" t="s">
        <v>514</v>
      </c>
      <c r="G1408" t="s">
        <v>428</v>
      </c>
      <c r="H1408" t="s">
        <v>425</v>
      </c>
      <c r="I1408" t="s">
        <v>426</v>
      </c>
      <c r="J1408" t="s">
        <v>430</v>
      </c>
    </row>
    <row r="1409" spans="1:10" ht="15" customHeight="1" x14ac:dyDescent="0.25">
      <c r="A1409" s="82">
        <v>43684</v>
      </c>
      <c r="B1409" t="s">
        <v>455</v>
      </c>
      <c r="C1409" t="s">
        <v>421</v>
      </c>
      <c r="D1409" t="s">
        <v>427</v>
      </c>
      <c r="E1409" t="s">
        <v>516</v>
      </c>
      <c r="F1409" t="s">
        <v>514</v>
      </c>
      <c r="G1409" t="s">
        <v>428</v>
      </c>
      <c r="H1409" t="s">
        <v>425</v>
      </c>
      <c r="I1409" t="s">
        <v>426</v>
      </c>
      <c r="J1409" t="s">
        <v>430</v>
      </c>
    </row>
    <row r="1410" spans="1:10" ht="15" customHeight="1" x14ac:dyDescent="0.25">
      <c r="A1410" s="82">
        <v>43685</v>
      </c>
      <c r="B1410" t="s">
        <v>514</v>
      </c>
      <c r="C1410" t="s">
        <v>427</v>
      </c>
      <c r="D1410" t="s">
        <v>455</v>
      </c>
      <c r="E1410" t="s">
        <v>516</v>
      </c>
      <c r="F1410" t="s">
        <v>514</v>
      </c>
      <c r="G1410" t="s">
        <v>428</v>
      </c>
      <c r="H1410" t="s">
        <v>425</v>
      </c>
      <c r="I1410" t="s">
        <v>426</v>
      </c>
      <c r="J1410" t="s">
        <v>430</v>
      </c>
    </row>
    <row r="1411" spans="1:10" ht="15" customHeight="1" x14ac:dyDescent="0.25">
      <c r="A1411" s="82">
        <v>43686</v>
      </c>
      <c r="B1411" t="s">
        <v>514</v>
      </c>
      <c r="C1411" t="s">
        <v>455</v>
      </c>
      <c r="D1411" t="s">
        <v>516</v>
      </c>
      <c r="E1411" t="s">
        <v>516</v>
      </c>
      <c r="F1411" t="s">
        <v>426</v>
      </c>
      <c r="G1411" t="s">
        <v>425</v>
      </c>
      <c r="H1411" t="s">
        <v>425</v>
      </c>
      <c r="I1411" t="s">
        <v>427</v>
      </c>
      <c r="J1411" t="s">
        <v>421</v>
      </c>
    </row>
    <row r="1412" spans="1:10" ht="15" customHeight="1" x14ac:dyDescent="0.25">
      <c r="A1412" s="82">
        <v>43687</v>
      </c>
      <c r="B1412" t="s">
        <v>514</v>
      </c>
      <c r="C1412" t="s">
        <v>428</v>
      </c>
      <c r="D1412" t="s">
        <v>516</v>
      </c>
      <c r="E1412" t="s">
        <v>430</v>
      </c>
      <c r="F1412" t="s">
        <v>426</v>
      </c>
      <c r="G1412" t="s">
        <v>425</v>
      </c>
      <c r="H1412" t="s">
        <v>421</v>
      </c>
      <c r="I1412" t="s">
        <v>455</v>
      </c>
      <c r="J1412" t="s">
        <v>427</v>
      </c>
    </row>
    <row r="1413" spans="1:10" ht="15" customHeight="1" x14ac:dyDescent="0.25">
      <c r="A1413" s="82">
        <v>43688</v>
      </c>
      <c r="B1413" t="s">
        <v>514</v>
      </c>
      <c r="C1413" t="s">
        <v>428</v>
      </c>
      <c r="D1413" t="s">
        <v>516</v>
      </c>
      <c r="E1413" t="s">
        <v>430</v>
      </c>
      <c r="F1413" t="s">
        <v>426</v>
      </c>
      <c r="G1413" t="s">
        <v>425</v>
      </c>
      <c r="H1413" t="s">
        <v>421</v>
      </c>
      <c r="I1413" t="s">
        <v>427</v>
      </c>
      <c r="J1413" t="s">
        <v>455</v>
      </c>
    </row>
    <row r="1414" spans="1:10" ht="15" customHeight="1" x14ac:dyDescent="0.25">
      <c r="A1414" s="82">
        <v>43689</v>
      </c>
      <c r="B1414" t="s">
        <v>514</v>
      </c>
      <c r="C1414" t="s">
        <v>428</v>
      </c>
      <c r="D1414" t="s">
        <v>516</v>
      </c>
      <c r="E1414" t="s">
        <v>430</v>
      </c>
      <c r="F1414" t="s">
        <v>426</v>
      </c>
      <c r="G1414" t="s">
        <v>425</v>
      </c>
      <c r="H1414" t="s">
        <v>427</v>
      </c>
      <c r="I1414" t="s">
        <v>455</v>
      </c>
      <c r="J1414" t="s">
        <v>421</v>
      </c>
    </row>
    <row r="1415" spans="1:10" ht="15" customHeight="1" x14ac:dyDescent="0.25">
      <c r="A1415" s="82">
        <v>43690</v>
      </c>
      <c r="B1415" t="s">
        <v>514</v>
      </c>
      <c r="C1415" t="s">
        <v>428</v>
      </c>
      <c r="D1415" t="s">
        <v>516</v>
      </c>
      <c r="E1415" t="s">
        <v>430</v>
      </c>
      <c r="F1415" t="s">
        <v>426</v>
      </c>
      <c r="G1415" t="s">
        <v>425</v>
      </c>
      <c r="H1415" t="s">
        <v>455</v>
      </c>
      <c r="I1415" t="s">
        <v>421</v>
      </c>
      <c r="J1415" t="s">
        <v>427</v>
      </c>
    </row>
    <row r="1416" spans="1:10" ht="15" customHeight="1" x14ac:dyDescent="0.25">
      <c r="A1416" s="82">
        <v>43691</v>
      </c>
      <c r="B1416" t="s">
        <v>514</v>
      </c>
      <c r="C1416" t="s">
        <v>428</v>
      </c>
      <c r="D1416" t="s">
        <v>516</v>
      </c>
      <c r="E1416" t="s">
        <v>430</v>
      </c>
      <c r="F1416" t="s">
        <v>426</v>
      </c>
      <c r="G1416" t="s">
        <v>425</v>
      </c>
      <c r="H1416" t="s">
        <v>427</v>
      </c>
      <c r="I1416" t="s">
        <v>421</v>
      </c>
      <c r="J1416" t="s">
        <v>455</v>
      </c>
    </row>
    <row r="1417" spans="1:10" ht="15" customHeight="1" x14ac:dyDescent="0.25">
      <c r="A1417" s="82">
        <v>43692</v>
      </c>
      <c r="B1417" t="s">
        <v>514</v>
      </c>
      <c r="C1417" t="s">
        <v>428</v>
      </c>
      <c r="D1417" t="s">
        <v>516</v>
      </c>
      <c r="E1417" t="s">
        <v>430</v>
      </c>
      <c r="F1417" t="s">
        <v>426</v>
      </c>
      <c r="G1417" t="s">
        <v>425</v>
      </c>
      <c r="H1417" t="s">
        <v>455</v>
      </c>
      <c r="I1417" t="s">
        <v>427</v>
      </c>
      <c r="J1417" t="s">
        <v>514</v>
      </c>
    </row>
    <row r="1418" spans="1:10" ht="15" customHeight="1" x14ac:dyDescent="0.25">
      <c r="A1418" s="82">
        <v>43693</v>
      </c>
      <c r="B1418" t="s">
        <v>426</v>
      </c>
      <c r="C1418" t="s">
        <v>425</v>
      </c>
      <c r="D1418" t="s">
        <v>516</v>
      </c>
      <c r="E1418" t="s">
        <v>421</v>
      </c>
      <c r="F1418" t="s">
        <v>427</v>
      </c>
      <c r="G1418" t="s">
        <v>425</v>
      </c>
      <c r="H1418" t="s">
        <v>516</v>
      </c>
      <c r="I1418" t="s">
        <v>455</v>
      </c>
      <c r="J1418" t="s">
        <v>514</v>
      </c>
    </row>
    <row r="1419" spans="1:10" ht="15" customHeight="1" x14ac:dyDescent="0.25">
      <c r="A1419" s="82">
        <v>43694</v>
      </c>
      <c r="B1419" t="s">
        <v>426</v>
      </c>
      <c r="C1419" t="s">
        <v>425</v>
      </c>
      <c r="D1419" t="s">
        <v>430</v>
      </c>
      <c r="E1419" t="s">
        <v>427</v>
      </c>
      <c r="F1419" t="s">
        <v>455</v>
      </c>
      <c r="G1419" t="s">
        <v>421</v>
      </c>
      <c r="H1419" t="s">
        <v>516</v>
      </c>
      <c r="I1419" t="s">
        <v>428</v>
      </c>
      <c r="J1419" t="s">
        <v>514</v>
      </c>
    </row>
    <row r="1420" spans="1:10" ht="15" customHeight="1" x14ac:dyDescent="0.25">
      <c r="A1420" s="82">
        <v>43695</v>
      </c>
      <c r="B1420" t="s">
        <v>426</v>
      </c>
      <c r="C1420" t="s">
        <v>425</v>
      </c>
      <c r="D1420" t="s">
        <v>430</v>
      </c>
      <c r="E1420" t="s">
        <v>455</v>
      </c>
      <c r="F1420" t="s">
        <v>427</v>
      </c>
      <c r="G1420" t="s">
        <v>421</v>
      </c>
      <c r="H1420" t="s">
        <v>516</v>
      </c>
      <c r="I1420" t="s">
        <v>428</v>
      </c>
      <c r="J1420" t="s">
        <v>514</v>
      </c>
    </row>
    <row r="1421" spans="1:10" ht="15" customHeight="1" x14ac:dyDescent="0.25">
      <c r="A1421" s="82">
        <v>43696</v>
      </c>
      <c r="B1421" t="s">
        <v>426</v>
      </c>
      <c r="C1421" t="s">
        <v>425</v>
      </c>
      <c r="D1421" t="s">
        <v>430</v>
      </c>
      <c r="E1421" t="s">
        <v>421</v>
      </c>
      <c r="F1421" t="s">
        <v>455</v>
      </c>
      <c r="G1421" t="s">
        <v>427</v>
      </c>
      <c r="H1421" t="s">
        <v>516</v>
      </c>
      <c r="I1421" t="s">
        <v>428</v>
      </c>
      <c r="J1421" t="s">
        <v>514</v>
      </c>
    </row>
    <row r="1422" spans="1:10" ht="15" customHeight="1" x14ac:dyDescent="0.25">
      <c r="A1422" s="82">
        <v>43697</v>
      </c>
      <c r="B1422" t="s">
        <v>426</v>
      </c>
      <c r="C1422" t="s">
        <v>425</v>
      </c>
      <c r="D1422" t="s">
        <v>430</v>
      </c>
      <c r="E1422" t="s">
        <v>427</v>
      </c>
      <c r="F1422" t="s">
        <v>421</v>
      </c>
      <c r="G1422" t="s">
        <v>455</v>
      </c>
      <c r="H1422" t="s">
        <v>516</v>
      </c>
      <c r="I1422" t="s">
        <v>428</v>
      </c>
      <c r="J1422" t="s">
        <v>514</v>
      </c>
    </row>
    <row r="1423" spans="1:10" ht="15" customHeight="1" x14ac:dyDescent="0.25">
      <c r="A1423" s="82">
        <v>43698</v>
      </c>
      <c r="B1423" t="s">
        <v>426</v>
      </c>
      <c r="C1423" t="s">
        <v>425</v>
      </c>
      <c r="D1423" t="s">
        <v>430</v>
      </c>
      <c r="E1423" t="s">
        <v>455</v>
      </c>
      <c r="F1423" t="s">
        <v>421</v>
      </c>
      <c r="G1423" t="s">
        <v>427</v>
      </c>
      <c r="H1423" t="s">
        <v>516</v>
      </c>
      <c r="I1423" t="s">
        <v>428</v>
      </c>
      <c r="J1423" t="s">
        <v>514</v>
      </c>
    </row>
    <row r="1424" spans="1:10" ht="15" customHeight="1" x14ac:dyDescent="0.25">
      <c r="A1424" s="82">
        <v>43699</v>
      </c>
      <c r="B1424" t="s">
        <v>426</v>
      </c>
      <c r="C1424" t="s">
        <v>425</v>
      </c>
      <c r="D1424" t="s">
        <v>430</v>
      </c>
      <c r="E1424" t="s">
        <v>514</v>
      </c>
      <c r="F1424" t="s">
        <v>427</v>
      </c>
      <c r="G1424" t="s">
        <v>455</v>
      </c>
      <c r="H1424" t="s">
        <v>516</v>
      </c>
      <c r="I1424" t="s">
        <v>428</v>
      </c>
      <c r="J1424" t="s">
        <v>514</v>
      </c>
    </row>
    <row r="1425" spans="1:10" ht="15" customHeight="1" x14ac:dyDescent="0.25">
      <c r="A1425" s="82">
        <v>43700</v>
      </c>
      <c r="B1425" t="s">
        <v>427</v>
      </c>
      <c r="C1425" t="s">
        <v>425</v>
      </c>
      <c r="D1425" t="s">
        <v>421</v>
      </c>
      <c r="E1425" t="s">
        <v>514</v>
      </c>
      <c r="F1425" t="s">
        <v>455</v>
      </c>
      <c r="G1425" t="s">
        <v>516</v>
      </c>
      <c r="H1425" t="s">
        <v>516</v>
      </c>
      <c r="I1425" t="s">
        <v>425</v>
      </c>
      <c r="J1425" t="s">
        <v>426</v>
      </c>
    </row>
    <row r="1426" spans="1:10" ht="15" customHeight="1" x14ac:dyDescent="0.25">
      <c r="A1426" s="82">
        <v>43701</v>
      </c>
      <c r="B1426" t="s">
        <v>455</v>
      </c>
      <c r="C1426" t="s">
        <v>421</v>
      </c>
      <c r="D1426" t="s">
        <v>427</v>
      </c>
      <c r="E1426" t="s">
        <v>514</v>
      </c>
      <c r="F1426" t="s">
        <v>428</v>
      </c>
      <c r="G1426" t="s">
        <v>516</v>
      </c>
      <c r="H1426" t="s">
        <v>430</v>
      </c>
      <c r="I1426" t="s">
        <v>425</v>
      </c>
      <c r="J1426" t="s">
        <v>426</v>
      </c>
    </row>
    <row r="1427" spans="1:10" ht="15" customHeight="1" x14ac:dyDescent="0.25">
      <c r="A1427" s="82">
        <v>43702</v>
      </c>
      <c r="B1427" t="s">
        <v>427</v>
      </c>
      <c r="C1427" t="s">
        <v>421</v>
      </c>
      <c r="D1427" t="s">
        <v>455</v>
      </c>
      <c r="E1427" t="s">
        <v>514</v>
      </c>
      <c r="F1427" t="s">
        <v>428</v>
      </c>
      <c r="G1427" t="s">
        <v>516</v>
      </c>
      <c r="H1427" t="s">
        <v>430</v>
      </c>
      <c r="I1427" t="s">
        <v>425</v>
      </c>
      <c r="J1427" t="s">
        <v>426</v>
      </c>
    </row>
    <row r="1428" spans="1:10" ht="15" customHeight="1" x14ac:dyDescent="0.25">
      <c r="A1428" s="82">
        <v>43703</v>
      </c>
      <c r="B1428" t="s">
        <v>455</v>
      </c>
      <c r="C1428" t="s">
        <v>427</v>
      </c>
      <c r="D1428" t="s">
        <v>421</v>
      </c>
      <c r="E1428" t="s">
        <v>514</v>
      </c>
      <c r="F1428" t="s">
        <v>428</v>
      </c>
      <c r="G1428" t="s">
        <v>516</v>
      </c>
      <c r="H1428" t="s">
        <v>430</v>
      </c>
      <c r="I1428" t="s">
        <v>425</v>
      </c>
      <c r="J1428" t="s">
        <v>426</v>
      </c>
    </row>
    <row r="1429" spans="1:10" ht="15" customHeight="1" x14ac:dyDescent="0.25">
      <c r="A1429" s="82">
        <v>43704</v>
      </c>
      <c r="B1429" t="s">
        <v>421</v>
      </c>
      <c r="C1429" t="s">
        <v>455</v>
      </c>
      <c r="D1429" t="s">
        <v>427</v>
      </c>
      <c r="E1429" t="s">
        <v>514</v>
      </c>
      <c r="F1429" t="s">
        <v>428</v>
      </c>
      <c r="G1429" t="s">
        <v>516</v>
      </c>
      <c r="H1429" t="s">
        <v>430</v>
      </c>
      <c r="I1429" t="s">
        <v>425</v>
      </c>
      <c r="J1429" t="s">
        <v>426</v>
      </c>
    </row>
    <row r="1430" spans="1:10" ht="15" customHeight="1" x14ac:dyDescent="0.25">
      <c r="A1430" s="82">
        <v>43705</v>
      </c>
      <c r="B1430" t="s">
        <v>421</v>
      </c>
      <c r="C1430" t="s">
        <v>427</v>
      </c>
      <c r="D1430" t="s">
        <v>455</v>
      </c>
      <c r="E1430" t="s">
        <v>514</v>
      </c>
      <c r="F1430" t="s">
        <v>428</v>
      </c>
      <c r="G1430" t="s">
        <v>516</v>
      </c>
      <c r="H1430" t="s">
        <v>430</v>
      </c>
      <c r="I1430" t="s">
        <v>425</v>
      </c>
      <c r="J1430" t="s">
        <v>426</v>
      </c>
    </row>
    <row r="1431" spans="1:10" ht="15" customHeight="1" x14ac:dyDescent="0.25">
      <c r="A1431" s="82">
        <v>43706</v>
      </c>
      <c r="B1431" t="s">
        <v>427</v>
      </c>
      <c r="C1431" t="s">
        <v>455</v>
      </c>
      <c r="D1431" t="s">
        <v>514</v>
      </c>
      <c r="E1431" t="s">
        <v>514</v>
      </c>
      <c r="F1431" t="s">
        <v>428</v>
      </c>
      <c r="G1431" t="s">
        <v>516</v>
      </c>
      <c r="H1431" t="s">
        <v>430</v>
      </c>
      <c r="I1431" t="s">
        <v>425</v>
      </c>
      <c r="J1431" t="s">
        <v>426</v>
      </c>
    </row>
    <row r="1432" spans="1:10" ht="15" customHeight="1" x14ac:dyDescent="0.25">
      <c r="A1432" s="82">
        <v>43707</v>
      </c>
      <c r="B1432" t="s">
        <v>455</v>
      </c>
      <c r="C1432" t="s">
        <v>516</v>
      </c>
      <c r="D1432" t="s">
        <v>514</v>
      </c>
      <c r="E1432" t="s">
        <v>426</v>
      </c>
      <c r="F1432" t="s">
        <v>425</v>
      </c>
      <c r="G1432" t="s">
        <v>516</v>
      </c>
      <c r="H1432" t="s">
        <v>421</v>
      </c>
      <c r="I1432" t="s">
        <v>425</v>
      </c>
      <c r="J1432" t="s">
        <v>427</v>
      </c>
    </row>
    <row r="1433" spans="1:10" ht="15" customHeight="1" x14ac:dyDescent="0.25">
      <c r="A1433" s="82">
        <v>43708</v>
      </c>
      <c r="B1433" t="s">
        <v>428</v>
      </c>
      <c r="C1433" t="s">
        <v>516</v>
      </c>
      <c r="D1433" t="s">
        <v>514</v>
      </c>
      <c r="E1433" t="s">
        <v>426</v>
      </c>
      <c r="F1433" t="s">
        <v>425</v>
      </c>
      <c r="G1433" t="s">
        <v>430</v>
      </c>
      <c r="H1433" t="s">
        <v>427</v>
      </c>
      <c r="I1433" t="s">
        <v>421</v>
      </c>
      <c r="J1433" t="s">
        <v>455</v>
      </c>
    </row>
    <row r="1434" spans="1:10" ht="15" customHeight="1" x14ac:dyDescent="0.25">
      <c r="A1434" s="82">
        <v>43709</v>
      </c>
      <c r="B1434" t="s">
        <v>428</v>
      </c>
      <c r="C1434" t="s">
        <v>424</v>
      </c>
      <c r="D1434" t="s">
        <v>514</v>
      </c>
      <c r="E1434" t="s">
        <v>426</v>
      </c>
      <c r="F1434" t="s">
        <v>425</v>
      </c>
      <c r="G1434" t="s">
        <v>430</v>
      </c>
      <c r="H1434" t="s">
        <v>455</v>
      </c>
      <c r="I1434" t="s">
        <v>421</v>
      </c>
      <c r="J1434" t="s">
        <v>427</v>
      </c>
    </row>
    <row r="1435" spans="1:10" ht="15" customHeight="1" x14ac:dyDescent="0.25">
      <c r="A1435" s="82">
        <v>43710</v>
      </c>
      <c r="B1435" t="s">
        <v>428</v>
      </c>
      <c r="C1435" t="s">
        <v>424</v>
      </c>
      <c r="D1435" t="s">
        <v>514</v>
      </c>
      <c r="E1435" t="s">
        <v>426</v>
      </c>
      <c r="F1435" t="s">
        <v>425</v>
      </c>
      <c r="G1435" t="s">
        <v>430</v>
      </c>
      <c r="H1435" t="s">
        <v>421</v>
      </c>
      <c r="I1435" t="s">
        <v>427</v>
      </c>
      <c r="J1435" t="s">
        <v>455</v>
      </c>
    </row>
    <row r="1436" spans="1:10" ht="15" customHeight="1" x14ac:dyDescent="0.25">
      <c r="A1436" s="82">
        <v>43711</v>
      </c>
      <c r="B1436" t="s">
        <v>428</v>
      </c>
      <c r="C1436" t="s">
        <v>424</v>
      </c>
      <c r="D1436" t="s">
        <v>514</v>
      </c>
      <c r="E1436" t="s">
        <v>426</v>
      </c>
      <c r="F1436" t="s">
        <v>425</v>
      </c>
      <c r="G1436" t="s">
        <v>430</v>
      </c>
      <c r="H1436" t="s">
        <v>427</v>
      </c>
      <c r="I1436" t="s">
        <v>455</v>
      </c>
      <c r="J1436" t="s">
        <v>421</v>
      </c>
    </row>
    <row r="1437" spans="1:10" ht="15" customHeight="1" x14ac:dyDescent="0.25">
      <c r="A1437" s="82">
        <v>43712</v>
      </c>
      <c r="B1437" t="s">
        <v>428</v>
      </c>
      <c r="C1437" t="s">
        <v>424</v>
      </c>
      <c r="D1437" t="s">
        <v>514</v>
      </c>
      <c r="E1437" t="s">
        <v>426</v>
      </c>
      <c r="F1437" t="s">
        <v>425</v>
      </c>
      <c r="G1437" t="s">
        <v>430</v>
      </c>
      <c r="H1437" t="s">
        <v>455</v>
      </c>
      <c r="I1437" t="s">
        <v>427</v>
      </c>
      <c r="J1437" t="s">
        <v>421</v>
      </c>
    </row>
    <row r="1438" spans="1:10" ht="15" customHeight="1" x14ac:dyDescent="0.25">
      <c r="A1438" s="82">
        <v>43713</v>
      </c>
      <c r="B1438" t="s">
        <v>428</v>
      </c>
      <c r="C1438" t="s">
        <v>424</v>
      </c>
      <c r="D1438" t="s">
        <v>514</v>
      </c>
      <c r="E1438" t="s">
        <v>426</v>
      </c>
      <c r="F1438" t="s">
        <v>425</v>
      </c>
      <c r="G1438" t="s">
        <v>430</v>
      </c>
      <c r="H1438" t="s">
        <v>514</v>
      </c>
      <c r="I1438" t="s">
        <v>455</v>
      </c>
      <c r="J1438" t="s">
        <v>427</v>
      </c>
    </row>
    <row r="1439" spans="1:10" ht="15" customHeight="1" x14ac:dyDescent="0.25">
      <c r="A1439" s="82">
        <v>43714</v>
      </c>
      <c r="B1439" t="s">
        <v>425</v>
      </c>
      <c r="C1439" t="s">
        <v>424</v>
      </c>
      <c r="D1439" t="s">
        <v>426</v>
      </c>
      <c r="E1439" t="s">
        <v>427</v>
      </c>
      <c r="F1439" t="s">
        <v>425</v>
      </c>
      <c r="G1439" t="s">
        <v>421</v>
      </c>
      <c r="H1439" t="s">
        <v>514</v>
      </c>
      <c r="I1439" t="s">
        <v>424</v>
      </c>
      <c r="J1439" t="s">
        <v>455</v>
      </c>
    </row>
    <row r="1440" spans="1:10" ht="15" customHeight="1" x14ac:dyDescent="0.25">
      <c r="A1440" s="82">
        <v>43715</v>
      </c>
      <c r="B1440" t="s">
        <v>425</v>
      </c>
      <c r="C1440" t="s">
        <v>430</v>
      </c>
      <c r="D1440" t="s">
        <v>426</v>
      </c>
      <c r="E1440" t="s">
        <v>455</v>
      </c>
      <c r="F1440" t="s">
        <v>421</v>
      </c>
      <c r="G1440" t="s">
        <v>427</v>
      </c>
      <c r="H1440" t="s">
        <v>514</v>
      </c>
      <c r="I1440" t="s">
        <v>424</v>
      </c>
      <c r="J1440" t="s">
        <v>428</v>
      </c>
    </row>
    <row r="1441" spans="1:10" ht="15" customHeight="1" x14ac:dyDescent="0.25">
      <c r="A1441" s="82">
        <v>43716</v>
      </c>
      <c r="B1441" t="s">
        <v>425</v>
      </c>
      <c r="C1441" t="s">
        <v>430</v>
      </c>
      <c r="D1441" t="s">
        <v>426</v>
      </c>
      <c r="E1441" t="s">
        <v>427</v>
      </c>
      <c r="F1441" t="s">
        <v>421</v>
      </c>
      <c r="G1441" t="s">
        <v>455</v>
      </c>
      <c r="H1441" t="s">
        <v>514</v>
      </c>
      <c r="I1441" t="s">
        <v>424</v>
      </c>
      <c r="J1441" t="s">
        <v>428</v>
      </c>
    </row>
    <row r="1442" spans="1:10" ht="15" customHeight="1" x14ac:dyDescent="0.25">
      <c r="A1442" s="82">
        <v>43717</v>
      </c>
      <c r="B1442" t="s">
        <v>425</v>
      </c>
      <c r="C1442" t="s">
        <v>430</v>
      </c>
      <c r="D1442" t="s">
        <v>426</v>
      </c>
      <c r="E1442" t="s">
        <v>455</v>
      </c>
      <c r="F1442" t="s">
        <v>427</v>
      </c>
      <c r="G1442" t="s">
        <v>421</v>
      </c>
      <c r="H1442" t="s">
        <v>514</v>
      </c>
      <c r="I1442" t="s">
        <v>424</v>
      </c>
      <c r="J1442" t="s">
        <v>428</v>
      </c>
    </row>
    <row r="1443" spans="1:10" ht="15" customHeight="1" x14ac:dyDescent="0.25">
      <c r="A1443" s="82">
        <v>43718</v>
      </c>
      <c r="B1443" t="s">
        <v>425</v>
      </c>
      <c r="C1443" t="s">
        <v>430</v>
      </c>
      <c r="D1443" t="s">
        <v>426</v>
      </c>
      <c r="E1443" t="s">
        <v>421</v>
      </c>
      <c r="F1443" t="s">
        <v>455</v>
      </c>
      <c r="G1443" t="s">
        <v>427</v>
      </c>
      <c r="H1443" t="s">
        <v>514</v>
      </c>
      <c r="I1443" t="s">
        <v>424</v>
      </c>
      <c r="J1443" t="s">
        <v>428</v>
      </c>
    </row>
    <row r="1444" spans="1:10" ht="15" customHeight="1" x14ac:dyDescent="0.25">
      <c r="A1444" s="82">
        <v>43719</v>
      </c>
      <c r="B1444" t="s">
        <v>425</v>
      </c>
      <c r="C1444" t="s">
        <v>430</v>
      </c>
      <c r="D1444" t="s">
        <v>426</v>
      </c>
      <c r="E1444" t="s">
        <v>421</v>
      </c>
      <c r="F1444" t="s">
        <v>427</v>
      </c>
      <c r="G1444" t="s">
        <v>455</v>
      </c>
      <c r="H1444" t="s">
        <v>514</v>
      </c>
      <c r="I1444" t="s">
        <v>424</v>
      </c>
      <c r="J1444" t="s">
        <v>428</v>
      </c>
    </row>
    <row r="1445" spans="1:10" ht="15" customHeight="1" x14ac:dyDescent="0.25">
      <c r="A1445" s="82">
        <v>43720</v>
      </c>
      <c r="B1445" t="s">
        <v>425</v>
      </c>
      <c r="C1445" t="s">
        <v>430</v>
      </c>
      <c r="D1445" t="s">
        <v>426</v>
      </c>
      <c r="E1445" t="s">
        <v>427</v>
      </c>
      <c r="F1445" t="s">
        <v>455</v>
      </c>
      <c r="G1445" t="s">
        <v>514</v>
      </c>
      <c r="H1445" t="s">
        <v>514</v>
      </c>
      <c r="I1445" t="s">
        <v>424</v>
      </c>
      <c r="J1445" t="s">
        <v>428</v>
      </c>
    </row>
    <row r="1446" spans="1:10" ht="15" customHeight="1" x14ac:dyDescent="0.25">
      <c r="A1446" s="82">
        <v>43721</v>
      </c>
      <c r="B1446" t="s">
        <v>425</v>
      </c>
      <c r="C1446" t="s">
        <v>421</v>
      </c>
      <c r="D1446" t="s">
        <v>427</v>
      </c>
      <c r="E1446" t="s">
        <v>455</v>
      </c>
      <c r="F1446" t="s">
        <v>424</v>
      </c>
      <c r="G1446" t="s">
        <v>514</v>
      </c>
      <c r="H1446" t="s">
        <v>426</v>
      </c>
      <c r="I1446" t="s">
        <v>424</v>
      </c>
      <c r="J1446" t="s">
        <v>425</v>
      </c>
    </row>
    <row r="1447" spans="1:10" ht="15" customHeight="1" x14ac:dyDescent="0.25">
      <c r="A1447" s="82">
        <v>43722</v>
      </c>
      <c r="B1447" t="s">
        <v>421</v>
      </c>
      <c r="C1447" t="s">
        <v>427</v>
      </c>
      <c r="D1447" t="s">
        <v>455</v>
      </c>
      <c r="E1447" t="s">
        <v>428</v>
      </c>
      <c r="F1447" t="s">
        <v>424</v>
      </c>
      <c r="G1447" t="s">
        <v>514</v>
      </c>
      <c r="H1447" t="s">
        <v>426</v>
      </c>
      <c r="I1447" t="s">
        <v>430</v>
      </c>
      <c r="J1447" t="s">
        <v>425</v>
      </c>
    </row>
    <row r="1448" spans="1:10" ht="15" customHeight="1" x14ac:dyDescent="0.25">
      <c r="A1448" s="82">
        <v>43723</v>
      </c>
      <c r="B1448" t="s">
        <v>421</v>
      </c>
      <c r="C1448" t="s">
        <v>455</v>
      </c>
      <c r="D1448" t="s">
        <v>427</v>
      </c>
      <c r="E1448" t="s">
        <v>428</v>
      </c>
      <c r="F1448" t="s">
        <v>424</v>
      </c>
      <c r="G1448" t="s">
        <v>514</v>
      </c>
      <c r="H1448" t="s">
        <v>426</v>
      </c>
      <c r="I1448" t="s">
        <v>430</v>
      </c>
      <c r="J1448" t="s">
        <v>425</v>
      </c>
    </row>
    <row r="1449" spans="1:10" ht="15" customHeight="1" x14ac:dyDescent="0.25">
      <c r="A1449" s="82">
        <v>43724</v>
      </c>
      <c r="B1449" t="s">
        <v>427</v>
      </c>
      <c r="C1449" t="s">
        <v>421</v>
      </c>
      <c r="D1449" t="s">
        <v>455</v>
      </c>
      <c r="E1449" t="s">
        <v>428</v>
      </c>
      <c r="F1449" t="s">
        <v>424</v>
      </c>
      <c r="G1449" t="s">
        <v>514</v>
      </c>
      <c r="H1449" t="s">
        <v>426</v>
      </c>
      <c r="I1449" t="s">
        <v>430</v>
      </c>
      <c r="J1449" t="s">
        <v>425</v>
      </c>
    </row>
    <row r="1450" spans="1:10" ht="15" customHeight="1" x14ac:dyDescent="0.25">
      <c r="A1450" s="82">
        <v>43725</v>
      </c>
      <c r="B1450" t="s">
        <v>455</v>
      </c>
      <c r="C1450" t="s">
        <v>427</v>
      </c>
      <c r="D1450" t="s">
        <v>421</v>
      </c>
      <c r="E1450" t="s">
        <v>428</v>
      </c>
      <c r="F1450" t="s">
        <v>424</v>
      </c>
      <c r="G1450" t="s">
        <v>514</v>
      </c>
      <c r="H1450" t="s">
        <v>426</v>
      </c>
      <c r="I1450" t="s">
        <v>430</v>
      </c>
      <c r="J1450" t="s">
        <v>425</v>
      </c>
    </row>
    <row r="1451" spans="1:10" ht="15" customHeight="1" x14ac:dyDescent="0.25">
      <c r="A1451" s="82">
        <v>43726</v>
      </c>
      <c r="B1451" t="s">
        <v>427</v>
      </c>
      <c r="C1451" t="s">
        <v>455</v>
      </c>
      <c r="D1451" t="s">
        <v>421</v>
      </c>
      <c r="E1451" t="s">
        <v>428</v>
      </c>
      <c r="F1451" t="s">
        <v>424</v>
      </c>
      <c r="G1451" t="s">
        <v>514</v>
      </c>
      <c r="H1451" t="s">
        <v>426</v>
      </c>
      <c r="I1451" t="s">
        <v>430</v>
      </c>
      <c r="J1451" t="s">
        <v>425</v>
      </c>
    </row>
    <row r="1452" spans="1:10" ht="15" customHeight="1" x14ac:dyDescent="0.25">
      <c r="A1452" s="82">
        <v>43727</v>
      </c>
      <c r="B1452" t="s">
        <v>455</v>
      </c>
      <c r="C1452" t="s">
        <v>514</v>
      </c>
      <c r="D1452" t="s">
        <v>427</v>
      </c>
      <c r="E1452" t="s">
        <v>428</v>
      </c>
      <c r="F1452" t="s">
        <v>424</v>
      </c>
      <c r="G1452" t="s">
        <v>514</v>
      </c>
      <c r="H1452" t="s">
        <v>426</v>
      </c>
      <c r="I1452" t="s">
        <v>430</v>
      </c>
      <c r="J1452" t="s">
        <v>425</v>
      </c>
    </row>
    <row r="1453" spans="1:10" ht="15" customHeight="1" x14ac:dyDescent="0.25">
      <c r="A1453" s="82">
        <v>43728</v>
      </c>
      <c r="B1453" t="s">
        <v>424</v>
      </c>
      <c r="C1453" t="s">
        <v>514</v>
      </c>
      <c r="D1453" t="s">
        <v>455</v>
      </c>
      <c r="E1453" t="s">
        <v>425</v>
      </c>
      <c r="F1453" t="s">
        <v>424</v>
      </c>
      <c r="G1453" t="s">
        <v>426</v>
      </c>
      <c r="H1453" t="s">
        <v>427</v>
      </c>
      <c r="I1453" t="s">
        <v>421</v>
      </c>
      <c r="J1453" t="s">
        <v>425</v>
      </c>
    </row>
    <row r="1454" spans="1:10" ht="15" customHeight="1" x14ac:dyDescent="0.25">
      <c r="A1454" s="82">
        <v>43729</v>
      </c>
      <c r="B1454" t="s">
        <v>424</v>
      </c>
      <c r="C1454" t="s">
        <v>514</v>
      </c>
      <c r="D1454" t="s">
        <v>428</v>
      </c>
      <c r="E1454" t="s">
        <v>425</v>
      </c>
      <c r="F1454" t="s">
        <v>430</v>
      </c>
      <c r="G1454" t="s">
        <v>426</v>
      </c>
      <c r="H1454" t="s">
        <v>455</v>
      </c>
      <c r="I1454" t="s">
        <v>427</v>
      </c>
      <c r="J1454" t="s">
        <v>421</v>
      </c>
    </row>
    <row r="1455" spans="1:10" ht="15" customHeight="1" x14ac:dyDescent="0.25">
      <c r="A1455" s="82">
        <v>43730</v>
      </c>
      <c r="B1455" t="s">
        <v>424</v>
      </c>
      <c r="C1455" t="s">
        <v>514</v>
      </c>
      <c r="D1455" t="s">
        <v>428</v>
      </c>
      <c r="E1455" t="s">
        <v>425</v>
      </c>
      <c r="F1455" t="s">
        <v>430</v>
      </c>
      <c r="G1455" t="s">
        <v>426</v>
      </c>
      <c r="H1455" t="s">
        <v>427</v>
      </c>
      <c r="I1455" t="s">
        <v>455</v>
      </c>
      <c r="J1455" t="s">
        <v>421</v>
      </c>
    </row>
    <row r="1456" spans="1:10" ht="15" customHeight="1" x14ac:dyDescent="0.25">
      <c r="A1456" s="82">
        <v>43731</v>
      </c>
      <c r="B1456" t="s">
        <v>424</v>
      </c>
      <c r="C1456" t="s">
        <v>514</v>
      </c>
      <c r="D1456" t="s">
        <v>428</v>
      </c>
      <c r="E1456" t="s">
        <v>425</v>
      </c>
      <c r="F1456" t="s">
        <v>430</v>
      </c>
      <c r="G1456" t="s">
        <v>426</v>
      </c>
      <c r="H1456" t="s">
        <v>455</v>
      </c>
      <c r="I1456" t="s">
        <v>421</v>
      </c>
      <c r="J1456" t="s">
        <v>427</v>
      </c>
    </row>
    <row r="1457" spans="1:10" ht="15" customHeight="1" x14ac:dyDescent="0.25">
      <c r="A1457" s="82">
        <v>43732</v>
      </c>
      <c r="B1457" t="s">
        <v>424</v>
      </c>
      <c r="C1457" t="s">
        <v>514</v>
      </c>
      <c r="D1457" t="s">
        <v>428</v>
      </c>
      <c r="E1457" t="s">
        <v>425</v>
      </c>
      <c r="F1457" t="s">
        <v>430</v>
      </c>
      <c r="G1457" t="s">
        <v>426</v>
      </c>
      <c r="H1457" t="s">
        <v>421</v>
      </c>
      <c r="I1457" t="s">
        <v>427</v>
      </c>
      <c r="J1457" t="s">
        <v>455</v>
      </c>
    </row>
    <row r="1458" spans="1:10" ht="15" customHeight="1" x14ac:dyDescent="0.25">
      <c r="A1458" s="82">
        <v>43733</v>
      </c>
      <c r="B1458" t="s">
        <v>424</v>
      </c>
      <c r="C1458" t="s">
        <v>514</v>
      </c>
      <c r="D1458" t="s">
        <v>428</v>
      </c>
      <c r="E1458" t="s">
        <v>425</v>
      </c>
      <c r="F1458" t="s">
        <v>430</v>
      </c>
      <c r="G1458" t="s">
        <v>426</v>
      </c>
      <c r="H1458" t="s">
        <v>421</v>
      </c>
      <c r="I1458" t="s">
        <v>455</v>
      </c>
      <c r="J1458" t="s">
        <v>427</v>
      </c>
    </row>
    <row r="1459" spans="1:10" ht="15" customHeight="1" x14ac:dyDescent="0.25">
      <c r="A1459" s="82">
        <v>43734</v>
      </c>
      <c r="B1459" t="s">
        <v>424</v>
      </c>
      <c r="C1459" t="s">
        <v>514</v>
      </c>
      <c r="D1459" t="s">
        <v>428</v>
      </c>
      <c r="E1459" t="s">
        <v>425</v>
      </c>
      <c r="F1459" t="s">
        <v>430</v>
      </c>
      <c r="G1459" t="s">
        <v>426</v>
      </c>
      <c r="H1459" t="s">
        <v>427</v>
      </c>
      <c r="I1459" t="s">
        <v>514</v>
      </c>
      <c r="J1459" t="s">
        <v>455</v>
      </c>
    </row>
    <row r="1460" spans="1:10" ht="15" customHeight="1" x14ac:dyDescent="0.25">
      <c r="A1460" s="82">
        <v>43735</v>
      </c>
      <c r="B1460" t="s">
        <v>424</v>
      </c>
      <c r="C1460" t="s">
        <v>426</v>
      </c>
      <c r="D1460" t="s">
        <v>425</v>
      </c>
      <c r="E1460" t="s">
        <v>425</v>
      </c>
      <c r="F1460" t="s">
        <v>421</v>
      </c>
      <c r="G1460" t="s">
        <v>427</v>
      </c>
      <c r="H1460" t="s">
        <v>455</v>
      </c>
      <c r="I1460" t="s">
        <v>514</v>
      </c>
      <c r="J1460" t="s">
        <v>424</v>
      </c>
    </row>
    <row r="1461" spans="1:10" ht="15" customHeight="1" x14ac:dyDescent="0.25">
      <c r="A1461" s="82">
        <v>43736</v>
      </c>
      <c r="B1461" t="s">
        <v>430</v>
      </c>
      <c r="C1461" t="s">
        <v>426</v>
      </c>
      <c r="D1461" t="s">
        <v>425</v>
      </c>
      <c r="E1461" t="s">
        <v>421</v>
      </c>
      <c r="F1461" t="s">
        <v>427</v>
      </c>
      <c r="G1461" t="s">
        <v>455</v>
      </c>
      <c r="H1461" t="s">
        <v>428</v>
      </c>
      <c r="I1461" t="s">
        <v>514</v>
      </c>
      <c r="J1461" t="s">
        <v>424</v>
      </c>
    </row>
    <row r="1462" spans="1:10" ht="15" customHeight="1" x14ac:dyDescent="0.25">
      <c r="A1462" s="82">
        <v>43737</v>
      </c>
      <c r="B1462" t="s">
        <v>430</v>
      </c>
      <c r="C1462" t="s">
        <v>426</v>
      </c>
      <c r="D1462" t="s">
        <v>425</v>
      </c>
      <c r="E1462" t="s">
        <v>421</v>
      </c>
      <c r="F1462" t="s">
        <v>455</v>
      </c>
      <c r="G1462" t="s">
        <v>427</v>
      </c>
      <c r="H1462" t="s">
        <v>428</v>
      </c>
      <c r="I1462" t="s">
        <v>514</v>
      </c>
      <c r="J1462" t="s">
        <v>424</v>
      </c>
    </row>
    <row r="1463" spans="1:10" ht="15" customHeight="1" x14ac:dyDescent="0.25">
      <c r="A1463" s="82">
        <v>43738</v>
      </c>
      <c r="B1463" t="s">
        <v>430</v>
      </c>
      <c r="C1463" t="s">
        <v>426</v>
      </c>
      <c r="D1463" t="s">
        <v>425</v>
      </c>
      <c r="E1463" t="s">
        <v>427</v>
      </c>
      <c r="F1463" t="s">
        <v>421</v>
      </c>
      <c r="G1463" t="s">
        <v>455</v>
      </c>
      <c r="H1463" t="s">
        <v>428</v>
      </c>
      <c r="I1463" t="s">
        <v>429</v>
      </c>
      <c r="J1463" t="s">
        <v>424</v>
      </c>
    </row>
    <row r="1464" spans="1:10" ht="15" customHeight="1" x14ac:dyDescent="0.25">
      <c r="A1464" s="82">
        <v>43739</v>
      </c>
      <c r="B1464" t="s">
        <v>430</v>
      </c>
      <c r="C1464" t="s">
        <v>426</v>
      </c>
      <c r="D1464" t="s">
        <v>425</v>
      </c>
      <c r="E1464" t="s">
        <v>455</v>
      </c>
      <c r="F1464" t="s">
        <v>427</v>
      </c>
      <c r="G1464" t="s">
        <v>421</v>
      </c>
      <c r="H1464" t="s">
        <v>428</v>
      </c>
      <c r="I1464" t="s">
        <v>429</v>
      </c>
      <c r="J1464" t="s">
        <v>424</v>
      </c>
    </row>
    <row r="1465" spans="1:10" ht="15" customHeight="1" x14ac:dyDescent="0.25">
      <c r="A1465" s="82">
        <v>43740</v>
      </c>
      <c r="B1465" t="s">
        <v>430</v>
      </c>
      <c r="C1465" t="s">
        <v>426</v>
      </c>
      <c r="D1465" t="s">
        <v>425</v>
      </c>
      <c r="E1465" t="s">
        <v>427</v>
      </c>
      <c r="F1465" t="s">
        <v>455</v>
      </c>
      <c r="G1465" t="s">
        <v>421</v>
      </c>
      <c r="H1465" t="s">
        <v>428</v>
      </c>
      <c r="I1465" t="s">
        <v>429</v>
      </c>
      <c r="J1465" t="s">
        <v>424</v>
      </c>
    </row>
    <row r="1466" spans="1:10" ht="15" customHeight="1" x14ac:dyDescent="0.25">
      <c r="A1466" s="82">
        <v>43741</v>
      </c>
      <c r="B1466" t="s">
        <v>430</v>
      </c>
      <c r="C1466" t="s">
        <v>426</v>
      </c>
      <c r="D1466" t="s">
        <v>425</v>
      </c>
      <c r="E1466" t="s">
        <v>455</v>
      </c>
      <c r="F1466" t="s">
        <v>421</v>
      </c>
      <c r="G1466" t="s">
        <v>427</v>
      </c>
      <c r="H1466" t="s">
        <v>428</v>
      </c>
      <c r="I1466" t="s">
        <v>421</v>
      </c>
      <c r="J1466" t="s">
        <v>424</v>
      </c>
    </row>
    <row r="1467" spans="1:10" ht="15" customHeight="1" x14ac:dyDescent="0.25">
      <c r="A1467" s="82">
        <v>43742</v>
      </c>
      <c r="B1467" t="s">
        <v>421</v>
      </c>
      <c r="C1467" t="s">
        <v>427</v>
      </c>
      <c r="D1467" t="s">
        <v>425</v>
      </c>
      <c r="E1467" t="s">
        <v>424</v>
      </c>
      <c r="F1467" t="s">
        <v>429</v>
      </c>
      <c r="G1467" t="s">
        <v>455</v>
      </c>
      <c r="H1467" t="s">
        <v>425</v>
      </c>
      <c r="I1467" t="s">
        <v>426</v>
      </c>
      <c r="J1467" t="s">
        <v>424</v>
      </c>
    </row>
    <row r="1468" spans="1:10" ht="15" customHeight="1" x14ac:dyDescent="0.25">
      <c r="A1468" s="82">
        <v>43743</v>
      </c>
      <c r="B1468" t="s">
        <v>427</v>
      </c>
      <c r="C1468" t="s">
        <v>455</v>
      </c>
      <c r="D1468" t="s">
        <v>421</v>
      </c>
      <c r="E1468" t="s">
        <v>424</v>
      </c>
      <c r="F1468" t="s">
        <v>429</v>
      </c>
      <c r="G1468" t="s">
        <v>428</v>
      </c>
      <c r="H1468" t="s">
        <v>425</v>
      </c>
      <c r="I1468" t="s">
        <v>426</v>
      </c>
      <c r="J1468" t="s">
        <v>430</v>
      </c>
    </row>
    <row r="1469" spans="1:10" ht="15" customHeight="1" x14ac:dyDescent="0.25">
      <c r="A1469" s="82">
        <v>43744</v>
      </c>
      <c r="B1469" t="s">
        <v>455</v>
      </c>
      <c r="C1469" t="s">
        <v>427</v>
      </c>
      <c r="D1469" t="s">
        <v>421</v>
      </c>
      <c r="E1469" t="s">
        <v>424</v>
      </c>
      <c r="F1469" t="s">
        <v>429</v>
      </c>
      <c r="G1469" t="s">
        <v>428</v>
      </c>
      <c r="H1469" t="s">
        <v>425</v>
      </c>
      <c r="I1469" t="s">
        <v>426</v>
      </c>
      <c r="J1469" t="s">
        <v>430</v>
      </c>
    </row>
    <row r="1470" spans="1:10" ht="15" customHeight="1" x14ac:dyDescent="0.25">
      <c r="A1470" s="82">
        <v>43745</v>
      </c>
      <c r="B1470" t="s">
        <v>421</v>
      </c>
      <c r="C1470" t="s">
        <v>455</v>
      </c>
      <c r="D1470" t="s">
        <v>427</v>
      </c>
      <c r="E1470" t="s">
        <v>424</v>
      </c>
      <c r="F1470" t="s">
        <v>429</v>
      </c>
      <c r="G1470" t="s">
        <v>428</v>
      </c>
      <c r="H1470" t="s">
        <v>425</v>
      </c>
      <c r="I1470" t="s">
        <v>426</v>
      </c>
      <c r="J1470" t="s">
        <v>430</v>
      </c>
    </row>
    <row r="1471" spans="1:10" ht="15" customHeight="1" x14ac:dyDescent="0.25">
      <c r="A1471" s="82">
        <v>43746</v>
      </c>
      <c r="B1471" t="s">
        <v>427</v>
      </c>
      <c r="C1471" t="s">
        <v>421</v>
      </c>
      <c r="D1471" t="s">
        <v>455</v>
      </c>
      <c r="E1471" t="s">
        <v>424</v>
      </c>
      <c r="F1471" t="s">
        <v>429</v>
      </c>
      <c r="G1471" t="s">
        <v>428</v>
      </c>
      <c r="H1471" t="s">
        <v>425</v>
      </c>
      <c r="I1471" t="s">
        <v>426</v>
      </c>
      <c r="J1471" t="s">
        <v>430</v>
      </c>
    </row>
    <row r="1472" spans="1:10" ht="15" customHeight="1" x14ac:dyDescent="0.25">
      <c r="A1472" s="82">
        <v>43747</v>
      </c>
      <c r="B1472" t="s">
        <v>455</v>
      </c>
      <c r="C1472" t="s">
        <v>421</v>
      </c>
      <c r="D1472" t="s">
        <v>427</v>
      </c>
      <c r="E1472" t="s">
        <v>424</v>
      </c>
      <c r="F1472" t="s">
        <v>429</v>
      </c>
      <c r="G1472" t="s">
        <v>428</v>
      </c>
      <c r="H1472" t="s">
        <v>425</v>
      </c>
      <c r="I1472" t="s">
        <v>426</v>
      </c>
      <c r="J1472" t="s">
        <v>430</v>
      </c>
    </row>
    <row r="1473" spans="1:10" ht="15" customHeight="1" x14ac:dyDescent="0.25">
      <c r="A1473" s="82">
        <v>43748</v>
      </c>
      <c r="B1473" t="s">
        <v>421</v>
      </c>
      <c r="C1473" t="s">
        <v>427</v>
      </c>
      <c r="D1473" t="s">
        <v>455</v>
      </c>
      <c r="E1473" t="s">
        <v>424</v>
      </c>
      <c r="F1473" t="s">
        <v>429</v>
      </c>
      <c r="G1473" t="s">
        <v>428</v>
      </c>
      <c r="H1473" t="s">
        <v>425</v>
      </c>
      <c r="I1473" t="s">
        <v>426</v>
      </c>
      <c r="J1473" t="s">
        <v>430</v>
      </c>
    </row>
    <row r="1474" spans="1:10" ht="15" customHeight="1" x14ac:dyDescent="0.25">
      <c r="A1474" s="82">
        <v>43749</v>
      </c>
      <c r="B1474" t="s">
        <v>429</v>
      </c>
      <c r="C1474" t="s">
        <v>455</v>
      </c>
      <c r="D1474" t="s">
        <v>424</v>
      </c>
      <c r="E1474" t="s">
        <v>424</v>
      </c>
      <c r="F1474" t="s">
        <v>426</v>
      </c>
      <c r="G1474" t="s">
        <v>425</v>
      </c>
      <c r="H1474" t="s">
        <v>425</v>
      </c>
      <c r="I1474" t="s">
        <v>427</v>
      </c>
      <c r="J1474" t="s">
        <v>421</v>
      </c>
    </row>
    <row r="1475" spans="1:10" ht="15" customHeight="1" x14ac:dyDescent="0.25">
      <c r="A1475" s="82">
        <v>43750</v>
      </c>
      <c r="B1475" t="s">
        <v>429</v>
      </c>
      <c r="C1475" t="s">
        <v>428</v>
      </c>
      <c r="D1475" t="s">
        <v>424</v>
      </c>
      <c r="E1475" t="s">
        <v>430</v>
      </c>
      <c r="F1475" t="s">
        <v>426</v>
      </c>
      <c r="G1475" t="s">
        <v>425</v>
      </c>
      <c r="H1475" t="s">
        <v>421</v>
      </c>
      <c r="I1475" t="s">
        <v>455</v>
      </c>
      <c r="J1475" t="s">
        <v>427</v>
      </c>
    </row>
    <row r="1476" spans="1:10" ht="15" customHeight="1" x14ac:dyDescent="0.25">
      <c r="A1476" s="82">
        <v>43751</v>
      </c>
      <c r="B1476" t="s">
        <v>429</v>
      </c>
      <c r="C1476" t="s">
        <v>428</v>
      </c>
      <c r="D1476" t="s">
        <v>424</v>
      </c>
      <c r="E1476" t="s">
        <v>430</v>
      </c>
      <c r="F1476" t="s">
        <v>426</v>
      </c>
      <c r="G1476" t="s">
        <v>425</v>
      </c>
      <c r="H1476" t="s">
        <v>421</v>
      </c>
      <c r="I1476" t="s">
        <v>427</v>
      </c>
      <c r="J1476" t="s">
        <v>455</v>
      </c>
    </row>
    <row r="1477" spans="1:10" ht="15" customHeight="1" x14ac:dyDescent="0.25">
      <c r="A1477" s="82">
        <v>43752</v>
      </c>
      <c r="B1477" t="s">
        <v>429</v>
      </c>
      <c r="C1477" t="s">
        <v>428</v>
      </c>
      <c r="D1477" t="s">
        <v>424</v>
      </c>
      <c r="E1477" t="s">
        <v>430</v>
      </c>
      <c r="F1477" t="s">
        <v>426</v>
      </c>
      <c r="G1477" t="s">
        <v>425</v>
      </c>
      <c r="H1477" t="s">
        <v>427</v>
      </c>
      <c r="I1477" t="s">
        <v>455</v>
      </c>
      <c r="J1477" t="s">
        <v>421</v>
      </c>
    </row>
    <row r="1478" spans="1:10" ht="15" customHeight="1" x14ac:dyDescent="0.25">
      <c r="A1478" s="82">
        <v>43753</v>
      </c>
      <c r="B1478" t="s">
        <v>429</v>
      </c>
      <c r="C1478" t="s">
        <v>428</v>
      </c>
      <c r="D1478" t="s">
        <v>424</v>
      </c>
      <c r="E1478" t="s">
        <v>430</v>
      </c>
      <c r="F1478" t="s">
        <v>426</v>
      </c>
      <c r="G1478" t="s">
        <v>425</v>
      </c>
      <c r="H1478" t="s">
        <v>455</v>
      </c>
      <c r="I1478" t="s">
        <v>421</v>
      </c>
      <c r="J1478" t="s">
        <v>427</v>
      </c>
    </row>
    <row r="1479" spans="1:10" ht="15" customHeight="1" x14ac:dyDescent="0.25">
      <c r="A1479" s="82">
        <v>43754</v>
      </c>
      <c r="B1479" t="s">
        <v>429</v>
      </c>
      <c r="C1479" t="s">
        <v>428</v>
      </c>
      <c r="D1479" t="s">
        <v>424</v>
      </c>
      <c r="E1479" t="s">
        <v>430</v>
      </c>
      <c r="F1479" t="s">
        <v>426</v>
      </c>
      <c r="G1479" t="s">
        <v>425</v>
      </c>
      <c r="H1479" t="s">
        <v>427</v>
      </c>
      <c r="I1479" t="s">
        <v>421</v>
      </c>
      <c r="J1479" t="s">
        <v>455</v>
      </c>
    </row>
    <row r="1480" spans="1:10" ht="15" customHeight="1" x14ac:dyDescent="0.25">
      <c r="A1480" s="82">
        <v>43755</v>
      </c>
      <c r="B1480" t="s">
        <v>429</v>
      </c>
      <c r="C1480" t="s">
        <v>428</v>
      </c>
      <c r="D1480" t="s">
        <v>424</v>
      </c>
      <c r="E1480" t="s">
        <v>430</v>
      </c>
      <c r="F1480" t="s">
        <v>426</v>
      </c>
      <c r="G1480" t="s">
        <v>425</v>
      </c>
      <c r="H1480" t="s">
        <v>455</v>
      </c>
      <c r="I1480" t="s">
        <v>427</v>
      </c>
      <c r="J1480" t="s">
        <v>421</v>
      </c>
    </row>
    <row r="1481" spans="1:10" ht="15" customHeight="1" x14ac:dyDescent="0.25">
      <c r="A1481" s="82">
        <v>43756</v>
      </c>
      <c r="B1481" t="s">
        <v>426</v>
      </c>
      <c r="C1481" t="s">
        <v>425</v>
      </c>
      <c r="D1481" t="s">
        <v>424</v>
      </c>
      <c r="E1481" t="s">
        <v>421</v>
      </c>
      <c r="F1481" t="s">
        <v>427</v>
      </c>
      <c r="G1481" t="s">
        <v>425</v>
      </c>
      <c r="H1481" t="s">
        <v>424</v>
      </c>
      <c r="I1481" t="s">
        <v>455</v>
      </c>
      <c r="J1481" t="s">
        <v>429</v>
      </c>
    </row>
    <row r="1482" spans="1:10" ht="15" customHeight="1" x14ac:dyDescent="0.25">
      <c r="A1482" s="82">
        <v>43757</v>
      </c>
      <c r="B1482" t="s">
        <v>426</v>
      </c>
      <c r="C1482" t="s">
        <v>425</v>
      </c>
      <c r="D1482" t="s">
        <v>430</v>
      </c>
      <c r="E1482" t="s">
        <v>427</v>
      </c>
      <c r="F1482" t="s">
        <v>455</v>
      </c>
      <c r="G1482" t="s">
        <v>421</v>
      </c>
      <c r="H1482" t="s">
        <v>424</v>
      </c>
      <c r="I1482" t="s">
        <v>428</v>
      </c>
      <c r="J1482" t="s">
        <v>429</v>
      </c>
    </row>
    <row r="1483" spans="1:10" ht="15" customHeight="1" x14ac:dyDescent="0.25">
      <c r="A1483" s="82">
        <v>43758</v>
      </c>
      <c r="B1483" t="s">
        <v>426</v>
      </c>
      <c r="C1483" t="s">
        <v>425</v>
      </c>
      <c r="D1483" t="s">
        <v>430</v>
      </c>
      <c r="E1483" t="s">
        <v>455</v>
      </c>
      <c r="F1483" t="s">
        <v>427</v>
      </c>
      <c r="G1483" t="s">
        <v>421</v>
      </c>
      <c r="H1483" t="s">
        <v>424</v>
      </c>
      <c r="I1483" t="s">
        <v>428</v>
      </c>
      <c r="J1483" t="s">
        <v>429</v>
      </c>
    </row>
    <row r="1484" spans="1:10" ht="15" customHeight="1" x14ac:dyDescent="0.25">
      <c r="A1484" s="82">
        <v>43759</v>
      </c>
      <c r="B1484" t="s">
        <v>426</v>
      </c>
      <c r="C1484" t="s">
        <v>425</v>
      </c>
      <c r="D1484" t="s">
        <v>430</v>
      </c>
      <c r="E1484" t="s">
        <v>421</v>
      </c>
      <c r="F1484" t="s">
        <v>455</v>
      </c>
      <c r="G1484" t="s">
        <v>427</v>
      </c>
      <c r="H1484" t="s">
        <v>424</v>
      </c>
      <c r="I1484" t="s">
        <v>428</v>
      </c>
      <c r="J1484" t="s">
        <v>429</v>
      </c>
    </row>
    <row r="1485" spans="1:10" ht="15" customHeight="1" x14ac:dyDescent="0.25">
      <c r="A1485" s="82">
        <v>43760</v>
      </c>
      <c r="B1485" t="s">
        <v>426</v>
      </c>
      <c r="C1485" t="s">
        <v>425</v>
      </c>
      <c r="D1485" t="s">
        <v>430</v>
      </c>
      <c r="E1485" t="s">
        <v>427</v>
      </c>
      <c r="F1485" t="s">
        <v>421</v>
      </c>
      <c r="G1485" t="s">
        <v>455</v>
      </c>
      <c r="H1485" t="s">
        <v>424</v>
      </c>
      <c r="I1485" t="s">
        <v>428</v>
      </c>
      <c r="J1485" t="s">
        <v>429</v>
      </c>
    </row>
    <row r="1486" spans="1:10" ht="15" customHeight="1" x14ac:dyDescent="0.25">
      <c r="A1486" s="82">
        <v>43761</v>
      </c>
      <c r="B1486" t="s">
        <v>426</v>
      </c>
      <c r="C1486" t="s">
        <v>425</v>
      </c>
      <c r="D1486" t="s">
        <v>430</v>
      </c>
      <c r="E1486" t="s">
        <v>455</v>
      </c>
      <c r="F1486" t="s">
        <v>421</v>
      </c>
      <c r="G1486" t="s">
        <v>427</v>
      </c>
      <c r="H1486" t="s">
        <v>424</v>
      </c>
      <c r="I1486" t="s">
        <v>428</v>
      </c>
      <c r="J1486" t="s">
        <v>429</v>
      </c>
    </row>
    <row r="1487" spans="1:10" ht="15" customHeight="1" x14ac:dyDescent="0.25">
      <c r="A1487" s="82">
        <v>43762</v>
      </c>
      <c r="B1487" t="s">
        <v>426</v>
      </c>
      <c r="C1487" t="s">
        <v>425</v>
      </c>
      <c r="D1487" t="s">
        <v>430</v>
      </c>
      <c r="E1487" t="s">
        <v>421</v>
      </c>
      <c r="F1487" t="s">
        <v>427</v>
      </c>
      <c r="G1487" t="s">
        <v>455</v>
      </c>
      <c r="H1487" t="s">
        <v>424</v>
      </c>
      <c r="I1487" t="s">
        <v>428</v>
      </c>
      <c r="J1487" t="s">
        <v>429</v>
      </c>
    </row>
    <row r="1488" spans="1:10" ht="15" customHeight="1" x14ac:dyDescent="0.25">
      <c r="A1488" s="82">
        <v>43763</v>
      </c>
      <c r="B1488" t="s">
        <v>427</v>
      </c>
      <c r="C1488" t="s">
        <v>425</v>
      </c>
      <c r="D1488" t="s">
        <v>421</v>
      </c>
      <c r="E1488" t="s">
        <v>429</v>
      </c>
      <c r="F1488" t="s">
        <v>455</v>
      </c>
      <c r="G1488" t="s">
        <v>424</v>
      </c>
      <c r="H1488" t="s">
        <v>424</v>
      </c>
      <c r="I1488" t="s">
        <v>425</v>
      </c>
      <c r="J1488" t="s">
        <v>426</v>
      </c>
    </row>
    <row r="1489" spans="1:10" ht="15" customHeight="1" x14ac:dyDescent="0.25">
      <c r="A1489" s="82">
        <v>43764</v>
      </c>
      <c r="B1489" t="s">
        <v>455</v>
      </c>
      <c r="C1489" t="s">
        <v>421</v>
      </c>
      <c r="D1489" t="s">
        <v>427</v>
      </c>
      <c r="E1489" t="s">
        <v>429</v>
      </c>
      <c r="F1489" t="s">
        <v>428</v>
      </c>
      <c r="G1489" t="s">
        <v>424</v>
      </c>
      <c r="H1489" t="s">
        <v>430</v>
      </c>
      <c r="I1489" t="s">
        <v>425</v>
      </c>
      <c r="J1489" t="s">
        <v>426</v>
      </c>
    </row>
    <row r="1490" spans="1:10" ht="15" customHeight="1" x14ac:dyDescent="0.25">
      <c r="A1490" s="82">
        <v>43765</v>
      </c>
      <c r="B1490" t="s">
        <v>427</v>
      </c>
      <c r="C1490" t="s">
        <v>421</v>
      </c>
      <c r="D1490" t="s">
        <v>455</v>
      </c>
      <c r="E1490" t="s">
        <v>429</v>
      </c>
      <c r="F1490" t="s">
        <v>428</v>
      </c>
      <c r="G1490" t="s">
        <v>424</v>
      </c>
      <c r="H1490" t="s">
        <v>430</v>
      </c>
      <c r="I1490" t="s">
        <v>425</v>
      </c>
      <c r="J1490" t="s">
        <v>426</v>
      </c>
    </row>
    <row r="1491" spans="1:10" ht="15" customHeight="1" x14ac:dyDescent="0.25">
      <c r="A1491" s="82">
        <v>43766</v>
      </c>
      <c r="B1491" t="s">
        <v>455</v>
      </c>
      <c r="C1491" t="s">
        <v>427</v>
      </c>
      <c r="D1491" t="s">
        <v>421</v>
      </c>
      <c r="E1491" t="s">
        <v>429</v>
      </c>
      <c r="F1491" t="s">
        <v>428</v>
      </c>
      <c r="G1491" t="s">
        <v>424</v>
      </c>
      <c r="H1491" t="s">
        <v>430</v>
      </c>
      <c r="I1491" t="s">
        <v>425</v>
      </c>
      <c r="J1491" t="s">
        <v>426</v>
      </c>
    </row>
    <row r="1492" spans="1:10" ht="15" customHeight="1" x14ac:dyDescent="0.25">
      <c r="A1492" s="82">
        <v>43767</v>
      </c>
      <c r="B1492" t="s">
        <v>421</v>
      </c>
      <c r="C1492" t="s">
        <v>455</v>
      </c>
      <c r="D1492" t="s">
        <v>427</v>
      </c>
      <c r="E1492" t="s">
        <v>429</v>
      </c>
      <c r="F1492" t="s">
        <v>428</v>
      </c>
      <c r="G1492" t="s">
        <v>424</v>
      </c>
      <c r="H1492" t="s">
        <v>430</v>
      </c>
      <c r="I1492" t="s">
        <v>425</v>
      </c>
      <c r="J1492" t="s">
        <v>426</v>
      </c>
    </row>
    <row r="1493" spans="1:10" ht="15" customHeight="1" x14ac:dyDescent="0.25">
      <c r="A1493" s="82">
        <v>43768</v>
      </c>
      <c r="B1493" t="s">
        <v>421</v>
      </c>
      <c r="C1493" t="s">
        <v>427</v>
      </c>
      <c r="D1493" t="s">
        <v>455</v>
      </c>
      <c r="E1493" t="s">
        <v>429</v>
      </c>
      <c r="F1493" t="s">
        <v>428</v>
      </c>
      <c r="G1493" t="s">
        <v>424</v>
      </c>
      <c r="H1493" t="s">
        <v>430</v>
      </c>
      <c r="I1493" t="s">
        <v>425</v>
      </c>
      <c r="J1493" t="s">
        <v>426</v>
      </c>
    </row>
    <row r="1494" spans="1:10" ht="15" customHeight="1" x14ac:dyDescent="0.25">
      <c r="A1494" s="82">
        <v>43769</v>
      </c>
      <c r="B1494" t="s">
        <v>427</v>
      </c>
      <c r="C1494" t="s">
        <v>455</v>
      </c>
      <c r="D1494" t="s">
        <v>421</v>
      </c>
      <c r="E1494" t="s">
        <v>429</v>
      </c>
      <c r="F1494" t="s">
        <v>428</v>
      </c>
      <c r="G1494" t="s">
        <v>424</v>
      </c>
      <c r="H1494" t="s">
        <v>430</v>
      </c>
      <c r="I1494" t="s">
        <v>425</v>
      </c>
      <c r="J1494" t="s">
        <v>426</v>
      </c>
    </row>
    <row r="1495" spans="1:10" ht="15" customHeight="1" x14ac:dyDescent="0.25">
      <c r="A1495" s="82">
        <v>43770</v>
      </c>
      <c r="B1495" t="s">
        <v>455</v>
      </c>
      <c r="C1495" t="s">
        <v>424</v>
      </c>
      <c r="D1495" t="s">
        <v>429</v>
      </c>
      <c r="E1495" t="s">
        <v>426</v>
      </c>
      <c r="F1495" t="s">
        <v>425</v>
      </c>
      <c r="G1495" t="s">
        <v>424</v>
      </c>
      <c r="H1495" t="s">
        <v>421</v>
      </c>
      <c r="I1495" t="s">
        <v>425</v>
      </c>
      <c r="J1495" t="s">
        <v>427</v>
      </c>
    </row>
    <row r="1496" spans="1:10" ht="15" customHeight="1" x14ac:dyDescent="0.25">
      <c r="A1496" s="82">
        <v>43771</v>
      </c>
      <c r="B1496" t="s">
        <v>428</v>
      </c>
      <c r="C1496" t="s">
        <v>424</v>
      </c>
      <c r="D1496" t="s">
        <v>429</v>
      </c>
      <c r="E1496" t="s">
        <v>426</v>
      </c>
      <c r="F1496" t="s">
        <v>425</v>
      </c>
      <c r="G1496" t="s">
        <v>430</v>
      </c>
      <c r="H1496" t="s">
        <v>427</v>
      </c>
      <c r="I1496" t="s">
        <v>421</v>
      </c>
      <c r="J1496" t="s">
        <v>455</v>
      </c>
    </row>
    <row r="1497" spans="1:10" ht="15" customHeight="1" x14ac:dyDescent="0.25">
      <c r="A1497" s="82">
        <v>43772</v>
      </c>
      <c r="B1497" t="s">
        <v>428</v>
      </c>
      <c r="C1497" t="s">
        <v>424</v>
      </c>
      <c r="D1497" t="s">
        <v>429</v>
      </c>
      <c r="E1497" t="s">
        <v>426</v>
      </c>
      <c r="F1497" t="s">
        <v>425</v>
      </c>
      <c r="G1497" t="s">
        <v>430</v>
      </c>
      <c r="H1497" t="s">
        <v>455</v>
      </c>
      <c r="I1497" t="s">
        <v>421</v>
      </c>
      <c r="J1497" t="s">
        <v>427</v>
      </c>
    </row>
    <row r="1498" spans="1:10" ht="15" customHeight="1" x14ac:dyDescent="0.25">
      <c r="A1498" s="82">
        <v>43773</v>
      </c>
      <c r="B1498" t="s">
        <v>428</v>
      </c>
      <c r="C1498" t="s">
        <v>424</v>
      </c>
      <c r="D1498" t="s">
        <v>429</v>
      </c>
      <c r="E1498" t="s">
        <v>426</v>
      </c>
      <c r="F1498" t="s">
        <v>425</v>
      </c>
      <c r="G1498" t="s">
        <v>430</v>
      </c>
      <c r="H1498" t="s">
        <v>421</v>
      </c>
      <c r="I1498" t="s">
        <v>427</v>
      </c>
      <c r="J1498" t="s">
        <v>455</v>
      </c>
    </row>
    <row r="1499" spans="1:10" ht="15" customHeight="1" x14ac:dyDescent="0.25">
      <c r="A1499" s="82">
        <v>43774</v>
      </c>
      <c r="B1499" t="s">
        <v>428</v>
      </c>
      <c r="C1499" t="s">
        <v>424</v>
      </c>
      <c r="D1499" t="s">
        <v>429</v>
      </c>
      <c r="E1499" t="s">
        <v>426</v>
      </c>
      <c r="F1499" t="s">
        <v>425</v>
      </c>
      <c r="G1499" t="s">
        <v>430</v>
      </c>
      <c r="H1499" t="s">
        <v>427</v>
      </c>
      <c r="I1499" t="s">
        <v>455</v>
      </c>
      <c r="J1499" t="s">
        <v>421</v>
      </c>
    </row>
    <row r="1500" spans="1:10" ht="15" customHeight="1" x14ac:dyDescent="0.25">
      <c r="A1500" s="82">
        <v>43775</v>
      </c>
      <c r="B1500" t="s">
        <v>428</v>
      </c>
      <c r="C1500" t="s">
        <v>424</v>
      </c>
      <c r="D1500" t="s">
        <v>429</v>
      </c>
      <c r="E1500" t="s">
        <v>426</v>
      </c>
      <c r="F1500" t="s">
        <v>425</v>
      </c>
      <c r="G1500" t="s">
        <v>430</v>
      </c>
      <c r="H1500" t="s">
        <v>455</v>
      </c>
      <c r="I1500" t="s">
        <v>427</v>
      </c>
      <c r="J1500" t="s">
        <v>421</v>
      </c>
    </row>
    <row r="1501" spans="1:10" ht="15" customHeight="1" x14ac:dyDescent="0.25">
      <c r="A1501" s="82">
        <v>43776</v>
      </c>
      <c r="B1501" t="s">
        <v>428</v>
      </c>
      <c r="C1501" t="s">
        <v>424</v>
      </c>
      <c r="D1501" t="s">
        <v>429</v>
      </c>
      <c r="E1501" t="s">
        <v>426</v>
      </c>
      <c r="F1501" t="s">
        <v>425</v>
      </c>
      <c r="G1501" t="s">
        <v>430</v>
      </c>
      <c r="H1501" t="s">
        <v>421</v>
      </c>
      <c r="I1501" t="s">
        <v>455</v>
      </c>
      <c r="J1501" t="s">
        <v>427</v>
      </c>
    </row>
    <row r="1502" spans="1:10" ht="15" customHeight="1" x14ac:dyDescent="0.25">
      <c r="A1502" s="82">
        <v>43777</v>
      </c>
      <c r="B1502" t="s">
        <v>425</v>
      </c>
      <c r="C1502" t="s">
        <v>424</v>
      </c>
      <c r="D1502" t="s">
        <v>426</v>
      </c>
      <c r="E1502" t="s">
        <v>427</v>
      </c>
      <c r="F1502" t="s">
        <v>425</v>
      </c>
      <c r="G1502" t="s">
        <v>421</v>
      </c>
      <c r="H1502" t="s">
        <v>429</v>
      </c>
      <c r="I1502" t="s">
        <v>424</v>
      </c>
      <c r="J1502" t="s">
        <v>455</v>
      </c>
    </row>
    <row r="1503" spans="1:10" ht="15" customHeight="1" x14ac:dyDescent="0.25">
      <c r="A1503" s="82">
        <v>43778</v>
      </c>
      <c r="B1503" t="s">
        <v>425</v>
      </c>
      <c r="C1503" t="s">
        <v>430</v>
      </c>
      <c r="D1503" t="s">
        <v>426</v>
      </c>
      <c r="E1503" t="s">
        <v>455</v>
      </c>
      <c r="F1503" t="s">
        <v>421</v>
      </c>
      <c r="G1503" t="s">
        <v>427</v>
      </c>
      <c r="H1503" t="s">
        <v>429</v>
      </c>
      <c r="I1503" t="s">
        <v>424</v>
      </c>
      <c r="J1503" t="s">
        <v>428</v>
      </c>
    </row>
    <row r="1504" spans="1:10" ht="15" customHeight="1" x14ac:dyDescent="0.25">
      <c r="A1504" s="82">
        <v>43779</v>
      </c>
      <c r="B1504" t="s">
        <v>425</v>
      </c>
      <c r="C1504" t="s">
        <v>430</v>
      </c>
      <c r="D1504" t="s">
        <v>426</v>
      </c>
      <c r="E1504" t="s">
        <v>427</v>
      </c>
      <c r="F1504" t="s">
        <v>421</v>
      </c>
      <c r="G1504" t="s">
        <v>455</v>
      </c>
      <c r="H1504" t="s">
        <v>429</v>
      </c>
      <c r="I1504" t="s">
        <v>424</v>
      </c>
      <c r="J1504" t="s">
        <v>428</v>
      </c>
    </row>
    <row r="1505" spans="1:10" ht="15" customHeight="1" x14ac:dyDescent="0.25">
      <c r="A1505" s="82">
        <v>43780</v>
      </c>
      <c r="B1505" t="s">
        <v>425</v>
      </c>
      <c r="C1505" t="s">
        <v>430</v>
      </c>
      <c r="D1505" t="s">
        <v>426</v>
      </c>
      <c r="E1505" t="s">
        <v>455</v>
      </c>
      <c r="F1505" t="s">
        <v>427</v>
      </c>
      <c r="G1505" t="s">
        <v>421</v>
      </c>
      <c r="H1505" t="s">
        <v>429</v>
      </c>
      <c r="I1505" t="s">
        <v>424</v>
      </c>
      <c r="J1505" t="s">
        <v>428</v>
      </c>
    </row>
    <row r="1506" spans="1:10" ht="15" customHeight="1" x14ac:dyDescent="0.25">
      <c r="A1506" s="82">
        <v>43781</v>
      </c>
      <c r="B1506" t="s">
        <v>425</v>
      </c>
      <c r="C1506" t="s">
        <v>430</v>
      </c>
      <c r="D1506" t="s">
        <v>426</v>
      </c>
      <c r="E1506" t="s">
        <v>421</v>
      </c>
      <c r="F1506" t="s">
        <v>455</v>
      </c>
      <c r="G1506" t="s">
        <v>427</v>
      </c>
      <c r="H1506" t="s">
        <v>429</v>
      </c>
      <c r="I1506" t="s">
        <v>424</v>
      </c>
      <c r="J1506" t="s">
        <v>428</v>
      </c>
    </row>
    <row r="1507" spans="1:10" ht="15" customHeight="1" x14ac:dyDescent="0.25">
      <c r="A1507" s="82">
        <v>43782</v>
      </c>
      <c r="B1507" t="s">
        <v>425</v>
      </c>
      <c r="C1507" t="s">
        <v>430</v>
      </c>
      <c r="D1507" t="s">
        <v>426</v>
      </c>
      <c r="E1507" t="s">
        <v>421</v>
      </c>
      <c r="F1507" t="s">
        <v>427</v>
      </c>
      <c r="G1507" t="s">
        <v>455</v>
      </c>
      <c r="H1507" t="s">
        <v>429</v>
      </c>
      <c r="I1507" t="s">
        <v>424</v>
      </c>
      <c r="J1507" t="s">
        <v>428</v>
      </c>
    </row>
    <row r="1508" spans="1:10" ht="15" customHeight="1" x14ac:dyDescent="0.25">
      <c r="A1508" s="82">
        <v>43783</v>
      </c>
      <c r="B1508" t="s">
        <v>425</v>
      </c>
      <c r="C1508" t="s">
        <v>430</v>
      </c>
      <c r="D1508" t="s">
        <v>426</v>
      </c>
      <c r="E1508" t="s">
        <v>427</v>
      </c>
      <c r="F1508" t="s">
        <v>455</v>
      </c>
      <c r="G1508" t="s">
        <v>421</v>
      </c>
      <c r="H1508" t="s">
        <v>429</v>
      </c>
      <c r="I1508" t="s">
        <v>424</v>
      </c>
      <c r="J1508" t="s">
        <v>428</v>
      </c>
    </row>
    <row r="1509" spans="1:10" ht="15" customHeight="1" x14ac:dyDescent="0.25">
      <c r="A1509" s="82">
        <v>43784</v>
      </c>
      <c r="B1509" t="s">
        <v>425</v>
      </c>
      <c r="C1509" t="s">
        <v>421</v>
      </c>
      <c r="D1509" t="s">
        <v>427</v>
      </c>
      <c r="E1509" t="s">
        <v>455</v>
      </c>
      <c r="F1509" t="s">
        <v>424</v>
      </c>
      <c r="G1509" t="s">
        <v>429</v>
      </c>
      <c r="H1509" t="s">
        <v>426</v>
      </c>
      <c r="I1509" t="s">
        <v>424</v>
      </c>
      <c r="J1509" t="s">
        <v>425</v>
      </c>
    </row>
    <row r="1510" spans="1:10" ht="15" customHeight="1" x14ac:dyDescent="0.25">
      <c r="A1510" s="82">
        <v>43785</v>
      </c>
      <c r="B1510" t="s">
        <v>421</v>
      </c>
      <c r="C1510" t="s">
        <v>427</v>
      </c>
      <c r="D1510" t="s">
        <v>455</v>
      </c>
      <c r="E1510" t="s">
        <v>428</v>
      </c>
      <c r="F1510" t="s">
        <v>424</v>
      </c>
      <c r="G1510" t="s">
        <v>429</v>
      </c>
      <c r="H1510" t="s">
        <v>426</v>
      </c>
      <c r="I1510" t="s">
        <v>430</v>
      </c>
      <c r="J1510" t="s">
        <v>425</v>
      </c>
    </row>
    <row r="1511" spans="1:10" ht="15" customHeight="1" x14ac:dyDescent="0.25">
      <c r="A1511" s="82">
        <v>43786</v>
      </c>
      <c r="B1511" t="s">
        <v>421</v>
      </c>
      <c r="C1511" t="s">
        <v>455</v>
      </c>
      <c r="D1511" t="s">
        <v>427</v>
      </c>
      <c r="E1511" t="s">
        <v>428</v>
      </c>
      <c r="F1511" t="s">
        <v>424</v>
      </c>
      <c r="G1511" t="s">
        <v>429</v>
      </c>
      <c r="H1511" t="s">
        <v>426</v>
      </c>
      <c r="I1511" t="s">
        <v>430</v>
      </c>
      <c r="J1511" t="s">
        <v>425</v>
      </c>
    </row>
    <row r="1512" spans="1:10" ht="15" customHeight="1" x14ac:dyDescent="0.25">
      <c r="A1512" s="82">
        <v>43787</v>
      </c>
      <c r="B1512" t="s">
        <v>427</v>
      </c>
      <c r="C1512" t="s">
        <v>421</v>
      </c>
      <c r="D1512" t="s">
        <v>455</v>
      </c>
      <c r="E1512" t="s">
        <v>428</v>
      </c>
      <c r="F1512" t="s">
        <v>424</v>
      </c>
      <c r="G1512" t="s">
        <v>429</v>
      </c>
      <c r="H1512" t="s">
        <v>426</v>
      </c>
      <c r="I1512" t="s">
        <v>430</v>
      </c>
      <c r="J1512" t="s">
        <v>425</v>
      </c>
    </row>
    <row r="1513" spans="1:10" ht="15" customHeight="1" x14ac:dyDescent="0.25">
      <c r="A1513" s="82">
        <v>43788</v>
      </c>
      <c r="B1513" t="s">
        <v>455</v>
      </c>
      <c r="C1513" t="s">
        <v>427</v>
      </c>
      <c r="D1513" t="s">
        <v>421</v>
      </c>
      <c r="E1513" t="s">
        <v>428</v>
      </c>
      <c r="F1513" t="s">
        <v>424</v>
      </c>
      <c r="G1513" t="s">
        <v>429</v>
      </c>
      <c r="H1513" t="s">
        <v>426</v>
      </c>
      <c r="I1513" t="s">
        <v>430</v>
      </c>
      <c r="J1513" t="s">
        <v>425</v>
      </c>
    </row>
    <row r="1514" spans="1:10" ht="15" customHeight="1" x14ac:dyDescent="0.25">
      <c r="A1514" s="82">
        <v>43789</v>
      </c>
      <c r="B1514" t="s">
        <v>427</v>
      </c>
      <c r="C1514" t="s">
        <v>455</v>
      </c>
      <c r="D1514" t="s">
        <v>421</v>
      </c>
      <c r="E1514" t="s">
        <v>428</v>
      </c>
      <c r="F1514" t="s">
        <v>424</v>
      </c>
      <c r="G1514" t="s">
        <v>429</v>
      </c>
      <c r="H1514" t="s">
        <v>426</v>
      </c>
      <c r="I1514" t="s">
        <v>430</v>
      </c>
      <c r="J1514" t="s">
        <v>425</v>
      </c>
    </row>
    <row r="1515" spans="1:10" ht="15" customHeight="1" x14ac:dyDescent="0.25">
      <c r="A1515" s="82">
        <v>43790</v>
      </c>
      <c r="B1515" t="s">
        <v>455</v>
      </c>
      <c r="C1515" t="s">
        <v>421</v>
      </c>
      <c r="D1515" t="s">
        <v>427</v>
      </c>
      <c r="E1515" t="s">
        <v>428</v>
      </c>
      <c r="F1515" t="s">
        <v>424</v>
      </c>
      <c r="G1515" t="s">
        <v>429</v>
      </c>
      <c r="H1515" t="s">
        <v>426</v>
      </c>
      <c r="I1515" t="s">
        <v>430</v>
      </c>
      <c r="J1515" t="s">
        <v>425</v>
      </c>
    </row>
    <row r="1516" spans="1:10" ht="15" customHeight="1" x14ac:dyDescent="0.25">
      <c r="A1516" s="82">
        <v>43791</v>
      </c>
      <c r="B1516" t="s">
        <v>424</v>
      </c>
      <c r="C1516" t="s">
        <v>429</v>
      </c>
      <c r="D1516" t="s">
        <v>455</v>
      </c>
      <c r="E1516" t="s">
        <v>425</v>
      </c>
      <c r="F1516" t="s">
        <v>424</v>
      </c>
      <c r="G1516" t="s">
        <v>426</v>
      </c>
      <c r="H1516" t="s">
        <v>427</v>
      </c>
      <c r="I1516" t="s">
        <v>421</v>
      </c>
      <c r="J1516" t="s">
        <v>425</v>
      </c>
    </row>
    <row r="1517" spans="1:10" ht="15" customHeight="1" x14ac:dyDescent="0.25">
      <c r="A1517" s="82">
        <v>43792</v>
      </c>
      <c r="B1517" t="s">
        <v>424</v>
      </c>
      <c r="C1517" t="s">
        <v>429</v>
      </c>
      <c r="D1517" t="s">
        <v>428</v>
      </c>
      <c r="E1517" t="s">
        <v>425</v>
      </c>
      <c r="F1517" t="s">
        <v>430</v>
      </c>
      <c r="G1517" t="s">
        <v>426</v>
      </c>
      <c r="H1517" t="s">
        <v>455</v>
      </c>
      <c r="I1517" t="s">
        <v>427</v>
      </c>
      <c r="J1517" t="s">
        <v>421</v>
      </c>
    </row>
    <row r="1518" spans="1:10" ht="15" customHeight="1" x14ac:dyDescent="0.25">
      <c r="A1518" s="82">
        <v>43793</v>
      </c>
      <c r="B1518" t="s">
        <v>424</v>
      </c>
      <c r="C1518" t="s">
        <v>429</v>
      </c>
      <c r="D1518" t="s">
        <v>428</v>
      </c>
      <c r="E1518" t="s">
        <v>425</v>
      </c>
      <c r="F1518" t="s">
        <v>430</v>
      </c>
      <c r="G1518" t="s">
        <v>426</v>
      </c>
      <c r="H1518" t="s">
        <v>427</v>
      </c>
      <c r="I1518" t="s">
        <v>455</v>
      </c>
      <c r="J1518" t="s">
        <v>421</v>
      </c>
    </row>
    <row r="1519" spans="1:10" ht="15" customHeight="1" x14ac:dyDescent="0.25">
      <c r="A1519" s="82">
        <v>43794</v>
      </c>
      <c r="B1519" t="s">
        <v>424</v>
      </c>
      <c r="C1519" t="s">
        <v>429</v>
      </c>
      <c r="D1519" t="s">
        <v>428</v>
      </c>
      <c r="E1519" t="s">
        <v>425</v>
      </c>
      <c r="F1519" t="s">
        <v>430</v>
      </c>
      <c r="G1519" t="s">
        <v>426</v>
      </c>
      <c r="H1519" t="s">
        <v>455</v>
      </c>
      <c r="I1519" t="s">
        <v>421</v>
      </c>
      <c r="J1519" t="s">
        <v>427</v>
      </c>
    </row>
    <row r="1520" spans="1:10" ht="15" customHeight="1" x14ac:dyDescent="0.25">
      <c r="A1520" s="82">
        <v>43795</v>
      </c>
      <c r="B1520" t="s">
        <v>424</v>
      </c>
      <c r="C1520" t="s">
        <v>429</v>
      </c>
      <c r="D1520" t="s">
        <v>428</v>
      </c>
      <c r="E1520" t="s">
        <v>425</v>
      </c>
      <c r="F1520" t="s">
        <v>430</v>
      </c>
      <c r="G1520" t="s">
        <v>426</v>
      </c>
      <c r="H1520" t="s">
        <v>421</v>
      </c>
      <c r="I1520" t="s">
        <v>427</v>
      </c>
      <c r="J1520" t="s">
        <v>455</v>
      </c>
    </row>
    <row r="1521" spans="1:10" ht="15" customHeight="1" x14ac:dyDescent="0.25">
      <c r="A1521" s="82">
        <v>43796</v>
      </c>
      <c r="B1521" t="s">
        <v>424</v>
      </c>
      <c r="C1521" t="s">
        <v>429</v>
      </c>
      <c r="D1521" t="s">
        <v>428</v>
      </c>
      <c r="E1521" t="s">
        <v>425</v>
      </c>
      <c r="F1521" t="s">
        <v>430</v>
      </c>
      <c r="G1521" t="s">
        <v>426</v>
      </c>
      <c r="H1521" t="s">
        <v>421</v>
      </c>
      <c r="I1521" t="s">
        <v>455</v>
      </c>
      <c r="J1521" t="s">
        <v>427</v>
      </c>
    </row>
    <row r="1522" spans="1:10" ht="15" customHeight="1" x14ac:dyDescent="0.25">
      <c r="A1522" s="82">
        <v>43797</v>
      </c>
      <c r="B1522" t="s">
        <v>424</v>
      </c>
      <c r="C1522" t="s">
        <v>429</v>
      </c>
      <c r="D1522" t="s">
        <v>428</v>
      </c>
      <c r="E1522" t="s">
        <v>425</v>
      </c>
      <c r="F1522" t="s">
        <v>430</v>
      </c>
      <c r="G1522" t="s">
        <v>426</v>
      </c>
      <c r="H1522" t="s">
        <v>427</v>
      </c>
      <c r="I1522" t="s">
        <v>421</v>
      </c>
      <c r="J1522" t="s">
        <v>455</v>
      </c>
    </row>
    <row r="1523" spans="1:10" ht="15" customHeight="1" x14ac:dyDescent="0.25">
      <c r="A1523" s="82">
        <v>43798</v>
      </c>
      <c r="B1523" t="s">
        <v>424</v>
      </c>
      <c r="C1523" t="s">
        <v>426</v>
      </c>
      <c r="D1523" t="s">
        <v>425</v>
      </c>
      <c r="E1523" t="s">
        <v>425</v>
      </c>
      <c r="F1523" t="s">
        <v>421</v>
      </c>
      <c r="G1523" t="s">
        <v>427</v>
      </c>
      <c r="H1523" t="s">
        <v>455</v>
      </c>
      <c r="I1523" t="s">
        <v>429</v>
      </c>
      <c r="J1523" t="s">
        <v>424</v>
      </c>
    </row>
    <row r="1524" spans="1:10" ht="15" customHeight="1" x14ac:dyDescent="0.25">
      <c r="A1524" s="82">
        <v>43799</v>
      </c>
      <c r="B1524" t="s">
        <v>430</v>
      </c>
      <c r="C1524" t="s">
        <v>426</v>
      </c>
      <c r="D1524" t="s">
        <v>425</v>
      </c>
      <c r="E1524" t="s">
        <v>421</v>
      </c>
      <c r="F1524" t="s">
        <v>427</v>
      </c>
      <c r="G1524" t="s">
        <v>455</v>
      </c>
      <c r="H1524" t="s">
        <v>428</v>
      </c>
      <c r="I1524" t="s">
        <v>429</v>
      </c>
      <c r="J1524" t="s">
        <v>424</v>
      </c>
    </row>
    <row r="1525" spans="1:10" ht="15" customHeight="1" x14ac:dyDescent="0.25">
      <c r="A1525" s="82">
        <v>43800</v>
      </c>
      <c r="B1525" t="s">
        <v>430</v>
      </c>
      <c r="C1525" t="s">
        <v>426</v>
      </c>
      <c r="D1525" t="s">
        <v>425</v>
      </c>
      <c r="E1525" t="s">
        <v>421</v>
      </c>
      <c r="F1525" t="s">
        <v>455</v>
      </c>
      <c r="G1525" t="s">
        <v>427</v>
      </c>
      <c r="H1525" t="s">
        <v>428</v>
      </c>
      <c r="I1525" t="s">
        <v>429</v>
      </c>
      <c r="J1525" t="s">
        <v>424</v>
      </c>
    </row>
    <row r="1526" spans="1:10" ht="15" customHeight="1" x14ac:dyDescent="0.25">
      <c r="A1526" s="82">
        <v>43801</v>
      </c>
      <c r="B1526" t="s">
        <v>430</v>
      </c>
      <c r="C1526" t="s">
        <v>426</v>
      </c>
      <c r="D1526" t="s">
        <v>425</v>
      </c>
      <c r="E1526" t="s">
        <v>427</v>
      </c>
      <c r="F1526" t="s">
        <v>421</v>
      </c>
      <c r="G1526" t="s">
        <v>455</v>
      </c>
      <c r="H1526" t="s">
        <v>428</v>
      </c>
      <c r="I1526" t="s">
        <v>429</v>
      </c>
      <c r="J1526" t="s">
        <v>424</v>
      </c>
    </row>
    <row r="1527" spans="1:10" ht="15" customHeight="1" x14ac:dyDescent="0.25">
      <c r="A1527" s="82">
        <v>43802</v>
      </c>
      <c r="B1527" t="s">
        <v>430</v>
      </c>
      <c r="C1527" t="s">
        <v>426</v>
      </c>
      <c r="D1527" t="s">
        <v>425</v>
      </c>
      <c r="E1527" t="s">
        <v>455</v>
      </c>
      <c r="F1527" t="s">
        <v>427</v>
      </c>
      <c r="G1527" t="s">
        <v>421</v>
      </c>
      <c r="H1527" t="s">
        <v>428</v>
      </c>
      <c r="I1527" t="s">
        <v>429</v>
      </c>
      <c r="J1527" t="s">
        <v>424</v>
      </c>
    </row>
    <row r="1528" spans="1:10" ht="15" customHeight="1" x14ac:dyDescent="0.25">
      <c r="A1528" s="82">
        <v>43803</v>
      </c>
      <c r="B1528" t="s">
        <v>430</v>
      </c>
      <c r="C1528" t="s">
        <v>426</v>
      </c>
      <c r="D1528" t="s">
        <v>425</v>
      </c>
      <c r="E1528" t="s">
        <v>427</v>
      </c>
      <c r="F1528" t="s">
        <v>455</v>
      </c>
      <c r="G1528" t="s">
        <v>421</v>
      </c>
      <c r="H1528" t="s">
        <v>428</v>
      </c>
      <c r="I1528" t="s">
        <v>429</v>
      </c>
      <c r="J1528" t="s">
        <v>424</v>
      </c>
    </row>
    <row r="1529" spans="1:10" ht="15" customHeight="1" x14ac:dyDescent="0.25">
      <c r="A1529" s="82">
        <v>43804</v>
      </c>
      <c r="B1529" t="s">
        <v>430</v>
      </c>
      <c r="C1529" t="s">
        <v>426</v>
      </c>
      <c r="D1529" t="s">
        <v>425</v>
      </c>
      <c r="E1529" t="s">
        <v>455</v>
      </c>
      <c r="F1529" t="s">
        <v>421</v>
      </c>
      <c r="G1529" t="s">
        <v>427</v>
      </c>
      <c r="H1529" t="s">
        <v>428</v>
      </c>
      <c r="I1529" t="s">
        <v>429</v>
      </c>
      <c r="J1529" t="s">
        <v>424</v>
      </c>
    </row>
    <row r="1530" spans="1:10" ht="15" customHeight="1" x14ac:dyDescent="0.25">
      <c r="A1530" s="82">
        <v>43805</v>
      </c>
      <c r="B1530" t="s">
        <v>421</v>
      </c>
      <c r="C1530" t="s">
        <v>427</v>
      </c>
      <c r="D1530" t="s">
        <v>425</v>
      </c>
      <c r="E1530" t="s">
        <v>424</v>
      </c>
      <c r="F1530" t="s">
        <v>429</v>
      </c>
      <c r="G1530" t="s">
        <v>455</v>
      </c>
      <c r="H1530" t="s">
        <v>425</v>
      </c>
      <c r="I1530" t="s">
        <v>426</v>
      </c>
      <c r="J1530" t="s">
        <v>424</v>
      </c>
    </row>
    <row r="1531" spans="1:10" ht="15" customHeight="1" x14ac:dyDescent="0.25">
      <c r="A1531" s="82">
        <v>43806</v>
      </c>
      <c r="B1531" t="s">
        <v>427</v>
      </c>
      <c r="C1531" t="s">
        <v>455</v>
      </c>
      <c r="D1531" t="s">
        <v>421</v>
      </c>
      <c r="E1531" t="s">
        <v>424</v>
      </c>
      <c r="F1531" t="s">
        <v>429</v>
      </c>
      <c r="G1531" t="s">
        <v>428</v>
      </c>
      <c r="H1531" t="s">
        <v>425</v>
      </c>
      <c r="I1531" t="s">
        <v>426</v>
      </c>
      <c r="J1531" t="s">
        <v>430</v>
      </c>
    </row>
    <row r="1532" spans="1:10" ht="15" customHeight="1" x14ac:dyDescent="0.25">
      <c r="A1532" s="82">
        <v>43807</v>
      </c>
      <c r="B1532" t="s">
        <v>455</v>
      </c>
      <c r="C1532" t="s">
        <v>427</v>
      </c>
      <c r="D1532" t="s">
        <v>421</v>
      </c>
      <c r="E1532" t="s">
        <v>424</v>
      </c>
      <c r="F1532" t="s">
        <v>429</v>
      </c>
      <c r="G1532" t="s">
        <v>428</v>
      </c>
      <c r="H1532" t="s">
        <v>425</v>
      </c>
      <c r="I1532" t="s">
        <v>426</v>
      </c>
      <c r="J1532" t="s">
        <v>430</v>
      </c>
    </row>
    <row r="1533" spans="1:10" ht="15" customHeight="1" x14ac:dyDescent="0.25">
      <c r="A1533" s="82">
        <v>43808</v>
      </c>
      <c r="B1533" t="s">
        <v>421</v>
      </c>
      <c r="C1533" t="s">
        <v>455</v>
      </c>
      <c r="D1533" t="s">
        <v>427</v>
      </c>
      <c r="E1533" t="s">
        <v>424</v>
      </c>
      <c r="F1533" t="s">
        <v>429</v>
      </c>
      <c r="G1533" t="s">
        <v>428</v>
      </c>
      <c r="H1533" t="s">
        <v>425</v>
      </c>
      <c r="I1533" t="s">
        <v>426</v>
      </c>
      <c r="J1533" t="s">
        <v>430</v>
      </c>
    </row>
    <row r="1534" spans="1:10" ht="15" customHeight="1" x14ac:dyDescent="0.25">
      <c r="A1534" s="82">
        <v>43809</v>
      </c>
      <c r="B1534" t="s">
        <v>427</v>
      </c>
      <c r="C1534" t="s">
        <v>421</v>
      </c>
      <c r="D1534" t="s">
        <v>455</v>
      </c>
      <c r="E1534" t="s">
        <v>424</v>
      </c>
      <c r="F1534" t="s">
        <v>429</v>
      </c>
      <c r="G1534" t="s">
        <v>428</v>
      </c>
      <c r="H1534" t="s">
        <v>425</v>
      </c>
      <c r="I1534" t="s">
        <v>426</v>
      </c>
      <c r="J1534" t="s">
        <v>430</v>
      </c>
    </row>
    <row r="1535" spans="1:10" ht="15" customHeight="1" x14ac:dyDescent="0.25">
      <c r="A1535" s="82">
        <v>43810</v>
      </c>
      <c r="B1535" t="s">
        <v>455</v>
      </c>
      <c r="C1535" t="s">
        <v>421</v>
      </c>
      <c r="D1535" t="s">
        <v>427</v>
      </c>
      <c r="E1535" t="s">
        <v>424</v>
      </c>
      <c r="F1535" t="s">
        <v>429</v>
      </c>
      <c r="G1535" t="s">
        <v>428</v>
      </c>
      <c r="H1535" t="s">
        <v>425</v>
      </c>
      <c r="I1535" t="s">
        <v>426</v>
      </c>
      <c r="J1535" t="s">
        <v>430</v>
      </c>
    </row>
    <row r="1536" spans="1:10" ht="15" customHeight="1" x14ac:dyDescent="0.25">
      <c r="A1536" s="82">
        <v>43811</v>
      </c>
      <c r="B1536" t="s">
        <v>421</v>
      </c>
      <c r="C1536" t="s">
        <v>427</v>
      </c>
      <c r="D1536" t="s">
        <v>455</v>
      </c>
      <c r="E1536" t="s">
        <v>424</v>
      </c>
      <c r="F1536" t="s">
        <v>429</v>
      </c>
      <c r="G1536" t="s">
        <v>428</v>
      </c>
      <c r="H1536" t="s">
        <v>425</v>
      </c>
      <c r="I1536" t="s">
        <v>426</v>
      </c>
      <c r="J1536" t="s">
        <v>430</v>
      </c>
    </row>
    <row r="1537" spans="1:10" ht="15" customHeight="1" x14ac:dyDescent="0.25">
      <c r="A1537" s="82">
        <v>43812</v>
      </c>
      <c r="B1537" t="s">
        <v>429</v>
      </c>
      <c r="C1537" t="s">
        <v>455</v>
      </c>
      <c r="D1537" t="s">
        <v>424</v>
      </c>
      <c r="E1537" t="s">
        <v>424</v>
      </c>
      <c r="F1537" t="s">
        <v>426</v>
      </c>
      <c r="G1537" t="s">
        <v>425</v>
      </c>
      <c r="H1537" t="s">
        <v>425</v>
      </c>
      <c r="I1537" t="s">
        <v>427</v>
      </c>
      <c r="J1537" t="s">
        <v>421</v>
      </c>
    </row>
    <row r="1538" spans="1:10" ht="15" customHeight="1" x14ac:dyDescent="0.25">
      <c r="A1538" s="82">
        <v>43813</v>
      </c>
      <c r="B1538" t="s">
        <v>429</v>
      </c>
      <c r="C1538" t="s">
        <v>428</v>
      </c>
      <c r="D1538" t="s">
        <v>424</v>
      </c>
      <c r="E1538" t="s">
        <v>430</v>
      </c>
      <c r="F1538" t="s">
        <v>426</v>
      </c>
      <c r="G1538" t="s">
        <v>425</v>
      </c>
      <c r="H1538" t="s">
        <v>421</v>
      </c>
      <c r="I1538" t="s">
        <v>455</v>
      </c>
      <c r="J1538" t="s">
        <v>427</v>
      </c>
    </row>
    <row r="1539" spans="1:10" ht="15" customHeight="1" x14ac:dyDescent="0.25">
      <c r="A1539" s="82">
        <v>43814</v>
      </c>
      <c r="B1539" t="s">
        <v>429</v>
      </c>
      <c r="C1539" t="s">
        <v>428</v>
      </c>
      <c r="D1539" t="s">
        <v>424</v>
      </c>
      <c r="E1539" t="s">
        <v>430</v>
      </c>
      <c r="F1539" t="s">
        <v>426</v>
      </c>
      <c r="G1539" t="s">
        <v>425</v>
      </c>
      <c r="H1539" t="s">
        <v>421</v>
      </c>
      <c r="I1539" t="s">
        <v>427</v>
      </c>
      <c r="J1539" t="s">
        <v>455</v>
      </c>
    </row>
    <row r="1540" spans="1:10" ht="15" customHeight="1" x14ac:dyDescent="0.25">
      <c r="A1540" s="82">
        <v>43815</v>
      </c>
      <c r="B1540" t="s">
        <v>429</v>
      </c>
      <c r="C1540" t="s">
        <v>428</v>
      </c>
      <c r="D1540" t="s">
        <v>424</v>
      </c>
      <c r="E1540" t="s">
        <v>430</v>
      </c>
      <c r="F1540" t="s">
        <v>426</v>
      </c>
      <c r="G1540" t="s">
        <v>425</v>
      </c>
      <c r="H1540" t="s">
        <v>427</v>
      </c>
      <c r="I1540" t="s">
        <v>455</v>
      </c>
      <c r="J1540" t="s">
        <v>421</v>
      </c>
    </row>
    <row r="1541" spans="1:10" ht="15" customHeight="1" x14ac:dyDescent="0.25">
      <c r="A1541" s="82">
        <v>43816</v>
      </c>
      <c r="B1541" t="s">
        <v>429</v>
      </c>
      <c r="C1541" t="s">
        <v>428</v>
      </c>
      <c r="D1541" t="s">
        <v>424</v>
      </c>
      <c r="E1541" t="s">
        <v>430</v>
      </c>
      <c r="F1541" t="s">
        <v>426</v>
      </c>
      <c r="G1541" t="s">
        <v>425</v>
      </c>
      <c r="H1541" t="s">
        <v>455</v>
      </c>
      <c r="I1541" t="s">
        <v>421</v>
      </c>
      <c r="J1541" t="s">
        <v>427</v>
      </c>
    </row>
    <row r="1542" spans="1:10" ht="15" customHeight="1" x14ac:dyDescent="0.25">
      <c r="A1542" s="82">
        <v>43817</v>
      </c>
      <c r="B1542" t="s">
        <v>429</v>
      </c>
      <c r="C1542" t="s">
        <v>428</v>
      </c>
      <c r="D1542" t="s">
        <v>424</v>
      </c>
      <c r="E1542" t="s">
        <v>430</v>
      </c>
      <c r="F1542" t="s">
        <v>426</v>
      </c>
      <c r="G1542" t="s">
        <v>425</v>
      </c>
      <c r="H1542" t="s">
        <v>427</v>
      </c>
      <c r="I1542" t="s">
        <v>421</v>
      </c>
      <c r="J1542" t="s">
        <v>455</v>
      </c>
    </row>
    <row r="1543" spans="1:10" ht="15" customHeight="1" x14ac:dyDescent="0.25">
      <c r="A1543" s="82">
        <v>43818</v>
      </c>
      <c r="B1543" t="s">
        <v>429</v>
      </c>
      <c r="C1543" t="s">
        <v>428</v>
      </c>
      <c r="D1543" t="s">
        <v>424</v>
      </c>
      <c r="E1543" t="s">
        <v>430</v>
      </c>
      <c r="F1543" t="s">
        <v>426</v>
      </c>
      <c r="G1543" t="s">
        <v>425</v>
      </c>
      <c r="H1543" t="s">
        <v>455</v>
      </c>
      <c r="I1543" t="s">
        <v>427</v>
      </c>
      <c r="J1543" t="s">
        <v>421</v>
      </c>
    </row>
    <row r="1544" spans="1:10" ht="15" customHeight="1" x14ac:dyDescent="0.25">
      <c r="A1544" s="82">
        <v>43819</v>
      </c>
      <c r="B1544" t="s">
        <v>426</v>
      </c>
      <c r="C1544" t="s">
        <v>425</v>
      </c>
      <c r="D1544" t="s">
        <v>430</v>
      </c>
      <c r="E1544" t="s">
        <v>421</v>
      </c>
      <c r="F1544" t="s">
        <v>427</v>
      </c>
      <c r="G1544" t="s">
        <v>425</v>
      </c>
      <c r="H1544" t="s">
        <v>424</v>
      </c>
      <c r="I1544" t="s">
        <v>455</v>
      </c>
      <c r="J1544" t="s">
        <v>429</v>
      </c>
    </row>
    <row r="1545" spans="1:10" ht="15" customHeight="1" x14ac:dyDescent="0.25">
      <c r="A1545" s="82">
        <v>43820</v>
      </c>
      <c r="B1545" t="s">
        <v>426</v>
      </c>
      <c r="C1545" t="s">
        <v>425</v>
      </c>
      <c r="D1545" t="s">
        <v>430</v>
      </c>
      <c r="E1545" t="s">
        <v>427</v>
      </c>
      <c r="F1545" t="s">
        <v>455</v>
      </c>
      <c r="G1545" t="s">
        <v>421</v>
      </c>
      <c r="H1545" t="s">
        <v>424</v>
      </c>
      <c r="I1545" t="s">
        <v>428</v>
      </c>
      <c r="J1545" t="s">
        <v>429</v>
      </c>
    </row>
    <row r="1546" spans="1:10" ht="15" customHeight="1" x14ac:dyDescent="0.25">
      <c r="A1546" s="82">
        <v>43821</v>
      </c>
      <c r="B1546" t="s">
        <v>426</v>
      </c>
      <c r="C1546" t="s">
        <v>425</v>
      </c>
      <c r="D1546" t="s">
        <v>430</v>
      </c>
      <c r="E1546" t="s">
        <v>455</v>
      </c>
      <c r="F1546" t="s">
        <v>427</v>
      </c>
      <c r="G1546" t="s">
        <v>421</v>
      </c>
      <c r="H1546" t="s">
        <v>424</v>
      </c>
      <c r="I1546" t="s">
        <v>428</v>
      </c>
      <c r="J1546" t="s">
        <v>429</v>
      </c>
    </row>
    <row r="1547" spans="1:10" ht="15" customHeight="1" x14ac:dyDescent="0.25">
      <c r="A1547" s="82">
        <v>43822</v>
      </c>
      <c r="B1547" t="s">
        <v>426</v>
      </c>
      <c r="C1547" t="s">
        <v>425</v>
      </c>
      <c r="D1547" t="s">
        <v>430</v>
      </c>
      <c r="E1547" t="s">
        <v>421</v>
      </c>
      <c r="F1547" t="s">
        <v>455</v>
      </c>
      <c r="G1547" t="s">
        <v>427</v>
      </c>
      <c r="H1547" t="s">
        <v>424</v>
      </c>
      <c r="I1547" t="s">
        <v>428</v>
      </c>
      <c r="J1547" t="s">
        <v>429</v>
      </c>
    </row>
    <row r="1548" spans="1:10" ht="15" customHeight="1" x14ac:dyDescent="0.25">
      <c r="A1548" s="82">
        <v>43823</v>
      </c>
      <c r="B1548" t="s">
        <v>426</v>
      </c>
      <c r="C1548" t="s">
        <v>425</v>
      </c>
      <c r="D1548" t="s">
        <v>430</v>
      </c>
      <c r="E1548" t="s">
        <v>427</v>
      </c>
      <c r="F1548" t="s">
        <v>421</v>
      </c>
      <c r="G1548" t="s">
        <v>455</v>
      </c>
      <c r="H1548" t="s">
        <v>424</v>
      </c>
      <c r="I1548" t="s">
        <v>428</v>
      </c>
      <c r="J1548" t="s">
        <v>429</v>
      </c>
    </row>
    <row r="1549" spans="1:10" ht="15" customHeight="1" x14ac:dyDescent="0.25">
      <c r="A1549" s="82">
        <v>43824</v>
      </c>
      <c r="B1549" t="s">
        <v>426</v>
      </c>
      <c r="C1549" t="s">
        <v>425</v>
      </c>
      <c r="D1549" t="s">
        <v>430</v>
      </c>
      <c r="E1549" t="s">
        <v>455</v>
      </c>
      <c r="F1549" t="s">
        <v>421</v>
      </c>
      <c r="G1549" t="s">
        <v>427</v>
      </c>
      <c r="H1549" t="s">
        <v>424</v>
      </c>
      <c r="I1549" t="s">
        <v>428</v>
      </c>
      <c r="J1549" t="s">
        <v>429</v>
      </c>
    </row>
    <row r="1550" spans="1:10" ht="15" customHeight="1" x14ac:dyDescent="0.25">
      <c r="A1550" s="82">
        <v>43825</v>
      </c>
      <c r="B1550" t="s">
        <v>426</v>
      </c>
      <c r="C1550" t="s">
        <v>425</v>
      </c>
      <c r="D1550" t="s">
        <v>430</v>
      </c>
      <c r="E1550" t="s">
        <v>421</v>
      </c>
      <c r="F1550" t="s">
        <v>427</v>
      </c>
      <c r="G1550" t="s">
        <v>455</v>
      </c>
      <c r="H1550" t="s">
        <v>424</v>
      </c>
      <c r="I1550" t="s">
        <v>428</v>
      </c>
      <c r="J1550" t="s">
        <v>429</v>
      </c>
    </row>
    <row r="1551" spans="1:10" ht="15" customHeight="1" x14ac:dyDescent="0.25">
      <c r="A1551" s="82">
        <v>43826</v>
      </c>
      <c r="B1551" t="s">
        <v>427</v>
      </c>
      <c r="C1551" t="s">
        <v>425</v>
      </c>
      <c r="D1551" t="s">
        <v>421</v>
      </c>
      <c r="E1551" t="s">
        <v>429</v>
      </c>
      <c r="F1551" t="s">
        <v>455</v>
      </c>
      <c r="G1551" t="s">
        <v>424</v>
      </c>
      <c r="H1551" t="s">
        <v>430</v>
      </c>
      <c r="I1551" t="s">
        <v>425</v>
      </c>
      <c r="J1551" t="s">
        <v>426</v>
      </c>
    </row>
    <row r="1552" spans="1:10" ht="15" customHeight="1" x14ac:dyDescent="0.25">
      <c r="A1552" s="82">
        <v>43827</v>
      </c>
      <c r="B1552" t="s">
        <v>455</v>
      </c>
      <c r="C1552" t="s">
        <v>430</v>
      </c>
      <c r="D1552" t="s">
        <v>427</v>
      </c>
      <c r="E1552" t="s">
        <v>429</v>
      </c>
      <c r="F1552" t="s">
        <v>428</v>
      </c>
      <c r="G1552" t="s">
        <v>424</v>
      </c>
      <c r="H1552" t="s">
        <v>421</v>
      </c>
      <c r="I1552" t="s">
        <v>425</v>
      </c>
      <c r="J1552" t="s">
        <v>426</v>
      </c>
    </row>
    <row r="1553" spans="1:10" ht="15" customHeight="1" x14ac:dyDescent="0.25">
      <c r="A1553" s="82">
        <v>43828</v>
      </c>
      <c r="B1553" t="s">
        <v>427</v>
      </c>
      <c r="C1553" t="s">
        <v>430</v>
      </c>
      <c r="D1553" t="s">
        <v>455</v>
      </c>
      <c r="E1553" t="s">
        <v>429</v>
      </c>
      <c r="F1553" t="s">
        <v>428</v>
      </c>
      <c r="G1553" t="s">
        <v>424</v>
      </c>
      <c r="H1553" t="s">
        <v>421</v>
      </c>
      <c r="I1553" t="s">
        <v>425</v>
      </c>
      <c r="J1553" t="s">
        <v>426</v>
      </c>
    </row>
    <row r="1554" spans="1:10" ht="15" customHeight="1" x14ac:dyDescent="0.25">
      <c r="A1554" s="82">
        <v>43829</v>
      </c>
      <c r="B1554" t="s">
        <v>455</v>
      </c>
      <c r="C1554" t="s">
        <v>430</v>
      </c>
      <c r="D1554" t="s">
        <v>421</v>
      </c>
      <c r="E1554" t="s">
        <v>429</v>
      </c>
      <c r="F1554" t="s">
        <v>428</v>
      </c>
      <c r="G1554" t="s">
        <v>424</v>
      </c>
      <c r="H1554" t="s">
        <v>427</v>
      </c>
      <c r="I1554" t="s">
        <v>425</v>
      </c>
      <c r="J1554" t="s">
        <v>426</v>
      </c>
    </row>
    <row r="1555" spans="1:10" ht="15" customHeight="1" x14ac:dyDescent="0.25">
      <c r="A1555" s="82">
        <v>43830</v>
      </c>
      <c r="B1555" t="s">
        <v>421</v>
      </c>
      <c r="C1555" t="s">
        <v>430</v>
      </c>
      <c r="D1555" t="s">
        <v>427</v>
      </c>
      <c r="E1555" t="s">
        <v>429</v>
      </c>
      <c r="F1555" t="s">
        <v>428</v>
      </c>
      <c r="G1555" t="s">
        <v>424</v>
      </c>
      <c r="H1555" t="s">
        <v>455</v>
      </c>
      <c r="I1555" t="s">
        <v>425</v>
      </c>
      <c r="J1555" t="s">
        <v>426</v>
      </c>
    </row>
    <row r="1556" spans="1:10" ht="15" customHeight="1" x14ac:dyDescent="0.25">
      <c r="A1556" s="82">
        <v>43831</v>
      </c>
      <c r="B1556" t="s">
        <v>421</v>
      </c>
      <c r="C1556" t="s">
        <v>430</v>
      </c>
      <c r="D1556" t="s">
        <v>455</v>
      </c>
      <c r="E1556" t="s">
        <v>429</v>
      </c>
      <c r="F1556" t="s">
        <v>428</v>
      </c>
      <c r="G1556" t="s">
        <v>424</v>
      </c>
      <c r="H1556" t="s">
        <v>427</v>
      </c>
      <c r="I1556" t="s">
        <v>425</v>
      </c>
      <c r="J1556" t="s">
        <v>426</v>
      </c>
    </row>
    <row r="1557" spans="1:10" ht="15" customHeight="1" x14ac:dyDescent="0.25">
      <c r="A1557" s="82">
        <v>43832</v>
      </c>
      <c r="B1557" t="s">
        <v>427</v>
      </c>
      <c r="C1557" t="s">
        <v>430</v>
      </c>
      <c r="D1557" t="s">
        <v>421</v>
      </c>
      <c r="E1557" t="s">
        <v>429</v>
      </c>
      <c r="F1557" t="s">
        <v>428</v>
      </c>
      <c r="G1557" t="s">
        <v>424</v>
      </c>
      <c r="H1557" t="s">
        <v>455</v>
      </c>
      <c r="I1557" t="s">
        <v>425</v>
      </c>
      <c r="J1557" t="s">
        <v>426</v>
      </c>
    </row>
    <row r="1558" spans="1:10" ht="15" customHeight="1" x14ac:dyDescent="0.25">
      <c r="A1558" s="82">
        <v>43833</v>
      </c>
      <c r="B1558" t="s">
        <v>455</v>
      </c>
      <c r="C1558" t="s">
        <v>424</v>
      </c>
      <c r="D1558" t="s">
        <v>429</v>
      </c>
      <c r="E1558" t="s">
        <v>426</v>
      </c>
      <c r="F1558" t="s">
        <v>425</v>
      </c>
      <c r="G1558" t="s">
        <v>430</v>
      </c>
      <c r="H1558" t="s">
        <v>421</v>
      </c>
      <c r="I1558" t="s">
        <v>425</v>
      </c>
      <c r="J1558" t="s">
        <v>427</v>
      </c>
    </row>
    <row r="1559" spans="1:10" ht="15" customHeight="1" x14ac:dyDescent="0.25">
      <c r="A1559" s="82">
        <v>43834</v>
      </c>
      <c r="B1559" t="s">
        <v>428</v>
      </c>
      <c r="C1559" t="s">
        <v>424</v>
      </c>
      <c r="D1559" t="s">
        <v>429</v>
      </c>
      <c r="E1559" t="s">
        <v>426</v>
      </c>
      <c r="F1559" t="s">
        <v>425</v>
      </c>
      <c r="G1559" t="s">
        <v>430</v>
      </c>
      <c r="H1559" t="s">
        <v>427</v>
      </c>
      <c r="I1559" t="s">
        <v>421</v>
      </c>
      <c r="J1559" t="s">
        <v>455</v>
      </c>
    </row>
    <row r="1560" spans="1:10" ht="15" customHeight="1" x14ac:dyDescent="0.25">
      <c r="A1560" s="82">
        <v>43835</v>
      </c>
      <c r="B1560" t="s">
        <v>428</v>
      </c>
      <c r="C1560" t="s">
        <v>424</v>
      </c>
      <c r="D1560" t="s">
        <v>429</v>
      </c>
      <c r="E1560" t="s">
        <v>426</v>
      </c>
      <c r="F1560" t="s">
        <v>425</v>
      </c>
      <c r="G1560" t="s">
        <v>430</v>
      </c>
      <c r="H1560" t="s">
        <v>455</v>
      </c>
      <c r="I1560" t="s">
        <v>421</v>
      </c>
      <c r="J1560" t="s">
        <v>427</v>
      </c>
    </row>
    <row r="1561" spans="1:10" ht="15" customHeight="1" x14ac:dyDescent="0.25">
      <c r="A1561" s="82">
        <v>43836</v>
      </c>
      <c r="B1561" t="s">
        <v>428</v>
      </c>
      <c r="C1561" t="s">
        <v>424</v>
      </c>
      <c r="D1561" t="s">
        <v>429</v>
      </c>
      <c r="E1561" t="s">
        <v>426</v>
      </c>
      <c r="F1561" t="s">
        <v>425</v>
      </c>
      <c r="G1561" t="s">
        <v>430</v>
      </c>
      <c r="H1561" t="s">
        <v>421</v>
      </c>
      <c r="I1561" t="s">
        <v>427</v>
      </c>
      <c r="J1561" t="s">
        <v>455</v>
      </c>
    </row>
    <row r="1562" spans="1:10" ht="15" customHeight="1" x14ac:dyDescent="0.25">
      <c r="A1562" s="82">
        <v>43837</v>
      </c>
      <c r="B1562" t="s">
        <v>428</v>
      </c>
      <c r="C1562" t="s">
        <v>424</v>
      </c>
      <c r="D1562" t="s">
        <v>429</v>
      </c>
      <c r="E1562" t="s">
        <v>426</v>
      </c>
      <c r="F1562" t="s">
        <v>425</v>
      </c>
      <c r="G1562" t="s">
        <v>430</v>
      </c>
      <c r="H1562" t="s">
        <v>427</v>
      </c>
      <c r="I1562" t="s">
        <v>455</v>
      </c>
      <c r="J1562" t="s">
        <v>421</v>
      </c>
    </row>
    <row r="1563" spans="1:10" ht="15" customHeight="1" x14ac:dyDescent="0.25">
      <c r="A1563" s="82">
        <v>43838</v>
      </c>
      <c r="B1563" t="s">
        <v>428</v>
      </c>
      <c r="C1563" t="s">
        <v>424</v>
      </c>
      <c r="D1563" t="s">
        <v>429</v>
      </c>
      <c r="E1563" t="s">
        <v>426</v>
      </c>
      <c r="F1563" t="s">
        <v>425</v>
      </c>
      <c r="G1563" t="s">
        <v>430</v>
      </c>
      <c r="H1563" t="s">
        <v>455</v>
      </c>
      <c r="I1563" t="s">
        <v>427</v>
      </c>
      <c r="J1563" t="s">
        <v>421</v>
      </c>
    </row>
    <row r="1564" spans="1:10" ht="15" customHeight="1" x14ac:dyDescent="0.25">
      <c r="A1564" s="82">
        <v>43839</v>
      </c>
      <c r="B1564" t="s">
        <v>428</v>
      </c>
      <c r="C1564" t="s">
        <v>424</v>
      </c>
      <c r="D1564" t="s">
        <v>429</v>
      </c>
      <c r="E1564" t="s">
        <v>426</v>
      </c>
      <c r="F1564" t="s">
        <v>425</v>
      </c>
      <c r="G1564" t="s">
        <v>430</v>
      </c>
      <c r="H1564" t="s">
        <v>429</v>
      </c>
      <c r="I1564" t="s">
        <v>455</v>
      </c>
      <c r="J1564" t="s">
        <v>427</v>
      </c>
    </row>
    <row r="1565" spans="1:10" ht="15" customHeight="1" x14ac:dyDescent="0.25">
      <c r="A1565" s="82">
        <v>43840</v>
      </c>
      <c r="B1565" t="s">
        <v>425</v>
      </c>
      <c r="C1565" t="s">
        <v>424</v>
      </c>
      <c r="D1565" t="s">
        <v>426</v>
      </c>
      <c r="E1565" t="s">
        <v>427</v>
      </c>
      <c r="F1565" t="s">
        <v>425</v>
      </c>
      <c r="G1565" t="s">
        <v>421</v>
      </c>
      <c r="H1565" t="s">
        <v>429</v>
      </c>
      <c r="I1565" t="s">
        <v>424</v>
      </c>
      <c r="J1565" t="s">
        <v>455</v>
      </c>
    </row>
    <row r="1566" spans="1:10" ht="15" customHeight="1" x14ac:dyDescent="0.25">
      <c r="A1566" s="82">
        <v>43841</v>
      </c>
      <c r="B1566" t="s">
        <v>425</v>
      </c>
      <c r="C1566" t="s">
        <v>430</v>
      </c>
      <c r="D1566" t="s">
        <v>426</v>
      </c>
      <c r="E1566" t="s">
        <v>455</v>
      </c>
      <c r="F1566" t="s">
        <v>421</v>
      </c>
      <c r="G1566" t="s">
        <v>427</v>
      </c>
      <c r="H1566" t="s">
        <v>429</v>
      </c>
      <c r="I1566" t="s">
        <v>424</v>
      </c>
      <c r="J1566" t="s">
        <v>428</v>
      </c>
    </row>
    <row r="1567" spans="1:10" ht="15" customHeight="1" x14ac:dyDescent="0.25">
      <c r="A1567" s="82">
        <v>43842</v>
      </c>
      <c r="B1567" t="s">
        <v>425</v>
      </c>
      <c r="C1567" t="s">
        <v>430</v>
      </c>
      <c r="D1567" t="s">
        <v>426</v>
      </c>
      <c r="E1567" t="s">
        <v>427</v>
      </c>
      <c r="F1567" t="s">
        <v>421</v>
      </c>
      <c r="G1567" t="s">
        <v>455</v>
      </c>
      <c r="H1567" t="s">
        <v>429</v>
      </c>
      <c r="I1567" t="s">
        <v>424</v>
      </c>
      <c r="J1567" t="s">
        <v>428</v>
      </c>
    </row>
    <row r="1568" spans="1:10" ht="15" customHeight="1" x14ac:dyDescent="0.25">
      <c r="A1568" s="82">
        <v>43843</v>
      </c>
      <c r="B1568" t="s">
        <v>425</v>
      </c>
      <c r="C1568" t="s">
        <v>430</v>
      </c>
      <c r="D1568" t="s">
        <v>426</v>
      </c>
      <c r="E1568" t="s">
        <v>455</v>
      </c>
      <c r="F1568" t="s">
        <v>427</v>
      </c>
      <c r="G1568" t="s">
        <v>421</v>
      </c>
      <c r="H1568" t="s">
        <v>429</v>
      </c>
      <c r="I1568" t="s">
        <v>424</v>
      </c>
      <c r="J1568" t="s">
        <v>428</v>
      </c>
    </row>
    <row r="1569" spans="1:10" ht="15" customHeight="1" x14ac:dyDescent="0.25">
      <c r="A1569" s="82">
        <v>43844</v>
      </c>
      <c r="B1569" t="s">
        <v>425</v>
      </c>
      <c r="C1569" t="s">
        <v>430</v>
      </c>
      <c r="D1569" t="s">
        <v>426</v>
      </c>
      <c r="E1569" t="s">
        <v>421</v>
      </c>
      <c r="F1569" t="s">
        <v>455</v>
      </c>
      <c r="G1569" t="s">
        <v>427</v>
      </c>
      <c r="H1569" t="s">
        <v>429</v>
      </c>
      <c r="I1569" t="s">
        <v>424</v>
      </c>
      <c r="J1569" t="s">
        <v>428</v>
      </c>
    </row>
    <row r="1570" spans="1:10" ht="15" customHeight="1" x14ac:dyDescent="0.25">
      <c r="A1570" s="82">
        <v>43845</v>
      </c>
      <c r="B1570" t="s">
        <v>425</v>
      </c>
      <c r="C1570" t="s">
        <v>430</v>
      </c>
      <c r="D1570" t="s">
        <v>426</v>
      </c>
      <c r="E1570" t="s">
        <v>421</v>
      </c>
      <c r="F1570" t="s">
        <v>427</v>
      </c>
      <c r="G1570" t="s">
        <v>455</v>
      </c>
      <c r="H1570" t="s">
        <v>429</v>
      </c>
      <c r="I1570" t="s">
        <v>424</v>
      </c>
      <c r="J1570" t="s">
        <v>428</v>
      </c>
    </row>
    <row r="1571" spans="1:10" ht="15" customHeight="1" x14ac:dyDescent="0.25">
      <c r="A1571" s="82">
        <v>43846</v>
      </c>
      <c r="B1571" t="s">
        <v>425</v>
      </c>
      <c r="C1571" t="s">
        <v>430</v>
      </c>
      <c r="D1571" t="s">
        <v>426</v>
      </c>
      <c r="E1571" t="s">
        <v>427</v>
      </c>
      <c r="F1571" t="s">
        <v>455</v>
      </c>
      <c r="G1571" t="s">
        <v>429</v>
      </c>
      <c r="H1571" t="s">
        <v>429</v>
      </c>
      <c r="I1571" t="s">
        <v>424</v>
      </c>
      <c r="J1571" t="s">
        <v>428</v>
      </c>
    </row>
    <row r="1572" spans="1:10" ht="15" customHeight="1" x14ac:dyDescent="0.25">
      <c r="A1572" s="82">
        <v>43847</v>
      </c>
      <c r="B1572" t="s">
        <v>425</v>
      </c>
      <c r="C1572" t="s">
        <v>421</v>
      </c>
      <c r="D1572" t="s">
        <v>427</v>
      </c>
      <c r="E1572" t="s">
        <v>455</v>
      </c>
      <c r="F1572" t="s">
        <v>424</v>
      </c>
      <c r="G1572" t="s">
        <v>429</v>
      </c>
      <c r="H1572" t="s">
        <v>426</v>
      </c>
      <c r="I1572" t="s">
        <v>424</v>
      </c>
      <c r="J1572" t="s">
        <v>425</v>
      </c>
    </row>
    <row r="1573" spans="1:10" ht="15" customHeight="1" x14ac:dyDescent="0.25">
      <c r="A1573" s="82">
        <v>43848</v>
      </c>
      <c r="B1573" t="s">
        <v>421</v>
      </c>
      <c r="C1573" t="s">
        <v>427</v>
      </c>
      <c r="D1573" t="s">
        <v>455</v>
      </c>
      <c r="E1573" t="s">
        <v>428</v>
      </c>
      <c r="F1573" t="s">
        <v>424</v>
      </c>
      <c r="G1573" t="s">
        <v>429</v>
      </c>
      <c r="H1573" t="s">
        <v>426</v>
      </c>
      <c r="I1573" t="s">
        <v>430</v>
      </c>
      <c r="J1573" t="s">
        <v>425</v>
      </c>
    </row>
    <row r="1574" spans="1:10" ht="15" customHeight="1" x14ac:dyDescent="0.25">
      <c r="A1574" s="82">
        <v>43849</v>
      </c>
      <c r="B1574" t="s">
        <v>421</v>
      </c>
      <c r="C1574" t="s">
        <v>455</v>
      </c>
      <c r="D1574" t="s">
        <v>427</v>
      </c>
      <c r="E1574" t="s">
        <v>428</v>
      </c>
      <c r="F1574" t="s">
        <v>424</v>
      </c>
      <c r="G1574" t="s">
        <v>429</v>
      </c>
      <c r="H1574" t="s">
        <v>426</v>
      </c>
      <c r="I1574" t="s">
        <v>430</v>
      </c>
      <c r="J1574" t="s">
        <v>425</v>
      </c>
    </row>
    <row r="1575" spans="1:10" ht="15" customHeight="1" x14ac:dyDescent="0.25">
      <c r="A1575" s="82">
        <v>43850</v>
      </c>
      <c r="B1575" t="s">
        <v>427</v>
      </c>
      <c r="C1575" t="s">
        <v>421</v>
      </c>
      <c r="D1575" t="s">
        <v>455</v>
      </c>
      <c r="E1575" t="s">
        <v>428</v>
      </c>
      <c r="F1575" t="s">
        <v>424</v>
      </c>
      <c r="G1575" t="s">
        <v>429</v>
      </c>
      <c r="H1575" t="s">
        <v>426</v>
      </c>
      <c r="I1575" t="s">
        <v>430</v>
      </c>
      <c r="J1575" t="s">
        <v>425</v>
      </c>
    </row>
    <row r="1576" spans="1:10" ht="15" customHeight="1" x14ac:dyDescent="0.25">
      <c r="A1576" s="82">
        <v>43851</v>
      </c>
      <c r="B1576" t="s">
        <v>455</v>
      </c>
      <c r="C1576" t="s">
        <v>427</v>
      </c>
      <c r="D1576" t="s">
        <v>421</v>
      </c>
      <c r="E1576" t="s">
        <v>428</v>
      </c>
      <c r="F1576" t="s">
        <v>424</v>
      </c>
      <c r="G1576" t="s">
        <v>429</v>
      </c>
      <c r="H1576" t="s">
        <v>426</v>
      </c>
      <c r="I1576" t="s">
        <v>430</v>
      </c>
      <c r="J1576" t="s">
        <v>425</v>
      </c>
    </row>
    <row r="1577" spans="1:10" ht="15" customHeight="1" x14ac:dyDescent="0.25">
      <c r="A1577" s="82">
        <v>43852</v>
      </c>
      <c r="B1577" t="s">
        <v>427</v>
      </c>
      <c r="C1577" t="s">
        <v>455</v>
      </c>
      <c r="D1577" t="s">
        <v>421</v>
      </c>
      <c r="E1577" t="s">
        <v>428</v>
      </c>
      <c r="F1577" t="s">
        <v>424</v>
      </c>
      <c r="G1577" t="s">
        <v>429</v>
      </c>
      <c r="H1577" t="s">
        <v>426</v>
      </c>
      <c r="I1577" t="s">
        <v>430</v>
      </c>
      <c r="J1577" t="s">
        <v>425</v>
      </c>
    </row>
    <row r="1578" spans="1:10" ht="15" customHeight="1" x14ac:dyDescent="0.25">
      <c r="A1578" s="82">
        <v>43853</v>
      </c>
      <c r="B1578" t="s">
        <v>455</v>
      </c>
      <c r="C1578" t="s">
        <v>429</v>
      </c>
      <c r="D1578" t="s">
        <v>427</v>
      </c>
      <c r="E1578" t="s">
        <v>428</v>
      </c>
      <c r="F1578" t="s">
        <v>424</v>
      </c>
      <c r="G1578" t="s">
        <v>429</v>
      </c>
      <c r="H1578" t="s">
        <v>426</v>
      </c>
      <c r="I1578" t="s">
        <v>430</v>
      </c>
      <c r="J1578" t="s">
        <v>425</v>
      </c>
    </row>
    <row r="1579" spans="1:10" ht="15" customHeight="1" x14ac:dyDescent="0.25">
      <c r="A1579" s="82">
        <v>43854</v>
      </c>
      <c r="B1579" t="s">
        <v>424</v>
      </c>
      <c r="C1579" t="s">
        <v>429</v>
      </c>
      <c r="D1579" t="s">
        <v>455</v>
      </c>
      <c r="E1579" t="s">
        <v>425</v>
      </c>
      <c r="F1579" t="s">
        <v>424</v>
      </c>
      <c r="G1579" t="s">
        <v>426</v>
      </c>
      <c r="H1579" t="s">
        <v>427</v>
      </c>
      <c r="I1579" t="s">
        <v>421</v>
      </c>
      <c r="J1579" t="s">
        <v>425</v>
      </c>
    </row>
    <row r="1580" spans="1:10" ht="15" customHeight="1" x14ac:dyDescent="0.25">
      <c r="A1580" s="82">
        <v>43855</v>
      </c>
      <c r="B1580" t="s">
        <v>424</v>
      </c>
      <c r="C1580" t="s">
        <v>429</v>
      </c>
      <c r="D1580" t="s">
        <v>428</v>
      </c>
      <c r="E1580" t="s">
        <v>425</v>
      </c>
      <c r="F1580" t="s">
        <v>430</v>
      </c>
      <c r="G1580" t="s">
        <v>426</v>
      </c>
      <c r="H1580" t="s">
        <v>455</v>
      </c>
      <c r="I1580" t="s">
        <v>427</v>
      </c>
      <c r="J1580" t="s">
        <v>421</v>
      </c>
    </row>
    <row r="1581" spans="1:10" ht="15" customHeight="1" x14ac:dyDescent="0.25">
      <c r="A1581" s="82">
        <v>43856</v>
      </c>
      <c r="B1581" t="s">
        <v>424</v>
      </c>
      <c r="C1581" t="s">
        <v>429</v>
      </c>
      <c r="D1581" t="s">
        <v>428</v>
      </c>
      <c r="E1581" t="s">
        <v>425</v>
      </c>
      <c r="F1581" t="s">
        <v>430</v>
      </c>
      <c r="G1581" t="s">
        <v>426</v>
      </c>
      <c r="H1581" t="s">
        <v>427</v>
      </c>
      <c r="I1581" t="s">
        <v>455</v>
      </c>
      <c r="J1581" t="s">
        <v>421</v>
      </c>
    </row>
    <row r="1582" spans="1:10" ht="15" customHeight="1" x14ac:dyDescent="0.25">
      <c r="A1582" s="82">
        <v>43857</v>
      </c>
      <c r="B1582" t="s">
        <v>424</v>
      </c>
      <c r="C1582" t="s">
        <v>429</v>
      </c>
      <c r="D1582" t="s">
        <v>428</v>
      </c>
      <c r="E1582" t="s">
        <v>425</v>
      </c>
      <c r="F1582" t="s">
        <v>430</v>
      </c>
      <c r="G1582" t="s">
        <v>426</v>
      </c>
      <c r="H1582" t="s">
        <v>455</v>
      </c>
      <c r="I1582" t="s">
        <v>421</v>
      </c>
      <c r="J1582" t="s">
        <v>427</v>
      </c>
    </row>
    <row r="1583" spans="1:10" ht="15" customHeight="1" x14ac:dyDescent="0.25">
      <c r="A1583" s="82">
        <v>43858</v>
      </c>
      <c r="B1583" t="s">
        <v>424</v>
      </c>
      <c r="C1583" t="s">
        <v>429</v>
      </c>
      <c r="D1583" t="s">
        <v>428</v>
      </c>
      <c r="E1583" t="s">
        <v>425</v>
      </c>
      <c r="F1583" t="s">
        <v>430</v>
      </c>
      <c r="G1583" t="s">
        <v>426</v>
      </c>
      <c r="H1583" t="s">
        <v>421</v>
      </c>
      <c r="I1583" t="s">
        <v>427</v>
      </c>
      <c r="J1583" t="s">
        <v>455</v>
      </c>
    </row>
    <row r="1584" spans="1:10" ht="15" customHeight="1" x14ac:dyDescent="0.25">
      <c r="A1584" s="82">
        <v>43859</v>
      </c>
      <c r="B1584" t="s">
        <v>424</v>
      </c>
      <c r="C1584" t="s">
        <v>429</v>
      </c>
      <c r="D1584" t="s">
        <v>428</v>
      </c>
      <c r="E1584" t="s">
        <v>425</v>
      </c>
      <c r="F1584" t="s">
        <v>430</v>
      </c>
      <c r="G1584" t="s">
        <v>426</v>
      </c>
      <c r="H1584" t="s">
        <v>421</v>
      </c>
      <c r="I1584" t="s">
        <v>455</v>
      </c>
      <c r="J1584" t="s">
        <v>427</v>
      </c>
    </row>
    <row r="1585" spans="1:10" ht="15" customHeight="1" x14ac:dyDescent="0.25">
      <c r="A1585" s="82">
        <v>43860</v>
      </c>
      <c r="B1585" t="s">
        <v>424</v>
      </c>
      <c r="C1585" t="s">
        <v>429</v>
      </c>
      <c r="D1585" t="s">
        <v>428</v>
      </c>
      <c r="E1585" t="s">
        <v>425</v>
      </c>
      <c r="F1585" t="s">
        <v>430</v>
      </c>
      <c r="G1585" t="s">
        <v>426</v>
      </c>
      <c r="H1585" t="s">
        <v>427</v>
      </c>
      <c r="I1585" t="s">
        <v>429</v>
      </c>
      <c r="J1585" t="s">
        <v>455</v>
      </c>
    </row>
    <row r="1586" spans="1:10" ht="15" customHeight="1" x14ac:dyDescent="0.25">
      <c r="A1586" s="82">
        <v>43861</v>
      </c>
      <c r="B1586" t="s">
        <v>424</v>
      </c>
      <c r="C1586" t="s">
        <v>426</v>
      </c>
      <c r="D1586" t="s">
        <v>425</v>
      </c>
      <c r="E1586" t="s">
        <v>425</v>
      </c>
      <c r="F1586" t="s">
        <v>421</v>
      </c>
      <c r="G1586" t="s">
        <v>427</v>
      </c>
      <c r="H1586" t="s">
        <v>455</v>
      </c>
      <c r="I1586" t="s">
        <v>429</v>
      </c>
      <c r="J1586" t="s">
        <v>424</v>
      </c>
    </row>
    <row r="1587" spans="1:10" ht="15" customHeight="1" x14ac:dyDescent="0.25">
      <c r="A1587" s="82">
        <v>43862</v>
      </c>
      <c r="B1587" t="s">
        <v>430</v>
      </c>
      <c r="C1587" t="s">
        <v>426</v>
      </c>
      <c r="D1587" t="s">
        <v>425</v>
      </c>
      <c r="E1587" t="s">
        <v>421</v>
      </c>
      <c r="F1587" t="s">
        <v>427</v>
      </c>
      <c r="G1587" t="s">
        <v>455</v>
      </c>
      <c r="H1587" t="s">
        <v>428</v>
      </c>
      <c r="I1587" t="s">
        <v>429</v>
      </c>
      <c r="J1587" t="s">
        <v>424</v>
      </c>
    </row>
    <row r="1588" spans="1:10" ht="15" customHeight="1" x14ac:dyDescent="0.25">
      <c r="A1588" s="82">
        <v>43863</v>
      </c>
      <c r="B1588" t="s">
        <v>430</v>
      </c>
      <c r="C1588" t="s">
        <v>426</v>
      </c>
      <c r="D1588" t="s">
        <v>425</v>
      </c>
      <c r="E1588" t="s">
        <v>421</v>
      </c>
      <c r="F1588" t="s">
        <v>455</v>
      </c>
      <c r="G1588" t="s">
        <v>427</v>
      </c>
      <c r="H1588" t="s">
        <v>428</v>
      </c>
      <c r="I1588" t="s">
        <v>429</v>
      </c>
      <c r="J1588" t="s">
        <v>424</v>
      </c>
    </row>
    <row r="1589" spans="1:10" ht="15" customHeight="1" x14ac:dyDescent="0.25">
      <c r="A1589" s="82">
        <v>43864</v>
      </c>
      <c r="B1589" t="s">
        <v>430</v>
      </c>
      <c r="C1589" t="s">
        <v>426</v>
      </c>
      <c r="D1589" t="s">
        <v>425</v>
      </c>
      <c r="E1589" t="s">
        <v>427</v>
      </c>
      <c r="F1589" t="s">
        <v>421</v>
      </c>
      <c r="G1589" t="s">
        <v>455</v>
      </c>
      <c r="H1589" t="s">
        <v>428</v>
      </c>
      <c r="I1589" t="s">
        <v>429</v>
      </c>
      <c r="J1589" t="s">
        <v>424</v>
      </c>
    </row>
    <row r="1590" spans="1:10" ht="15" customHeight="1" x14ac:dyDescent="0.25">
      <c r="A1590" s="82">
        <v>43865</v>
      </c>
      <c r="B1590" t="s">
        <v>430</v>
      </c>
      <c r="C1590" t="s">
        <v>426</v>
      </c>
      <c r="D1590" t="s">
        <v>425</v>
      </c>
      <c r="E1590" t="s">
        <v>455</v>
      </c>
      <c r="F1590" t="s">
        <v>427</v>
      </c>
      <c r="G1590" t="s">
        <v>421</v>
      </c>
      <c r="H1590" t="s">
        <v>428</v>
      </c>
      <c r="I1590" t="s">
        <v>429</v>
      </c>
      <c r="J1590" t="s">
        <v>424</v>
      </c>
    </row>
    <row r="1591" spans="1:10" ht="15" customHeight="1" x14ac:dyDescent="0.25">
      <c r="A1591" s="82">
        <v>43866</v>
      </c>
      <c r="B1591" t="s">
        <v>430</v>
      </c>
      <c r="C1591" t="s">
        <v>426</v>
      </c>
      <c r="D1591" t="s">
        <v>425</v>
      </c>
      <c r="E1591" t="s">
        <v>427</v>
      </c>
      <c r="F1591" t="s">
        <v>455</v>
      </c>
      <c r="G1591" t="s">
        <v>421</v>
      </c>
      <c r="H1591" t="s">
        <v>428</v>
      </c>
      <c r="I1591" t="s">
        <v>429</v>
      </c>
      <c r="J1591" t="s">
        <v>424</v>
      </c>
    </row>
    <row r="1592" spans="1:10" ht="15" customHeight="1" x14ac:dyDescent="0.25">
      <c r="A1592" s="82">
        <v>43867</v>
      </c>
      <c r="B1592" t="s">
        <v>430</v>
      </c>
      <c r="C1592" t="s">
        <v>426</v>
      </c>
      <c r="D1592" t="s">
        <v>425</v>
      </c>
      <c r="E1592" t="s">
        <v>455</v>
      </c>
      <c r="F1592" t="s">
        <v>429</v>
      </c>
      <c r="G1592" t="s">
        <v>427</v>
      </c>
      <c r="H1592" t="s">
        <v>428</v>
      </c>
      <c r="I1592" t="s">
        <v>429</v>
      </c>
      <c r="J1592" t="s">
        <v>424</v>
      </c>
    </row>
    <row r="1593" spans="1:10" ht="15" customHeight="1" x14ac:dyDescent="0.25">
      <c r="A1593" s="82">
        <v>43868</v>
      </c>
      <c r="B1593" t="s">
        <v>421</v>
      </c>
      <c r="C1593" t="s">
        <v>427</v>
      </c>
      <c r="D1593" t="s">
        <v>425</v>
      </c>
      <c r="E1593" t="s">
        <v>424</v>
      </c>
      <c r="F1593" t="s">
        <v>429</v>
      </c>
      <c r="G1593" t="s">
        <v>455</v>
      </c>
      <c r="H1593" t="s">
        <v>425</v>
      </c>
      <c r="I1593" t="s">
        <v>426</v>
      </c>
      <c r="J1593" t="s">
        <v>424</v>
      </c>
    </row>
    <row r="1594" spans="1:10" ht="15" customHeight="1" x14ac:dyDescent="0.25">
      <c r="A1594" s="82">
        <v>43869</v>
      </c>
      <c r="B1594" t="s">
        <v>427</v>
      </c>
      <c r="C1594" t="s">
        <v>455</v>
      </c>
      <c r="D1594" t="s">
        <v>421</v>
      </c>
      <c r="E1594" t="s">
        <v>424</v>
      </c>
      <c r="F1594" t="s">
        <v>429</v>
      </c>
      <c r="G1594" t="s">
        <v>428</v>
      </c>
      <c r="H1594" t="s">
        <v>425</v>
      </c>
      <c r="I1594" t="s">
        <v>426</v>
      </c>
      <c r="J1594" t="s">
        <v>430</v>
      </c>
    </row>
    <row r="1595" spans="1:10" ht="15" customHeight="1" x14ac:dyDescent="0.25">
      <c r="A1595" s="82">
        <v>43870</v>
      </c>
      <c r="B1595" t="s">
        <v>455</v>
      </c>
      <c r="C1595" t="s">
        <v>427</v>
      </c>
      <c r="D1595" t="s">
        <v>421</v>
      </c>
      <c r="E1595" t="s">
        <v>424</v>
      </c>
      <c r="F1595" t="s">
        <v>429</v>
      </c>
      <c r="G1595" t="s">
        <v>428</v>
      </c>
      <c r="H1595" t="s">
        <v>425</v>
      </c>
      <c r="I1595" t="s">
        <v>426</v>
      </c>
      <c r="J1595" t="s">
        <v>430</v>
      </c>
    </row>
    <row r="1596" spans="1:10" ht="15" customHeight="1" x14ac:dyDescent="0.25">
      <c r="A1596" s="82">
        <v>43871</v>
      </c>
      <c r="B1596" t="s">
        <v>421</v>
      </c>
      <c r="C1596" t="s">
        <v>455</v>
      </c>
      <c r="D1596" t="s">
        <v>427</v>
      </c>
      <c r="E1596" t="s">
        <v>424</v>
      </c>
      <c r="F1596" t="s">
        <v>429</v>
      </c>
      <c r="G1596" t="s">
        <v>428</v>
      </c>
      <c r="H1596" t="s">
        <v>425</v>
      </c>
      <c r="I1596" t="s">
        <v>426</v>
      </c>
      <c r="J1596" t="s">
        <v>430</v>
      </c>
    </row>
    <row r="1597" spans="1:10" ht="15" customHeight="1" x14ac:dyDescent="0.25">
      <c r="A1597" s="82">
        <v>43872</v>
      </c>
      <c r="B1597" t="s">
        <v>427</v>
      </c>
      <c r="C1597" t="s">
        <v>421</v>
      </c>
      <c r="D1597" t="s">
        <v>455</v>
      </c>
      <c r="E1597" t="s">
        <v>424</v>
      </c>
      <c r="F1597" t="s">
        <v>429</v>
      </c>
      <c r="G1597" t="s">
        <v>428</v>
      </c>
      <c r="H1597" t="s">
        <v>425</v>
      </c>
      <c r="I1597" t="s">
        <v>426</v>
      </c>
      <c r="J1597" t="s">
        <v>430</v>
      </c>
    </row>
    <row r="1598" spans="1:10" ht="15" customHeight="1" x14ac:dyDescent="0.25">
      <c r="A1598" s="82">
        <v>43873</v>
      </c>
      <c r="B1598" t="s">
        <v>455</v>
      </c>
      <c r="C1598" t="s">
        <v>421</v>
      </c>
      <c r="D1598" t="s">
        <v>427</v>
      </c>
      <c r="E1598" t="s">
        <v>424</v>
      </c>
      <c r="F1598" t="s">
        <v>429</v>
      </c>
      <c r="G1598" t="s">
        <v>428</v>
      </c>
      <c r="H1598" t="s">
        <v>425</v>
      </c>
      <c r="I1598" t="s">
        <v>426</v>
      </c>
      <c r="J1598" t="s">
        <v>430</v>
      </c>
    </row>
    <row r="1599" spans="1:10" ht="15" customHeight="1" x14ac:dyDescent="0.25">
      <c r="A1599" s="82">
        <v>43874</v>
      </c>
      <c r="B1599" t="s">
        <v>429</v>
      </c>
      <c r="C1599" t="s">
        <v>427</v>
      </c>
      <c r="D1599" t="s">
        <v>455</v>
      </c>
      <c r="E1599" t="s">
        <v>424</v>
      </c>
      <c r="F1599" t="s">
        <v>429</v>
      </c>
      <c r="G1599" t="s">
        <v>428</v>
      </c>
      <c r="H1599" t="s">
        <v>425</v>
      </c>
      <c r="I1599" t="s">
        <v>426</v>
      </c>
      <c r="J1599" t="s">
        <v>430</v>
      </c>
    </row>
    <row r="1600" spans="1:10" ht="15" customHeight="1" x14ac:dyDescent="0.25">
      <c r="A1600" s="82">
        <v>43875</v>
      </c>
      <c r="B1600" t="s">
        <v>429</v>
      </c>
      <c r="C1600" t="s">
        <v>455</v>
      </c>
      <c r="D1600" t="s">
        <v>424</v>
      </c>
      <c r="E1600" t="s">
        <v>424</v>
      </c>
      <c r="F1600" t="s">
        <v>426</v>
      </c>
      <c r="G1600" t="s">
        <v>425</v>
      </c>
      <c r="H1600" t="s">
        <v>425</v>
      </c>
      <c r="I1600" t="s">
        <v>427</v>
      </c>
      <c r="J1600" t="s">
        <v>421</v>
      </c>
    </row>
    <row r="1601" spans="1:10" ht="15" customHeight="1" x14ac:dyDescent="0.25">
      <c r="A1601" s="82">
        <v>43876</v>
      </c>
      <c r="B1601" t="s">
        <v>429</v>
      </c>
      <c r="C1601" t="s">
        <v>428</v>
      </c>
      <c r="D1601" t="s">
        <v>424</v>
      </c>
      <c r="E1601" t="s">
        <v>430</v>
      </c>
      <c r="F1601" t="s">
        <v>426</v>
      </c>
      <c r="G1601" t="s">
        <v>425</v>
      </c>
      <c r="H1601" t="s">
        <v>421</v>
      </c>
      <c r="I1601" t="s">
        <v>455</v>
      </c>
      <c r="J1601" t="s">
        <v>427</v>
      </c>
    </row>
    <row r="1602" spans="1:10" ht="15" customHeight="1" x14ac:dyDescent="0.25">
      <c r="A1602" s="82">
        <v>43877</v>
      </c>
      <c r="B1602" t="s">
        <v>429</v>
      </c>
      <c r="C1602" t="s">
        <v>428</v>
      </c>
      <c r="D1602" t="s">
        <v>424</v>
      </c>
      <c r="E1602" t="s">
        <v>430</v>
      </c>
      <c r="F1602" t="s">
        <v>426</v>
      </c>
      <c r="G1602" t="s">
        <v>425</v>
      </c>
      <c r="H1602" t="s">
        <v>421</v>
      </c>
      <c r="I1602" t="s">
        <v>427</v>
      </c>
      <c r="J1602" t="s">
        <v>455</v>
      </c>
    </row>
    <row r="1603" spans="1:10" ht="15" customHeight="1" x14ac:dyDescent="0.25">
      <c r="A1603" s="82">
        <v>43878</v>
      </c>
      <c r="B1603" t="s">
        <v>429</v>
      </c>
      <c r="C1603" t="s">
        <v>428</v>
      </c>
      <c r="D1603" t="s">
        <v>424</v>
      </c>
      <c r="E1603" t="s">
        <v>430</v>
      </c>
      <c r="F1603" t="s">
        <v>426</v>
      </c>
      <c r="G1603" t="s">
        <v>425</v>
      </c>
      <c r="H1603" t="s">
        <v>427</v>
      </c>
      <c r="I1603" t="s">
        <v>455</v>
      </c>
      <c r="J1603" t="s">
        <v>421</v>
      </c>
    </row>
    <row r="1604" spans="1:10" ht="15" customHeight="1" x14ac:dyDescent="0.25">
      <c r="A1604" s="82">
        <v>43879</v>
      </c>
      <c r="B1604" t="s">
        <v>429</v>
      </c>
      <c r="C1604" t="s">
        <v>428</v>
      </c>
      <c r="D1604" t="s">
        <v>424</v>
      </c>
      <c r="E1604" t="s">
        <v>430</v>
      </c>
      <c r="F1604" t="s">
        <v>426</v>
      </c>
      <c r="G1604" t="s">
        <v>425</v>
      </c>
      <c r="H1604" t="s">
        <v>455</v>
      </c>
      <c r="I1604" t="s">
        <v>421</v>
      </c>
      <c r="J1604" t="s">
        <v>427</v>
      </c>
    </row>
    <row r="1605" spans="1:10" ht="15" customHeight="1" x14ac:dyDescent="0.25">
      <c r="A1605" s="82">
        <v>43880</v>
      </c>
      <c r="B1605" t="s">
        <v>429</v>
      </c>
      <c r="C1605" t="s">
        <v>428</v>
      </c>
      <c r="D1605" t="s">
        <v>424</v>
      </c>
      <c r="E1605" t="s">
        <v>430</v>
      </c>
      <c r="F1605" t="s">
        <v>426</v>
      </c>
      <c r="G1605" t="s">
        <v>425</v>
      </c>
      <c r="H1605" t="s">
        <v>427</v>
      </c>
      <c r="I1605" t="s">
        <v>421</v>
      </c>
      <c r="J1605" t="s">
        <v>455</v>
      </c>
    </row>
    <row r="1606" spans="1:10" ht="15" customHeight="1" x14ac:dyDescent="0.25">
      <c r="A1606" s="82">
        <v>43881</v>
      </c>
      <c r="B1606" t="s">
        <v>429</v>
      </c>
      <c r="C1606" t="s">
        <v>428</v>
      </c>
      <c r="D1606" t="s">
        <v>424</v>
      </c>
      <c r="E1606" t="s">
        <v>430</v>
      </c>
      <c r="F1606" t="s">
        <v>426</v>
      </c>
      <c r="G1606" t="s">
        <v>425</v>
      </c>
      <c r="H1606" t="s">
        <v>455</v>
      </c>
      <c r="I1606" t="s">
        <v>427</v>
      </c>
      <c r="J1606" t="s">
        <v>421</v>
      </c>
    </row>
    <row r="1607" spans="1:10" ht="15" customHeight="1" x14ac:dyDescent="0.25">
      <c r="A1607" s="82">
        <v>43882</v>
      </c>
      <c r="B1607" t="s">
        <v>426</v>
      </c>
      <c r="C1607" t="s">
        <v>425</v>
      </c>
      <c r="D1607" t="s">
        <v>424</v>
      </c>
      <c r="E1607" t="s">
        <v>421</v>
      </c>
      <c r="F1607" t="s">
        <v>427</v>
      </c>
      <c r="G1607" t="s">
        <v>425</v>
      </c>
      <c r="H1607" t="s">
        <v>424</v>
      </c>
      <c r="I1607" t="s">
        <v>455</v>
      </c>
      <c r="J1607" t="s">
        <v>429</v>
      </c>
    </row>
    <row r="1608" spans="1:10" ht="15" customHeight="1" x14ac:dyDescent="0.25">
      <c r="A1608" s="82">
        <v>43883</v>
      </c>
      <c r="B1608" t="s">
        <v>426</v>
      </c>
      <c r="C1608" t="s">
        <v>425</v>
      </c>
      <c r="D1608" t="s">
        <v>430</v>
      </c>
      <c r="E1608" t="s">
        <v>427</v>
      </c>
      <c r="F1608" t="s">
        <v>455</v>
      </c>
      <c r="G1608" t="s">
        <v>421</v>
      </c>
      <c r="H1608" t="s">
        <v>424</v>
      </c>
      <c r="I1608" t="s">
        <v>428</v>
      </c>
      <c r="J1608" t="s">
        <v>429</v>
      </c>
    </row>
    <row r="1609" spans="1:10" ht="15" customHeight="1" x14ac:dyDescent="0.25">
      <c r="A1609" s="82">
        <v>43884</v>
      </c>
      <c r="B1609" t="s">
        <v>426</v>
      </c>
      <c r="C1609" t="s">
        <v>425</v>
      </c>
      <c r="D1609" t="s">
        <v>430</v>
      </c>
      <c r="E1609" t="s">
        <v>455</v>
      </c>
      <c r="F1609" t="s">
        <v>427</v>
      </c>
      <c r="G1609" t="s">
        <v>421</v>
      </c>
      <c r="H1609" t="s">
        <v>424</v>
      </c>
      <c r="I1609" t="s">
        <v>428</v>
      </c>
      <c r="J1609" t="s">
        <v>429</v>
      </c>
    </row>
    <row r="1610" spans="1:10" ht="15" customHeight="1" x14ac:dyDescent="0.25">
      <c r="A1610" s="82">
        <v>43885</v>
      </c>
      <c r="B1610" t="s">
        <v>426</v>
      </c>
      <c r="C1610" t="s">
        <v>425</v>
      </c>
      <c r="D1610" t="s">
        <v>430</v>
      </c>
      <c r="E1610" t="s">
        <v>421</v>
      </c>
      <c r="F1610" t="s">
        <v>455</v>
      </c>
      <c r="G1610" t="s">
        <v>427</v>
      </c>
      <c r="H1610" t="s">
        <v>424</v>
      </c>
      <c r="I1610" t="s">
        <v>428</v>
      </c>
      <c r="J1610" t="s">
        <v>429</v>
      </c>
    </row>
    <row r="1611" spans="1:10" ht="15" customHeight="1" x14ac:dyDescent="0.25">
      <c r="A1611" s="82">
        <v>43886</v>
      </c>
      <c r="B1611" t="s">
        <v>426</v>
      </c>
      <c r="C1611" t="s">
        <v>425</v>
      </c>
      <c r="D1611" t="s">
        <v>430</v>
      </c>
      <c r="E1611" t="s">
        <v>427</v>
      </c>
      <c r="F1611" t="s">
        <v>421</v>
      </c>
      <c r="G1611" t="s">
        <v>455</v>
      </c>
      <c r="H1611" t="s">
        <v>424</v>
      </c>
      <c r="I1611" t="s">
        <v>428</v>
      </c>
      <c r="J1611" t="s">
        <v>429</v>
      </c>
    </row>
    <row r="1612" spans="1:10" ht="15" customHeight="1" x14ac:dyDescent="0.25">
      <c r="A1612" s="82">
        <v>43887</v>
      </c>
      <c r="B1612" t="s">
        <v>426</v>
      </c>
      <c r="C1612" t="s">
        <v>425</v>
      </c>
      <c r="D1612" t="s">
        <v>430</v>
      </c>
      <c r="E1612" t="s">
        <v>455</v>
      </c>
      <c r="F1612" t="s">
        <v>421</v>
      </c>
      <c r="G1612" t="s">
        <v>427</v>
      </c>
      <c r="H1612" t="s">
        <v>424</v>
      </c>
      <c r="I1612" t="s">
        <v>428</v>
      </c>
      <c r="J1612" t="s">
        <v>429</v>
      </c>
    </row>
    <row r="1613" spans="1:10" ht="15" customHeight="1" x14ac:dyDescent="0.25">
      <c r="A1613" s="82">
        <v>43888</v>
      </c>
      <c r="B1613" t="s">
        <v>426</v>
      </c>
      <c r="C1613" t="s">
        <v>425</v>
      </c>
      <c r="D1613" t="s">
        <v>430</v>
      </c>
      <c r="E1613" t="s">
        <v>421</v>
      </c>
      <c r="F1613" t="s">
        <v>427</v>
      </c>
      <c r="G1613" t="s">
        <v>455</v>
      </c>
      <c r="H1613" t="s">
        <v>424</v>
      </c>
      <c r="I1613" t="s">
        <v>428</v>
      </c>
      <c r="J1613" t="s">
        <v>429</v>
      </c>
    </row>
    <row r="1614" spans="1:10" ht="15" customHeight="1" x14ac:dyDescent="0.25">
      <c r="A1614" s="82">
        <v>43889</v>
      </c>
      <c r="B1614" t="s">
        <v>427</v>
      </c>
      <c r="C1614" t="s">
        <v>425</v>
      </c>
      <c r="D1614" t="s">
        <v>421</v>
      </c>
      <c r="E1614" t="s">
        <v>429</v>
      </c>
      <c r="F1614" t="s">
        <v>455</v>
      </c>
      <c r="G1614" t="s">
        <v>424</v>
      </c>
      <c r="H1614" t="s">
        <v>424</v>
      </c>
      <c r="I1614" t="s">
        <v>425</v>
      </c>
      <c r="J1614" t="s">
        <v>426</v>
      </c>
    </row>
    <row r="1615" spans="1:10" ht="15" customHeight="1" x14ac:dyDescent="0.25">
      <c r="A1615" s="82">
        <v>43890</v>
      </c>
      <c r="B1615" t="s">
        <v>455</v>
      </c>
      <c r="C1615" t="s">
        <v>421</v>
      </c>
      <c r="D1615" t="s">
        <v>427</v>
      </c>
      <c r="E1615" t="s">
        <v>429</v>
      </c>
      <c r="F1615" t="s">
        <v>428</v>
      </c>
      <c r="G1615" t="s">
        <v>424</v>
      </c>
      <c r="H1615" t="s">
        <v>430</v>
      </c>
      <c r="I1615" t="s">
        <v>425</v>
      </c>
      <c r="J1615" t="s">
        <v>426</v>
      </c>
    </row>
    <row r="1616" spans="1:10" ht="15" customHeight="1" x14ac:dyDescent="0.25">
      <c r="A1616" s="82">
        <v>43891</v>
      </c>
      <c r="B1616" t="s">
        <v>427</v>
      </c>
      <c r="C1616" t="s">
        <v>421</v>
      </c>
      <c r="D1616" t="s">
        <v>455</v>
      </c>
      <c r="E1616" t="s">
        <v>429</v>
      </c>
      <c r="F1616" t="s">
        <v>428</v>
      </c>
      <c r="G1616" t="s">
        <v>424</v>
      </c>
      <c r="H1616" t="s">
        <v>430</v>
      </c>
      <c r="I1616" t="s">
        <v>425</v>
      </c>
      <c r="J1616" t="s">
        <v>426</v>
      </c>
    </row>
    <row r="1617" spans="1:10" ht="15" customHeight="1" x14ac:dyDescent="0.25">
      <c r="A1617" s="82">
        <v>43892</v>
      </c>
      <c r="B1617" t="s">
        <v>455</v>
      </c>
      <c r="C1617" t="s">
        <v>427</v>
      </c>
      <c r="D1617" t="s">
        <v>421</v>
      </c>
      <c r="E1617" t="s">
        <v>429</v>
      </c>
      <c r="F1617" t="s">
        <v>428</v>
      </c>
      <c r="G1617" t="s">
        <v>424</v>
      </c>
      <c r="H1617" t="s">
        <v>430</v>
      </c>
      <c r="I1617" t="s">
        <v>425</v>
      </c>
      <c r="J1617" t="s">
        <v>426</v>
      </c>
    </row>
    <row r="1618" spans="1:10" ht="15" customHeight="1" x14ac:dyDescent="0.25">
      <c r="A1618" s="82">
        <v>43893</v>
      </c>
      <c r="B1618" t="s">
        <v>421</v>
      </c>
      <c r="C1618" t="s">
        <v>455</v>
      </c>
      <c r="D1618" t="s">
        <v>427</v>
      </c>
      <c r="E1618" t="s">
        <v>429</v>
      </c>
      <c r="F1618" t="s">
        <v>428</v>
      </c>
      <c r="G1618" t="s">
        <v>424</v>
      </c>
      <c r="H1618" t="s">
        <v>430</v>
      </c>
      <c r="I1618" t="s">
        <v>425</v>
      </c>
      <c r="J1618" t="s">
        <v>426</v>
      </c>
    </row>
    <row r="1619" spans="1:10" ht="15" customHeight="1" x14ac:dyDescent="0.25">
      <c r="A1619" s="82">
        <v>43894</v>
      </c>
      <c r="B1619" t="s">
        <v>421</v>
      </c>
      <c r="C1619" t="s">
        <v>427</v>
      </c>
      <c r="D1619" t="s">
        <v>455</v>
      </c>
      <c r="E1619" t="s">
        <v>429</v>
      </c>
      <c r="F1619" t="s">
        <v>428</v>
      </c>
      <c r="G1619" t="s">
        <v>424</v>
      </c>
      <c r="H1619" t="s">
        <v>430</v>
      </c>
      <c r="I1619" t="s">
        <v>425</v>
      </c>
      <c r="J1619" t="s">
        <v>426</v>
      </c>
    </row>
    <row r="1620" spans="1:10" ht="15" customHeight="1" x14ac:dyDescent="0.25">
      <c r="A1620" s="82">
        <v>43895</v>
      </c>
      <c r="B1620" t="s">
        <v>427</v>
      </c>
      <c r="C1620" t="s">
        <v>455</v>
      </c>
      <c r="D1620" t="s">
        <v>421</v>
      </c>
      <c r="E1620" t="s">
        <v>429</v>
      </c>
      <c r="F1620" t="s">
        <v>428</v>
      </c>
      <c r="G1620" t="s">
        <v>424</v>
      </c>
      <c r="H1620" t="s">
        <v>430</v>
      </c>
      <c r="I1620" t="s">
        <v>425</v>
      </c>
      <c r="J1620" t="s">
        <v>426</v>
      </c>
    </row>
    <row r="1621" spans="1:10" ht="15" customHeight="1" x14ac:dyDescent="0.25">
      <c r="A1621" s="82">
        <v>43896</v>
      </c>
      <c r="B1621" t="s">
        <v>455</v>
      </c>
      <c r="C1621" t="s">
        <v>424</v>
      </c>
      <c r="D1621" t="s">
        <v>429</v>
      </c>
      <c r="E1621" t="s">
        <v>426</v>
      </c>
      <c r="F1621" t="s">
        <v>425</v>
      </c>
      <c r="G1621" t="s">
        <v>424</v>
      </c>
      <c r="H1621" t="s">
        <v>421</v>
      </c>
      <c r="I1621" t="s">
        <v>425</v>
      </c>
      <c r="J1621" t="s">
        <v>427</v>
      </c>
    </row>
    <row r="1622" spans="1:10" ht="15" customHeight="1" x14ac:dyDescent="0.25">
      <c r="A1622" s="82">
        <v>43897</v>
      </c>
      <c r="B1622" t="s">
        <v>428</v>
      </c>
      <c r="C1622" t="s">
        <v>424</v>
      </c>
      <c r="D1622" t="s">
        <v>429</v>
      </c>
      <c r="E1622" t="s">
        <v>426</v>
      </c>
      <c r="F1622" t="s">
        <v>425</v>
      </c>
      <c r="G1622" t="s">
        <v>430</v>
      </c>
      <c r="H1622" t="s">
        <v>427</v>
      </c>
      <c r="I1622" t="s">
        <v>421</v>
      </c>
      <c r="J1622" t="s">
        <v>455</v>
      </c>
    </row>
    <row r="1623" spans="1:10" ht="15" customHeight="1" x14ac:dyDescent="0.25">
      <c r="A1623" s="82">
        <v>43898</v>
      </c>
      <c r="B1623" t="s">
        <v>428</v>
      </c>
      <c r="C1623" t="s">
        <v>424</v>
      </c>
      <c r="D1623" t="s">
        <v>429</v>
      </c>
      <c r="E1623" t="s">
        <v>426</v>
      </c>
      <c r="F1623" t="s">
        <v>425</v>
      </c>
      <c r="G1623" t="s">
        <v>430</v>
      </c>
      <c r="H1623" t="s">
        <v>455</v>
      </c>
      <c r="I1623" t="s">
        <v>421</v>
      </c>
      <c r="J1623" t="s">
        <v>427</v>
      </c>
    </row>
    <row r="1624" spans="1:10" ht="15" customHeight="1" x14ac:dyDescent="0.25">
      <c r="A1624" s="82">
        <v>43899</v>
      </c>
      <c r="B1624" t="s">
        <v>428</v>
      </c>
      <c r="C1624" t="s">
        <v>424</v>
      </c>
      <c r="D1624" t="s">
        <v>429</v>
      </c>
      <c r="E1624" t="s">
        <v>426</v>
      </c>
      <c r="F1624" t="s">
        <v>425</v>
      </c>
      <c r="G1624" t="s">
        <v>430</v>
      </c>
      <c r="H1624" t="s">
        <v>421</v>
      </c>
      <c r="I1624" t="s">
        <v>427</v>
      </c>
      <c r="J1624" t="s">
        <v>455</v>
      </c>
    </row>
    <row r="1625" spans="1:10" ht="15" customHeight="1" x14ac:dyDescent="0.25">
      <c r="A1625" s="82">
        <v>43900</v>
      </c>
      <c r="B1625" t="s">
        <v>428</v>
      </c>
      <c r="C1625" t="s">
        <v>424</v>
      </c>
      <c r="D1625" t="s">
        <v>429</v>
      </c>
      <c r="E1625" t="s">
        <v>426</v>
      </c>
      <c r="F1625" t="s">
        <v>425</v>
      </c>
      <c r="G1625" t="s">
        <v>430</v>
      </c>
      <c r="H1625" t="s">
        <v>427</v>
      </c>
      <c r="I1625" t="s">
        <v>455</v>
      </c>
      <c r="J1625" t="s">
        <v>421</v>
      </c>
    </row>
    <row r="1626" spans="1:10" ht="15" customHeight="1" x14ac:dyDescent="0.25">
      <c r="A1626" s="82">
        <v>43901</v>
      </c>
      <c r="B1626" t="s">
        <v>428</v>
      </c>
      <c r="C1626" t="s">
        <v>424</v>
      </c>
      <c r="D1626" t="s">
        <v>429</v>
      </c>
      <c r="E1626" t="s">
        <v>426</v>
      </c>
      <c r="F1626" t="s">
        <v>425</v>
      </c>
      <c r="G1626" t="s">
        <v>430</v>
      </c>
      <c r="H1626" t="s">
        <v>455</v>
      </c>
      <c r="I1626" t="s">
        <v>427</v>
      </c>
      <c r="J1626" t="s">
        <v>421</v>
      </c>
    </row>
    <row r="1627" spans="1:10" ht="15" customHeight="1" x14ac:dyDescent="0.25">
      <c r="A1627" s="82">
        <v>43902</v>
      </c>
      <c r="B1627" t="s">
        <v>428</v>
      </c>
      <c r="C1627" t="s">
        <v>424</v>
      </c>
      <c r="D1627" t="s">
        <v>429</v>
      </c>
      <c r="E1627" t="s">
        <v>426</v>
      </c>
      <c r="F1627" t="s">
        <v>425</v>
      </c>
      <c r="G1627" t="s">
        <v>430</v>
      </c>
      <c r="H1627" t="s">
        <v>421</v>
      </c>
      <c r="I1627" t="s">
        <v>455</v>
      </c>
      <c r="J1627" t="s">
        <v>427</v>
      </c>
    </row>
    <row r="1628" spans="1:10" ht="15" customHeight="1" x14ac:dyDescent="0.25">
      <c r="A1628" s="82">
        <v>43903</v>
      </c>
      <c r="B1628" t="s">
        <v>425</v>
      </c>
      <c r="C1628" t="s">
        <v>424</v>
      </c>
      <c r="D1628" t="s">
        <v>426</v>
      </c>
      <c r="E1628" t="s">
        <v>427</v>
      </c>
      <c r="F1628" t="s">
        <v>425</v>
      </c>
      <c r="G1628" t="s">
        <v>421</v>
      </c>
      <c r="H1628" t="s">
        <v>429</v>
      </c>
      <c r="I1628" t="s">
        <v>424</v>
      </c>
      <c r="J1628" t="s">
        <v>455</v>
      </c>
    </row>
    <row r="1629" spans="1:10" ht="15" customHeight="1" x14ac:dyDescent="0.25">
      <c r="A1629" s="82">
        <v>43904</v>
      </c>
      <c r="B1629" t="s">
        <v>425</v>
      </c>
      <c r="C1629" t="s">
        <v>430</v>
      </c>
      <c r="D1629" t="s">
        <v>426</v>
      </c>
      <c r="E1629" t="s">
        <v>455</v>
      </c>
      <c r="F1629" t="s">
        <v>421</v>
      </c>
      <c r="G1629" t="s">
        <v>427</v>
      </c>
      <c r="H1629" t="s">
        <v>429</v>
      </c>
      <c r="I1629" t="s">
        <v>424</v>
      </c>
      <c r="J1629" t="s">
        <v>428</v>
      </c>
    </row>
    <row r="1630" spans="1:10" ht="15" customHeight="1" x14ac:dyDescent="0.25">
      <c r="A1630" s="82">
        <v>43905</v>
      </c>
      <c r="B1630" t="s">
        <v>425</v>
      </c>
      <c r="C1630" t="s">
        <v>430</v>
      </c>
      <c r="D1630" t="s">
        <v>426</v>
      </c>
      <c r="E1630" t="s">
        <v>427</v>
      </c>
      <c r="F1630" t="s">
        <v>421</v>
      </c>
      <c r="G1630" t="s">
        <v>455</v>
      </c>
      <c r="H1630" t="s">
        <v>429</v>
      </c>
      <c r="I1630" t="s">
        <v>424</v>
      </c>
      <c r="J1630" t="s">
        <v>428</v>
      </c>
    </row>
    <row r="1631" spans="1:10" ht="15" customHeight="1" x14ac:dyDescent="0.25">
      <c r="A1631" s="82">
        <v>43906</v>
      </c>
      <c r="B1631" t="s">
        <v>425</v>
      </c>
      <c r="C1631" t="s">
        <v>430</v>
      </c>
      <c r="D1631" t="s">
        <v>426</v>
      </c>
      <c r="E1631" t="s">
        <v>455</v>
      </c>
      <c r="F1631" t="s">
        <v>427</v>
      </c>
      <c r="G1631" t="s">
        <v>421</v>
      </c>
      <c r="H1631" t="s">
        <v>429</v>
      </c>
      <c r="I1631" t="s">
        <v>424</v>
      </c>
      <c r="J1631" t="s">
        <v>428</v>
      </c>
    </row>
    <row r="1632" spans="1:10" ht="15" customHeight="1" x14ac:dyDescent="0.25">
      <c r="A1632" s="82">
        <v>43907</v>
      </c>
      <c r="B1632" t="s">
        <v>425</v>
      </c>
      <c r="C1632" t="s">
        <v>430</v>
      </c>
      <c r="D1632" t="s">
        <v>426</v>
      </c>
      <c r="E1632" t="s">
        <v>421</v>
      </c>
      <c r="F1632" t="s">
        <v>455</v>
      </c>
      <c r="G1632" t="s">
        <v>427</v>
      </c>
      <c r="H1632" t="s">
        <v>429</v>
      </c>
      <c r="I1632" t="s">
        <v>424</v>
      </c>
      <c r="J1632" t="s">
        <v>428</v>
      </c>
    </row>
    <row r="1633" spans="1:10" ht="15" customHeight="1" x14ac:dyDescent="0.25">
      <c r="A1633" s="82">
        <v>43908</v>
      </c>
      <c r="B1633" t="s">
        <v>425</v>
      </c>
      <c r="C1633" t="s">
        <v>430</v>
      </c>
      <c r="D1633" t="s">
        <v>426</v>
      </c>
      <c r="E1633" t="s">
        <v>421</v>
      </c>
      <c r="F1633" t="s">
        <v>427</v>
      </c>
      <c r="G1633" t="s">
        <v>455</v>
      </c>
      <c r="H1633" t="s">
        <v>429</v>
      </c>
      <c r="I1633" t="s">
        <v>424</v>
      </c>
      <c r="J1633" t="s">
        <v>428</v>
      </c>
    </row>
    <row r="1634" spans="1:10" ht="15" customHeight="1" x14ac:dyDescent="0.25">
      <c r="A1634" s="82">
        <v>43909</v>
      </c>
      <c r="B1634" t="s">
        <v>425</v>
      </c>
      <c r="C1634" t="s">
        <v>430</v>
      </c>
      <c r="D1634" t="s">
        <v>426</v>
      </c>
      <c r="E1634" t="s">
        <v>427</v>
      </c>
      <c r="F1634" t="s">
        <v>455</v>
      </c>
      <c r="G1634" t="s">
        <v>421</v>
      </c>
      <c r="H1634" t="s">
        <v>429</v>
      </c>
      <c r="I1634" t="s">
        <v>424</v>
      </c>
      <c r="J1634" t="s">
        <v>428</v>
      </c>
    </row>
    <row r="1635" spans="1:10" ht="15" customHeight="1" x14ac:dyDescent="0.25">
      <c r="A1635" s="82">
        <v>43910</v>
      </c>
      <c r="B1635" t="s">
        <v>425</v>
      </c>
      <c r="C1635" t="s">
        <v>421</v>
      </c>
      <c r="D1635" t="s">
        <v>427</v>
      </c>
      <c r="E1635" t="s">
        <v>455</v>
      </c>
      <c r="F1635" t="s">
        <v>424</v>
      </c>
      <c r="G1635" t="s">
        <v>429</v>
      </c>
      <c r="H1635" t="s">
        <v>426</v>
      </c>
      <c r="I1635" t="s">
        <v>424</v>
      </c>
      <c r="J1635" t="s">
        <v>425</v>
      </c>
    </row>
    <row r="1636" spans="1:10" ht="15" customHeight="1" x14ac:dyDescent="0.25">
      <c r="A1636" s="82">
        <v>43911</v>
      </c>
      <c r="B1636" t="s">
        <v>421</v>
      </c>
      <c r="C1636" t="s">
        <v>427</v>
      </c>
      <c r="D1636" t="s">
        <v>455</v>
      </c>
      <c r="E1636" t="s">
        <v>428</v>
      </c>
      <c r="F1636" t="s">
        <v>424</v>
      </c>
      <c r="G1636" t="s">
        <v>429</v>
      </c>
      <c r="H1636" t="s">
        <v>426</v>
      </c>
      <c r="I1636" t="s">
        <v>430</v>
      </c>
      <c r="J1636" t="s">
        <v>425</v>
      </c>
    </row>
    <row r="1637" spans="1:10" ht="15" customHeight="1" x14ac:dyDescent="0.25">
      <c r="A1637" s="82">
        <v>43912</v>
      </c>
      <c r="B1637" t="s">
        <v>421</v>
      </c>
      <c r="C1637" t="s">
        <v>455</v>
      </c>
      <c r="D1637" t="s">
        <v>427</v>
      </c>
      <c r="E1637" t="s">
        <v>428</v>
      </c>
      <c r="F1637" t="s">
        <v>424</v>
      </c>
      <c r="G1637" t="s">
        <v>429</v>
      </c>
      <c r="H1637" t="s">
        <v>426</v>
      </c>
      <c r="I1637" t="s">
        <v>430</v>
      </c>
      <c r="J1637" t="s">
        <v>425</v>
      </c>
    </row>
    <row r="1638" spans="1:10" ht="15" customHeight="1" x14ac:dyDescent="0.25">
      <c r="A1638" s="82">
        <v>43913</v>
      </c>
      <c r="B1638" t="s">
        <v>427</v>
      </c>
      <c r="C1638" t="s">
        <v>421</v>
      </c>
      <c r="D1638" t="s">
        <v>455</v>
      </c>
      <c r="E1638" t="s">
        <v>428</v>
      </c>
      <c r="F1638" t="s">
        <v>424</v>
      </c>
      <c r="G1638" t="s">
        <v>429</v>
      </c>
      <c r="H1638" t="s">
        <v>426</v>
      </c>
      <c r="I1638" t="s">
        <v>430</v>
      </c>
      <c r="J1638" t="s">
        <v>425</v>
      </c>
    </row>
    <row r="1639" spans="1:10" ht="15" customHeight="1" x14ac:dyDescent="0.25">
      <c r="A1639" s="82">
        <v>43914</v>
      </c>
      <c r="B1639" t="s">
        <v>455</v>
      </c>
      <c r="C1639" t="s">
        <v>427</v>
      </c>
      <c r="D1639" t="s">
        <v>421</v>
      </c>
      <c r="E1639" t="s">
        <v>428</v>
      </c>
      <c r="F1639" t="s">
        <v>424</v>
      </c>
      <c r="G1639" t="s">
        <v>429</v>
      </c>
      <c r="H1639" t="s">
        <v>426</v>
      </c>
      <c r="I1639" t="s">
        <v>430</v>
      </c>
      <c r="J1639" t="s">
        <v>425</v>
      </c>
    </row>
    <row r="1640" spans="1:10" ht="15" customHeight="1" x14ac:dyDescent="0.25">
      <c r="A1640" s="82">
        <v>43915</v>
      </c>
      <c r="B1640" t="s">
        <v>427</v>
      </c>
      <c r="C1640" t="s">
        <v>455</v>
      </c>
      <c r="D1640" t="s">
        <v>421</v>
      </c>
      <c r="E1640" t="s">
        <v>428</v>
      </c>
      <c r="F1640" t="s">
        <v>424</v>
      </c>
      <c r="G1640" t="s">
        <v>429</v>
      </c>
      <c r="H1640" t="s">
        <v>426</v>
      </c>
      <c r="I1640" t="s">
        <v>430</v>
      </c>
      <c r="J1640" t="s">
        <v>425</v>
      </c>
    </row>
    <row r="1641" spans="1:10" ht="15" customHeight="1" x14ac:dyDescent="0.25">
      <c r="A1641" s="82">
        <v>43916</v>
      </c>
      <c r="B1641" t="s">
        <v>455</v>
      </c>
      <c r="C1641" t="s">
        <v>421</v>
      </c>
      <c r="D1641" t="s">
        <v>427</v>
      </c>
      <c r="E1641" t="s">
        <v>428</v>
      </c>
      <c r="F1641" t="s">
        <v>424</v>
      </c>
      <c r="G1641" t="s">
        <v>429</v>
      </c>
      <c r="H1641" t="s">
        <v>426</v>
      </c>
      <c r="I1641" t="s">
        <v>430</v>
      </c>
      <c r="J1641" t="s">
        <v>425</v>
      </c>
    </row>
    <row r="1642" spans="1:10" ht="15" customHeight="1" x14ac:dyDescent="0.25">
      <c r="A1642" s="82">
        <v>43917</v>
      </c>
      <c r="B1642" t="s">
        <v>424</v>
      </c>
      <c r="C1642" t="s">
        <v>429</v>
      </c>
      <c r="D1642" t="s">
        <v>455</v>
      </c>
      <c r="E1642" t="s">
        <v>425</v>
      </c>
      <c r="F1642" t="s">
        <v>424</v>
      </c>
      <c r="G1642" t="s">
        <v>426</v>
      </c>
      <c r="H1642" t="s">
        <v>427</v>
      </c>
      <c r="I1642" t="s">
        <v>421</v>
      </c>
      <c r="J1642" t="s">
        <v>425</v>
      </c>
    </row>
    <row r="1643" spans="1:10" ht="15" customHeight="1" x14ac:dyDescent="0.25">
      <c r="A1643" s="82">
        <v>43918</v>
      </c>
      <c r="B1643" t="s">
        <v>424</v>
      </c>
      <c r="C1643" t="s">
        <v>429</v>
      </c>
      <c r="D1643" t="s">
        <v>428</v>
      </c>
      <c r="E1643" t="s">
        <v>425</v>
      </c>
      <c r="F1643" t="s">
        <v>430</v>
      </c>
      <c r="G1643" t="s">
        <v>426</v>
      </c>
      <c r="H1643" t="s">
        <v>455</v>
      </c>
      <c r="I1643" t="s">
        <v>427</v>
      </c>
      <c r="J1643" t="s">
        <v>421</v>
      </c>
    </row>
    <row r="1644" spans="1:10" ht="15" customHeight="1" x14ac:dyDescent="0.25">
      <c r="A1644" s="82">
        <v>43919</v>
      </c>
      <c r="B1644" t="s">
        <v>424</v>
      </c>
      <c r="C1644" t="s">
        <v>429</v>
      </c>
      <c r="D1644" t="s">
        <v>428</v>
      </c>
      <c r="E1644" t="s">
        <v>425</v>
      </c>
      <c r="F1644" t="s">
        <v>430</v>
      </c>
      <c r="G1644" t="s">
        <v>426</v>
      </c>
      <c r="H1644" t="s">
        <v>427</v>
      </c>
      <c r="I1644" t="s">
        <v>455</v>
      </c>
      <c r="J1644" t="s">
        <v>421</v>
      </c>
    </row>
    <row r="1645" spans="1:10" ht="15" customHeight="1" x14ac:dyDescent="0.25">
      <c r="A1645" s="82">
        <v>43920</v>
      </c>
      <c r="B1645" t="s">
        <v>424</v>
      </c>
      <c r="C1645" t="s">
        <v>429</v>
      </c>
      <c r="D1645" t="s">
        <v>428</v>
      </c>
      <c r="E1645" t="s">
        <v>425</v>
      </c>
      <c r="F1645" t="s">
        <v>430</v>
      </c>
      <c r="G1645" t="s">
        <v>426</v>
      </c>
      <c r="H1645" t="s">
        <v>455</v>
      </c>
      <c r="I1645" t="s">
        <v>421</v>
      </c>
      <c r="J1645" t="s">
        <v>427</v>
      </c>
    </row>
    <row r="1646" spans="1:10" ht="15" customHeight="1" x14ac:dyDescent="0.25">
      <c r="A1646" s="82">
        <v>43921</v>
      </c>
      <c r="B1646" t="s">
        <v>424</v>
      </c>
      <c r="C1646" t="s">
        <v>429</v>
      </c>
      <c r="D1646" t="s">
        <v>428</v>
      </c>
      <c r="E1646" t="s">
        <v>425</v>
      </c>
      <c r="F1646" t="s">
        <v>430</v>
      </c>
      <c r="G1646" t="s">
        <v>426</v>
      </c>
      <c r="H1646" t="s">
        <v>421</v>
      </c>
      <c r="I1646" t="s">
        <v>427</v>
      </c>
      <c r="J1646" t="s">
        <v>455</v>
      </c>
    </row>
    <row r="1647" spans="1:10" ht="15" customHeight="1" x14ac:dyDescent="0.25">
      <c r="A1647" s="82">
        <v>43922</v>
      </c>
      <c r="B1647" t="s">
        <v>424</v>
      </c>
      <c r="C1647" t="s">
        <v>429</v>
      </c>
      <c r="D1647" t="s">
        <v>428</v>
      </c>
      <c r="E1647" t="s">
        <v>425</v>
      </c>
      <c r="F1647" t="s">
        <v>430</v>
      </c>
      <c r="G1647" t="s">
        <v>426</v>
      </c>
      <c r="H1647" t="s">
        <v>421</v>
      </c>
      <c r="I1647" t="s">
        <v>455</v>
      </c>
      <c r="J1647" t="s">
        <v>427</v>
      </c>
    </row>
    <row r="1648" spans="1:10" ht="15" customHeight="1" x14ac:dyDescent="0.25">
      <c r="A1648" s="82">
        <v>43923</v>
      </c>
      <c r="B1648" t="s">
        <v>424</v>
      </c>
      <c r="C1648" t="s">
        <v>429</v>
      </c>
      <c r="D1648" t="s">
        <v>428</v>
      </c>
      <c r="E1648" t="s">
        <v>425</v>
      </c>
      <c r="F1648" t="s">
        <v>430</v>
      </c>
      <c r="G1648" t="s">
        <v>426</v>
      </c>
      <c r="H1648" t="s">
        <v>427</v>
      </c>
      <c r="I1648" t="s">
        <v>421</v>
      </c>
      <c r="J1648" t="s">
        <v>455</v>
      </c>
    </row>
    <row r="1649" spans="1:10" ht="15" customHeight="1" x14ac:dyDescent="0.25">
      <c r="A1649" s="82">
        <v>43924</v>
      </c>
      <c r="B1649" t="s">
        <v>424</v>
      </c>
      <c r="C1649" t="s">
        <v>426</v>
      </c>
      <c r="D1649" t="s">
        <v>425</v>
      </c>
      <c r="E1649" t="s">
        <v>425</v>
      </c>
      <c r="F1649" t="s">
        <v>421</v>
      </c>
      <c r="G1649" t="s">
        <v>427</v>
      </c>
      <c r="H1649" t="s">
        <v>455</v>
      </c>
      <c r="I1649" t="s">
        <v>429</v>
      </c>
      <c r="J1649" t="s">
        <v>424</v>
      </c>
    </row>
    <row r="1650" spans="1:10" ht="15" customHeight="1" x14ac:dyDescent="0.25">
      <c r="A1650" s="82">
        <v>43925</v>
      </c>
      <c r="B1650" t="s">
        <v>430</v>
      </c>
      <c r="C1650" t="s">
        <v>426</v>
      </c>
      <c r="D1650" t="s">
        <v>425</v>
      </c>
      <c r="E1650" t="s">
        <v>421</v>
      </c>
      <c r="F1650" t="s">
        <v>427</v>
      </c>
      <c r="G1650" t="s">
        <v>455</v>
      </c>
      <c r="H1650" t="s">
        <v>428</v>
      </c>
      <c r="I1650" t="s">
        <v>429</v>
      </c>
      <c r="J1650" t="s">
        <v>424</v>
      </c>
    </row>
    <row r="1651" spans="1:10" ht="15" customHeight="1" x14ac:dyDescent="0.25">
      <c r="A1651" s="82">
        <v>43926</v>
      </c>
      <c r="B1651" t="s">
        <v>430</v>
      </c>
      <c r="C1651" t="s">
        <v>426</v>
      </c>
      <c r="D1651" t="s">
        <v>425</v>
      </c>
      <c r="E1651" t="s">
        <v>421</v>
      </c>
      <c r="F1651" t="s">
        <v>455</v>
      </c>
      <c r="G1651" t="s">
        <v>427</v>
      </c>
      <c r="H1651" t="s">
        <v>428</v>
      </c>
      <c r="I1651" t="s">
        <v>429</v>
      </c>
      <c r="J1651" t="s">
        <v>424</v>
      </c>
    </row>
    <row r="1652" spans="1:10" ht="15" customHeight="1" x14ac:dyDescent="0.25">
      <c r="A1652" s="82">
        <v>43927</v>
      </c>
      <c r="B1652" t="s">
        <v>430</v>
      </c>
      <c r="C1652" t="s">
        <v>426</v>
      </c>
      <c r="D1652" t="s">
        <v>425</v>
      </c>
      <c r="E1652" t="s">
        <v>427</v>
      </c>
      <c r="F1652" t="s">
        <v>421</v>
      </c>
      <c r="G1652" t="s">
        <v>455</v>
      </c>
      <c r="H1652" t="s">
        <v>428</v>
      </c>
      <c r="I1652" t="s">
        <v>429</v>
      </c>
      <c r="J1652" t="s">
        <v>424</v>
      </c>
    </row>
    <row r="1653" spans="1:10" ht="15" customHeight="1" x14ac:dyDescent="0.25">
      <c r="A1653" s="82">
        <v>43928</v>
      </c>
      <c r="B1653" t="s">
        <v>430</v>
      </c>
      <c r="C1653" t="s">
        <v>426</v>
      </c>
      <c r="D1653" t="s">
        <v>425</v>
      </c>
      <c r="E1653" t="s">
        <v>455</v>
      </c>
      <c r="F1653" t="s">
        <v>427</v>
      </c>
      <c r="G1653" t="s">
        <v>421</v>
      </c>
      <c r="H1653" t="s">
        <v>428</v>
      </c>
      <c r="I1653" t="s">
        <v>429</v>
      </c>
      <c r="J1653" t="s">
        <v>424</v>
      </c>
    </row>
    <row r="1654" spans="1:10" ht="15" customHeight="1" x14ac:dyDescent="0.25">
      <c r="A1654" s="82">
        <v>43929</v>
      </c>
      <c r="B1654" t="s">
        <v>430</v>
      </c>
      <c r="C1654" t="s">
        <v>426</v>
      </c>
      <c r="D1654" t="s">
        <v>425</v>
      </c>
      <c r="E1654" t="s">
        <v>427</v>
      </c>
      <c r="F1654" t="s">
        <v>455</v>
      </c>
      <c r="G1654" t="s">
        <v>421</v>
      </c>
      <c r="H1654" t="s">
        <v>428</v>
      </c>
      <c r="I1654" t="s">
        <v>429</v>
      </c>
      <c r="J1654" t="s">
        <v>424</v>
      </c>
    </row>
    <row r="1655" spans="1:10" ht="15" customHeight="1" x14ac:dyDescent="0.25">
      <c r="A1655" s="82">
        <v>43930</v>
      </c>
      <c r="B1655" t="s">
        <v>430</v>
      </c>
      <c r="C1655" t="s">
        <v>426</v>
      </c>
      <c r="D1655" t="s">
        <v>425</v>
      </c>
      <c r="E1655" t="s">
        <v>455</v>
      </c>
      <c r="F1655" t="s">
        <v>421</v>
      </c>
      <c r="G1655" t="s">
        <v>427</v>
      </c>
      <c r="H1655" t="s">
        <v>428</v>
      </c>
      <c r="I1655" t="s">
        <v>429</v>
      </c>
      <c r="J1655" t="s">
        <v>424</v>
      </c>
    </row>
    <row r="1656" spans="1:10" ht="15" customHeight="1" x14ac:dyDescent="0.25">
      <c r="A1656" s="82">
        <v>43931</v>
      </c>
      <c r="B1656" t="s">
        <v>421</v>
      </c>
      <c r="C1656" t="s">
        <v>427</v>
      </c>
      <c r="D1656" t="s">
        <v>425</v>
      </c>
      <c r="E1656" t="s">
        <v>424</v>
      </c>
      <c r="F1656" t="s">
        <v>429</v>
      </c>
      <c r="G1656" t="s">
        <v>455</v>
      </c>
      <c r="H1656" t="s">
        <v>425</v>
      </c>
      <c r="I1656" t="s">
        <v>426</v>
      </c>
      <c r="J1656" t="s">
        <v>424</v>
      </c>
    </row>
    <row r="1657" spans="1:10" ht="15" customHeight="1" x14ac:dyDescent="0.25">
      <c r="A1657" s="82">
        <v>43932</v>
      </c>
      <c r="B1657" t="s">
        <v>427</v>
      </c>
      <c r="C1657" t="s">
        <v>455</v>
      </c>
      <c r="D1657" t="s">
        <v>421</v>
      </c>
      <c r="E1657" t="s">
        <v>424</v>
      </c>
      <c r="F1657" t="s">
        <v>429</v>
      </c>
      <c r="G1657" t="s">
        <v>428</v>
      </c>
      <c r="H1657" t="s">
        <v>425</v>
      </c>
      <c r="I1657" t="s">
        <v>426</v>
      </c>
      <c r="J1657" t="s">
        <v>430</v>
      </c>
    </row>
    <row r="1658" spans="1:10" ht="15" customHeight="1" x14ac:dyDescent="0.25">
      <c r="A1658" s="82">
        <v>43933</v>
      </c>
      <c r="B1658" t="s">
        <v>455</v>
      </c>
      <c r="C1658" t="s">
        <v>427</v>
      </c>
      <c r="D1658" t="s">
        <v>421</v>
      </c>
      <c r="E1658" t="s">
        <v>424</v>
      </c>
      <c r="F1658" t="s">
        <v>429</v>
      </c>
      <c r="G1658" t="s">
        <v>428</v>
      </c>
      <c r="H1658" t="s">
        <v>425</v>
      </c>
      <c r="I1658" t="s">
        <v>426</v>
      </c>
      <c r="J1658" t="s">
        <v>430</v>
      </c>
    </row>
    <row r="1659" spans="1:10" ht="15" customHeight="1" x14ac:dyDescent="0.25">
      <c r="A1659" s="82">
        <v>43934</v>
      </c>
      <c r="B1659" t="s">
        <v>421</v>
      </c>
      <c r="C1659" t="s">
        <v>455</v>
      </c>
      <c r="D1659" t="s">
        <v>427</v>
      </c>
      <c r="E1659" t="s">
        <v>424</v>
      </c>
      <c r="F1659" t="s">
        <v>429</v>
      </c>
      <c r="G1659" t="s">
        <v>428</v>
      </c>
      <c r="H1659" t="s">
        <v>425</v>
      </c>
      <c r="I1659" t="s">
        <v>426</v>
      </c>
      <c r="J1659" t="s">
        <v>430</v>
      </c>
    </row>
    <row r="1660" spans="1:10" ht="15" customHeight="1" x14ac:dyDescent="0.25">
      <c r="A1660" s="82">
        <v>43935</v>
      </c>
      <c r="B1660" t="s">
        <v>427</v>
      </c>
      <c r="C1660" t="s">
        <v>421</v>
      </c>
      <c r="D1660" t="s">
        <v>455</v>
      </c>
      <c r="E1660" t="s">
        <v>424</v>
      </c>
      <c r="F1660" t="s">
        <v>429</v>
      </c>
      <c r="G1660" t="s">
        <v>428</v>
      </c>
      <c r="H1660" t="s">
        <v>425</v>
      </c>
      <c r="I1660" t="s">
        <v>426</v>
      </c>
      <c r="J1660" t="s">
        <v>430</v>
      </c>
    </row>
    <row r="1661" spans="1:10" ht="15" customHeight="1" x14ac:dyDescent="0.25">
      <c r="A1661" s="82">
        <v>43936</v>
      </c>
      <c r="B1661" t="s">
        <v>455</v>
      </c>
      <c r="C1661" t="s">
        <v>421</v>
      </c>
      <c r="D1661" t="s">
        <v>427</v>
      </c>
      <c r="E1661" t="s">
        <v>424</v>
      </c>
      <c r="F1661" t="s">
        <v>429</v>
      </c>
      <c r="G1661" t="s">
        <v>428</v>
      </c>
      <c r="H1661" t="s">
        <v>425</v>
      </c>
      <c r="I1661" t="s">
        <v>426</v>
      </c>
      <c r="J1661" t="s">
        <v>430</v>
      </c>
    </row>
    <row r="1662" spans="1:10" ht="15" customHeight="1" x14ac:dyDescent="0.25">
      <c r="A1662" s="82">
        <v>43937</v>
      </c>
      <c r="B1662" t="s">
        <v>421</v>
      </c>
      <c r="C1662" t="s">
        <v>427</v>
      </c>
      <c r="D1662" t="s">
        <v>455</v>
      </c>
      <c r="E1662" t="s">
        <v>424</v>
      </c>
      <c r="F1662" t="s">
        <v>429</v>
      </c>
      <c r="G1662" t="s">
        <v>428</v>
      </c>
      <c r="H1662" t="s">
        <v>425</v>
      </c>
      <c r="I1662" t="s">
        <v>426</v>
      </c>
      <c r="J1662" t="s">
        <v>430</v>
      </c>
    </row>
    <row r="1663" spans="1:10" ht="15" customHeight="1" x14ac:dyDescent="0.25">
      <c r="A1663" s="82">
        <v>43938</v>
      </c>
      <c r="B1663" t="s">
        <v>429</v>
      </c>
      <c r="C1663" t="s">
        <v>455</v>
      </c>
      <c r="D1663" t="s">
        <v>424</v>
      </c>
      <c r="E1663" t="s">
        <v>424</v>
      </c>
      <c r="F1663" t="s">
        <v>426</v>
      </c>
      <c r="G1663" t="s">
        <v>425</v>
      </c>
      <c r="H1663" t="s">
        <v>425</v>
      </c>
      <c r="I1663" t="s">
        <v>427</v>
      </c>
      <c r="J1663" t="s">
        <v>421</v>
      </c>
    </row>
    <row r="1664" spans="1:10" ht="15" customHeight="1" x14ac:dyDescent="0.25">
      <c r="A1664" s="82">
        <v>43939</v>
      </c>
      <c r="B1664" t="s">
        <v>429</v>
      </c>
      <c r="C1664" t="s">
        <v>428</v>
      </c>
      <c r="D1664" t="s">
        <v>424</v>
      </c>
      <c r="E1664" t="s">
        <v>430</v>
      </c>
      <c r="F1664" t="s">
        <v>426</v>
      </c>
      <c r="G1664" t="s">
        <v>425</v>
      </c>
      <c r="H1664" t="s">
        <v>421</v>
      </c>
      <c r="I1664" t="s">
        <v>455</v>
      </c>
      <c r="J1664" t="s">
        <v>427</v>
      </c>
    </row>
    <row r="1665" spans="1:14" ht="15" customHeight="1" x14ac:dyDescent="0.25">
      <c r="A1665" s="82">
        <v>43940</v>
      </c>
      <c r="B1665" t="s">
        <v>429</v>
      </c>
      <c r="C1665" t="s">
        <v>428</v>
      </c>
      <c r="D1665" t="s">
        <v>424</v>
      </c>
      <c r="E1665" t="s">
        <v>430</v>
      </c>
      <c r="F1665" t="s">
        <v>426</v>
      </c>
      <c r="G1665" t="s">
        <v>425</v>
      </c>
      <c r="H1665" t="s">
        <v>421</v>
      </c>
      <c r="I1665" t="s">
        <v>427</v>
      </c>
      <c r="J1665" t="s">
        <v>455</v>
      </c>
    </row>
    <row r="1666" spans="1:14" ht="15" customHeight="1" x14ac:dyDescent="0.25">
      <c r="A1666" s="82">
        <v>43941</v>
      </c>
      <c r="B1666" t="s">
        <v>429</v>
      </c>
      <c r="C1666" t="s">
        <v>428</v>
      </c>
      <c r="D1666" t="s">
        <v>424</v>
      </c>
      <c r="E1666" t="s">
        <v>430</v>
      </c>
      <c r="F1666" t="s">
        <v>426</v>
      </c>
      <c r="G1666" t="s">
        <v>425</v>
      </c>
      <c r="H1666" t="s">
        <v>427</v>
      </c>
      <c r="I1666" t="s">
        <v>455</v>
      </c>
      <c r="J1666" t="s">
        <v>421</v>
      </c>
    </row>
    <row r="1667" spans="1:14" ht="15" customHeight="1" x14ac:dyDescent="0.25">
      <c r="A1667" s="82">
        <v>43942</v>
      </c>
      <c r="B1667" t="s">
        <v>429</v>
      </c>
      <c r="C1667" t="s">
        <v>428</v>
      </c>
      <c r="D1667" t="s">
        <v>424</v>
      </c>
      <c r="E1667" t="s">
        <v>430</v>
      </c>
      <c r="F1667" t="s">
        <v>426</v>
      </c>
      <c r="G1667" t="s">
        <v>425</v>
      </c>
      <c r="H1667" t="s">
        <v>455</v>
      </c>
      <c r="I1667" t="s">
        <v>421</v>
      </c>
      <c r="J1667" t="s">
        <v>427</v>
      </c>
    </row>
    <row r="1668" spans="1:14" ht="15" customHeight="1" x14ac:dyDescent="0.25">
      <c r="A1668" s="82">
        <v>43943</v>
      </c>
      <c r="B1668" t="s">
        <v>429</v>
      </c>
      <c r="C1668" t="s">
        <v>428</v>
      </c>
      <c r="D1668" t="s">
        <v>424</v>
      </c>
      <c r="E1668" t="s">
        <v>430</v>
      </c>
      <c r="F1668" t="s">
        <v>426</v>
      </c>
      <c r="G1668" t="s">
        <v>425</v>
      </c>
      <c r="H1668" t="s">
        <v>427</v>
      </c>
      <c r="I1668" t="s">
        <v>421</v>
      </c>
      <c r="J1668" t="s">
        <v>455</v>
      </c>
    </row>
    <row r="1669" spans="1:14" ht="15" customHeight="1" x14ac:dyDescent="0.25">
      <c r="A1669" s="82">
        <v>43944</v>
      </c>
      <c r="B1669" t="s">
        <v>429</v>
      </c>
      <c r="C1669" t="s">
        <v>428</v>
      </c>
      <c r="D1669" t="s">
        <v>424</v>
      </c>
      <c r="E1669" t="s">
        <v>430</v>
      </c>
      <c r="F1669" t="s">
        <v>426</v>
      </c>
      <c r="G1669" t="s">
        <v>425</v>
      </c>
      <c r="H1669" t="s">
        <v>455</v>
      </c>
      <c r="I1669" t="s">
        <v>427</v>
      </c>
      <c r="J1669" t="s">
        <v>421</v>
      </c>
      <c r="N1669">
        <v>0</v>
      </c>
    </row>
    <row r="1670" spans="1:14" ht="15" customHeight="1" x14ac:dyDescent="0.25">
      <c r="A1670" s="82">
        <v>43945</v>
      </c>
      <c r="B1670" t="s">
        <v>426</v>
      </c>
      <c r="C1670" t="s">
        <v>425</v>
      </c>
      <c r="D1670" t="s">
        <v>424</v>
      </c>
      <c r="E1670" t="s">
        <v>421</v>
      </c>
      <c r="F1670" t="s">
        <v>427</v>
      </c>
      <c r="G1670" t="s">
        <v>425</v>
      </c>
      <c r="H1670" t="s">
        <v>424</v>
      </c>
      <c r="I1670" t="s">
        <v>455</v>
      </c>
      <c r="J1670" t="s">
        <v>429</v>
      </c>
      <c r="N1670">
        <v>0</v>
      </c>
    </row>
    <row r="1671" spans="1:14" ht="15" customHeight="1" x14ac:dyDescent="0.25">
      <c r="A1671" s="82">
        <v>43946</v>
      </c>
      <c r="B1671" t="s">
        <v>426</v>
      </c>
      <c r="C1671" t="s">
        <v>425</v>
      </c>
      <c r="D1671" t="s">
        <v>430</v>
      </c>
      <c r="E1671" t="s">
        <v>427</v>
      </c>
      <c r="F1671" t="s">
        <v>455</v>
      </c>
      <c r="G1671" t="s">
        <v>421</v>
      </c>
      <c r="H1671" t="s">
        <v>424</v>
      </c>
      <c r="I1671" t="s">
        <v>428</v>
      </c>
      <c r="J1671" t="s">
        <v>429</v>
      </c>
      <c r="N1671">
        <v>0</v>
      </c>
    </row>
    <row r="1672" spans="1:14" ht="15" customHeight="1" x14ac:dyDescent="0.25">
      <c r="A1672" s="82">
        <v>43947</v>
      </c>
      <c r="B1672" t="s">
        <v>426</v>
      </c>
      <c r="C1672" t="s">
        <v>425</v>
      </c>
      <c r="D1672" t="s">
        <v>430</v>
      </c>
      <c r="E1672" t="s">
        <v>455</v>
      </c>
      <c r="F1672" t="s">
        <v>427</v>
      </c>
      <c r="G1672" t="s">
        <v>421</v>
      </c>
      <c r="H1672" t="s">
        <v>424</v>
      </c>
      <c r="I1672" t="s">
        <v>428</v>
      </c>
      <c r="J1672" t="s">
        <v>429</v>
      </c>
      <c r="N1672">
        <v>0</v>
      </c>
    </row>
    <row r="1673" spans="1:14" ht="15" customHeight="1" x14ac:dyDescent="0.25">
      <c r="A1673" s="82">
        <v>43948</v>
      </c>
      <c r="B1673" t="s">
        <v>426</v>
      </c>
      <c r="C1673" t="s">
        <v>425</v>
      </c>
      <c r="D1673" t="s">
        <v>430</v>
      </c>
      <c r="E1673" t="s">
        <v>421</v>
      </c>
      <c r="F1673" t="s">
        <v>455</v>
      </c>
      <c r="G1673" t="s">
        <v>427</v>
      </c>
      <c r="H1673" t="s">
        <v>424</v>
      </c>
      <c r="I1673" t="s">
        <v>428</v>
      </c>
      <c r="J1673" t="s">
        <v>429</v>
      </c>
      <c r="N1673">
        <v>0</v>
      </c>
    </row>
    <row r="1674" spans="1:14" ht="15" customHeight="1" x14ac:dyDescent="0.25">
      <c r="A1674" s="82">
        <v>43949</v>
      </c>
      <c r="B1674" t="s">
        <v>426</v>
      </c>
      <c r="C1674" t="s">
        <v>425</v>
      </c>
      <c r="D1674" t="s">
        <v>430</v>
      </c>
      <c r="E1674" t="s">
        <v>427</v>
      </c>
      <c r="F1674" t="s">
        <v>421</v>
      </c>
      <c r="G1674" t="s">
        <v>455</v>
      </c>
      <c r="H1674" t="s">
        <v>424</v>
      </c>
      <c r="I1674" t="s">
        <v>428</v>
      </c>
      <c r="J1674" t="s">
        <v>429</v>
      </c>
      <c r="N1674">
        <v>0</v>
      </c>
    </row>
    <row r="1675" spans="1:14" ht="15" customHeight="1" x14ac:dyDescent="0.25">
      <c r="A1675" s="82">
        <v>43950</v>
      </c>
      <c r="B1675" t="s">
        <v>426</v>
      </c>
      <c r="C1675" t="s">
        <v>425</v>
      </c>
      <c r="D1675" t="s">
        <v>430</v>
      </c>
      <c r="E1675" t="s">
        <v>455</v>
      </c>
      <c r="F1675" t="s">
        <v>421</v>
      </c>
      <c r="G1675" t="s">
        <v>427</v>
      </c>
      <c r="H1675" t="s">
        <v>424</v>
      </c>
      <c r="I1675" t="s">
        <v>428</v>
      </c>
      <c r="J1675" t="s">
        <v>429</v>
      </c>
      <c r="N1675">
        <v>0</v>
      </c>
    </row>
    <row r="1676" spans="1:14" ht="15" customHeight="1" x14ac:dyDescent="0.25">
      <c r="A1676" s="82">
        <v>43951</v>
      </c>
      <c r="B1676" t="s">
        <v>426</v>
      </c>
      <c r="C1676" t="s">
        <v>425</v>
      </c>
      <c r="D1676" t="s">
        <v>430</v>
      </c>
      <c r="E1676" t="s">
        <v>421</v>
      </c>
      <c r="F1676" t="s">
        <v>427</v>
      </c>
      <c r="G1676" t="s">
        <v>455</v>
      </c>
      <c r="H1676" t="s">
        <v>424</v>
      </c>
      <c r="I1676" t="s">
        <v>428</v>
      </c>
      <c r="J1676" t="s">
        <v>429</v>
      </c>
      <c r="N1676">
        <v>0</v>
      </c>
    </row>
    <row r="1677" spans="1:14" ht="15" customHeight="1" x14ac:dyDescent="0.25">
      <c r="A1677" s="82">
        <v>43952</v>
      </c>
      <c r="B1677" t="s">
        <v>427</v>
      </c>
      <c r="C1677" t="s">
        <v>425</v>
      </c>
      <c r="D1677" t="s">
        <v>421</v>
      </c>
      <c r="E1677" t="s">
        <v>429</v>
      </c>
      <c r="F1677" t="s">
        <v>455</v>
      </c>
      <c r="G1677" t="s">
        <v>424</v>
      </c>
      <c r="H1677" t="s">
        <v>424</v>
      </c>
      <c r="I1677" t="s">
        <v>425</v>
      </c>
      <c r="J1677" t="s">
        <v>426</v>
      </c>
      <c r="N1677">
        <v>0</v>
      </c>
    </row>
    <row r="1678" spans="1:14" ht="15" customHeight="1" x14ac:dyDescent="0.25">
      <c r="A1678" s="82">
        <v>43953</v>
      </c>
      <c r="B1678" t="s">
        <v>455</v>
      </c>
      <c r="C1678" t="s">
        <v>421</v>
      </c>
      <c r="D1678" t="s">
        <v>427</v>
      </c>
      <c r="E1678" t="s">
        <v>429</v>
      </c>
      <c r="F1678" t="s">
        <v>428</v>
      </c>
      <c r="G1678" t="s">
        <v>424</v>
      </c>
      <c r="H1678" t="s">
        <v>430</v>
      </c>
      <c r="I1678" t="s">
        <v>425</v>
      </c>
      <c r="J1678" t="s">
        <v>426</v>
      </c>
      <c r="N1678">
        <v>0</v>
      </c>
    </row>
    <row r="1679" spans="1:14" ht="15" customHeight="1" x14ac:dyDescent="0.25">
      <c r="A1679" s="82">
        <v>43954</v>
      </c>
      <c r="B1679" t="s">
        <v>427</v>
      </c>
      <c r="C1679" t="s">
        <v>421</v>
      </c>
      <c r="D1679" t="s">
        <v>455</v>
      </c>
      <c r="E1679" t="s">
        <v>429</v>
      </c>
      <c r="F1679" t="s">
        <v>428</v>
      </c>
      <c r="G1679" t="s">
        <v>424</v>
      </c>
      <c r="H1679" t="s">
        <v>430</v>
      </c>
      <c r="I1679" t="s">
        <v>425</v>
      </c>
      <c r="J1679" t="s">
        <v>426</v>
      </c>
      <c r="N1679">
        <v>0</v>
      </c>
    </row>
    <row r="1680" spans="1:14" ht="15" customHeight="1" x14ac:dyDescent="0.25">
      <c r="A1680" s="82">
        <v>43955</v>
      </c>
      <c r="B1680" t="s">
        <v>455</v>
      </c>
      <c r="C1680" t="s">
        <v>427</v>
      </c>
      <c r="D1680" t="s">
        <v>421</v>
      </c>
      <c r="E1680" t="s">
        <v>429</v>
      </c>
      <c r="F1680" t="s">
        <v>428</v>
      </c>
      <c r="G1680" t="s">
        <v>424</v>
      </c>
      <c r="H1680" t="s">
        <v>430</v>
      </c>
      <c r="I1680" t="s">
        <v>425</v>
      </c>
      <c r="J1680" t="s">
        <v>426</v>
      </c>
      <c r="N1680">
        <v>0</v>
      </c>
    </row>
    <row r="1681" spans="1:14" ht="15" customHeight="1" x14ac:dyDescent="0.25">
      <c r="A1681" s="82">
        <v>43956</v>
      </c>
      <c r="B1681" t="s">
        <v>421</v>
      </c>
      <c r="C1681" t="s">
        <v>455</v>
      </c>
      <c r="D1681" t="s">
        <v>427</v>
      </c>
      <c r="E1681" t="s">
        <v>429</v>
      </c>
      <c r="F1681" t="s">
        <v>428</v>
      </c>
      <c r="G1681" t="s">
        <v>424</v>
      </c>
      <c r="H1681" t="s">
        <v>430</v>
      </c>
      <c r="I1681" t="s">
        <v>425</v>
      </c>
      <c r="J1681" t="s">
        <v>426</v>
      </c>
      <c r="N1681">
        <v>0</v>
      </c>
    </row>
    <row r="1682" spans="1:14" ht="15" customHeight="1" x14ac:dyDescent="0.25">
      <c r="A1682" s="82">
        <v>43957</v>
      </c>
      <c r="B1682" t="s">
        <v>421</v>
      </c>
      <c r="C1682" t="s">
        <v>427</v>
      </c>
      <c r="D1682" t="s">
        <v>455</v>
      </c>
      <c r="E1682" t="s">
        <v>429</v>
      </c>
      <c r="F1682" t="s">
        <v>428</v>
      </c>
      <c r="G1682" t="s">
        <v>424</v>
      </c>
      <c r="H1682" t="s">
        <v>430</v>
      </c>
      <c r="I1682" t="s">
        <v>425</v>
      </c>
      <c r="J1682" t="s">
        <v>426</v>
      </c>
      <c r="N1682">
        <v>0</v>
      </c>
    </row>
    <row r="1683" spans="1:14" ht="15" customHeight="1" x14ac:dyDescent="0.25">
      <c r="A1683" s="82">
        <v>43958</v>
      </c>
      <c r="B1683" t="s">
        <v>427</v>
      </c>
      <c r="C1683" t="s">
        <v>455</v>
      </c>
      <c r="D1683" t="s">
        <v>421</v>
      </c>
      <c r="E1683" t="s">
        <v>429</v>
      </c>
      <c r="F1683" t="s">
        <v>428</v>
      </c>
      <c r="G1683" t="s">
        <v>424</v>
      </c>
      <c r="H1683" t="s">
        <v>430</v>
      </c>
      <c r="I1683" t="s">
        <v>425</v>
      </c>
      <c r="J1683" t="s">
        <v>426</v>
      </c>
      <c r="N1683">
        <v>0</v>
      </c>
    </row>
    <row r="1684" spans="1:14" ht="15" customHeight="1" x14ac:dyDescent="0.25">
      <c r="A1684" s="82">
        <v>43959</v>
      </c>
      <c r="B1684" t="s">
        <v>455</v>
      </c>
      <c r="C1684" t="s">
        <v>424</v>
      </c>
      <c r="D1684" t="s">
        <v>429</v>
      </c>
      <c r="E1684" t="s">
        <v>426</v>
      </c>
      <c r="F1684" t="s">
        <v>425</v>
      </c>
      <c r="G1684" t="s">
        <v>424</v>
      </c>
      <c r="H1684" t="s">
        <v>421</v>
      </c>
      <c r="I1684" t="s">
        <v>425</v>
      </c>
      <c r="J1684" t="s">
        <v>427</v>
      </c>
      <c r="N1684">
        <v>0</v>
      </c>
    </row>
    <row r="1685" spans="1:14" ht="15" customHeight="1" x14ac:dyDescent="0.25">
      <c r="A1685" s="82">
        <v>43960</v>
      </c>
      <c r="B1685" t="s">
        <v>428</v>
      </c>
      <c r="C1685" t="s">
        <v>424</v>
      </c>
      <c r="D1685" t="s">
        <v>429</v>
      </c>
      <c r="E1685" t="s">
        <v>426</v>
      </c>
      <c r="F1685" t="s">
        <v>425</v>
      </c>
      <c r="G1685" t="s">
        <v>430</v>
      </c>
      <c r="H1685" t="s">
        <v>427</v>
      </c>
      <c r="I1685" t="s">
        <v>421</v>
      </c>
      <c r="J1685" t="s">
        <v>455</v>
      </c>
      <c r="N1685">
        <v>0</v>
      </c>
    </row>
    <row r="1686" spans="1:14" ht="15" customHeight="1" x14ac:dyDescent="0.25">
      <c r="A1686" s="82">
        <v>43961</v>
      </c>
      <c r="B1686" t="s">
        <v>428</v>
      </c>
      <c r="C1686" t="s">
        <v>424</v>
      </c>
      <c r="D1686" t="s">
        <v>429</v>
      </c>
      <c r="E1686" t="s">
        <v>426</v>
      </c>
      <c r="F1686" t="s">
        <v>425</v>
      </c>
      <c r="G1686" t="s">
        <v>430</v>
      </c>
      <c r="H1686" t="s">
        <v>455</v>
      </c>
      <c r="I1686" t="s">
        <v>421</v>
      </c>
      <c r="J1686" t="s">
        <v>427</v>
      </c>
      <c r="N1686">
        <v>0</v>
      </c>
    </row>
    <row r="1687" spans="1:14" ht="15" customHeight="1" x14ac:dyDescent="0.25">
      <c r="A1687" s="82">
        <v>43962</v>
      </c>
      <c r="B1687" t="s">
        <v>428</v>
      </c>
      <c r="C1687" t="s">
        <v>424</v>
      </c>
      <c r="D1687" t="s">
        <v>429</v>
      </c>
      <c r="E1687" t="s">
        <v>426</v>
      </c>
      <c r="F1687" t="s">
        <v>425</v>
      </c>
      <c r="G1687" t="s">
        <v>430</v>
      </c>
      <c r="H1687" t="s">
        <v>421</v>
      </c>
      <c r="I1687" t="s">
        <v>427</v>
      </c>
      <c r="J1687" t="s">
        <v>455</v>
      </c>
      <c r="N1687">
        <v>0</v>
      </c>
    </row>
    <row r="1688" spans="1:14" ht="15" customHeight="1" x14ac:dyDescent="0.25">
      <c r="A1688" s="82">
        <v>43963</v>
      </c>
      <c r="B1688" t="s">
        <v>428</v>
      </c>
      <c r="C1688" t="s">
        <v>424</v>
      </c>
      <c r="D1688" t="s">
        <v>429</v>
      </c>
      <c r="E1688" t="s">
        <v>426</v>
      </c>
      <c r="F1688" t="s">
        <v>425</v>
      </c>
      <c r="G1688" t="s">
        <v>430</v>
      </c>
      <c r="H1688" t="s">
        <v>427</v>
      </c>
      <c r="I1688" t="s">
        <v>455</v>
      </c>
      <c r="J1688" t="s">
        <v>421</v>
      </c>
      <c r="N1688">
        <v>0</v>
      </c>
    </row>
    <row r="1689" spans="1:14" ht="15" customHeight="1" x14ac:dyDescent="0.25">
      <c r="A1689" s="82">
        <v>43964</v>
      </c>
      <c r="B1689" t="s">
        <v>428</v>
      </c>
      <c r="C1689" t="s">
        <v>424</v>
      </c>
      <c r="D1689" t="s">
        <v>429</v>
      </c>
      <c r="E1689" t="s">
        <v>426</v>
      </c>
      <c r="F1689" t="s">
        <v>425</v>
      </c>
      <c r="G1689" t="s">
        <v>430</v>
      </c>
      <c r="H1689" t="s">
        <v>455</v>
      </c>
      <c r="I1689" t="s">
        <v>427</v>
      </c>
      <c r="J1689" t="s">
        <v>421</v>
      </c>
      <c r="N1689">
        <v>0</v>
      </c>
    </row>
    <row r="1690" spans="1:14" ht="15" customHeight="1" x14ac:dyDescent="0.25">
      <c r="A1690" s="82">
        <v>43965</v>
      </c>
      <c r="B1690" t="s">
        <v>428</v>
      </c>
      <c r="C1690" t="s">
        <v>424</v>
      </c>
      <c r="D1690" t="s">
        <v>429</v>
      </c>
      <c r="E1690" t="s">
        <v>426</v>
      </c>
      <c r="F1690" t="s">
        <v>425</v>
      </c>
      <c r="G1690" t="s">
        <v>430</v>
      </c>
      <c r="H1690" t="s">
        <v>421</v>
      </c>
      <c r="I1690" t="s">
        <v>455</v>
      </c>
      <c r="J1690" t="s">
        <v>427</v>
      </c>
      <c r="N1690">
        <v>0</v>
      </c>
    </row>
    <row r="1691" spans="1:14" ht="15" customHeight="1" x14ac:dyDescent="0.25">
      <c r="A1691" s="82">
        <v>43966</v>
      </c>
      <c r="B1691" t="s">
        <v>425</v>
      </c>
      <c r="C1691" t="s">
        <v>424</v>
      </c>
      <c r="D1691" t="s">
        <v>426</v>
      </c>
      <c r="E1691" t="s">
        <v>427</v>
      </c>
      <c r="F1691" t="s">
        <v>425</v>
      </c>
      <c r="G1691" t="s">
        <v>421</v>
      </c>
      <c r="H1691" t="s">
        <v>429</v>
      </c>
      <c r="I1691" t="s">
        <v>424</v>
      </c>
      <c r="J1691" t="s">
        <v>455</v>
      </c>
      <c r="N1691">
        <v>0</v>
      </c>
    </row>
    <row r="1692" spans="1:14" ht="15" customHeight="1" x14ac:dyDescent="0.25">
      <c r="A1692" s="82">
        <v>43967</v>
      </c>
      <c r="B1692" t="s">
        <v>425</v>
      </c>
      <c r="C1692" t="s">
        <v>430</v>
      </c>
      <c r="D1692" t="s">
        <v>426</v>
      </c>
      <c r="E1692" t="s">
        <v>455</v>
      </c>
      <c r="F1692" t="s">
        <v>421</v>
      </c>
      <c r="G1692" t="s">
        <v>427</v>
      </c>
      <c r="H1692" t="s">
        <v>429</v>
      </c>
      <c r="I1692" t="s">
        <v>424</v>
      </c>
      <c r="J1692" t="s">
        <v>428</v>
      </c>
      <c r="N1692">
        <v>0</v>
      </c>
    </row>
    <row r="1693" spans="1:14" ht="15" customHeight="1" x14ac:dyDescent="0.25">
      <c r="A1693" s="82">
        <v>43968</v>
      </c>
      <c r="B1693" t="s">
        <v>425</v>
      </c>
      <c r="C1693" t="s">
        <v>430</v>
      </c>
      <c r="D1693" t="s">
        <v>426</v>
      </c>
      <c r="E1693" t="s">
        <v>427</v>
      </c>
      <c r="F1693" t="s">
        <v>421</v>
      </c>
      <c r="G1693" t="s">
        <v>455</v>
      </c>
      <c r="H1693" t="s">
        <v>429</v>
      </c>
      <c r="I1693" t="s">
        <v>424</v>
      </c>
      <c r="J1693" t="s">
        <v>428</v>
      </c>
      <c r="N1693">
        <v>0</v>
      </c>
    </row>
    <row r="1694" spans="1:14" ht="15" customHeight="1" x14ac:dyDescent="0.25">
      <c r="A1694" s="82">
        <v>43969</v>
      </c>
      <c r="B1694" t="s">
        <v>425</v>
      </c>
      <c r="C1694" t="s">
        <v>430</v>
      </c>
      <c r="D1694" t="s">
        <v>426</v>
      </c>
      <c r="E1694" t="s">
        <v>455</v>
      </c>
      <c r="F1694" t="s">
        <v>427</v>
      </c>
      <c r="G1694" t="s">
        <v>421</v>
      </c>
      <c r="H1694" t="s">
        <v>429</v>
      </c>
      <c r="I1694" t="s">
        <v>424</v>
      </c>
      <c r="J1694" t="s">
        <v>428</v>
      </c>
      <c r="N1694">
        <v>0</v>
      </c>
    </row>
    <row r="1695" spans="1:14" ht="15" customHeight="1" x14ac:dyDescent="0.25">
      <c r="A1695" s="82">
        <v>43970</v>
      </c>
      <c r="B1695" t="s">
        <v>425</v>
      </c>
      <c r="C1695" t="s">
        <v>430</v>
      </c>
      <c r="D1695" t="s">
        <v>426</v>
      </c>
      <c r="E1695" t="s">
        <v>421</v>
      </c>
      <c r="F1695" t="s">
        <v>455</v>
      </c>
      <c r="G1695" t="s">
        <v>427</v>
      </c>
      <c r="H1695" t="s">
        <v>429</v>
      </c>
      <c r="I1695" t="s">
        <v>424</v>
      </c>
      <c r="J1695" t="s">
        <v>428</v>
      </c>
      <c r="N1695">
        <v>0</v>
      </c>
    </row>
    <row r="1696" spans="1:14" ht="15" customHeight="1" x14ac:dyDescent="0.25">
      <c r="A1696" s="82">
        <v>43971</v>
      </c>
      <c r="B1696" t="s">
        <v>425</v>
      </c>
      <c r="C1696" t="s">
        <v>430</v>
      </c>
      <c r="D1696" t="s">
        <v>426</v>
      </c>
      <c r="E1696" t="s">
        <v>421</v>
      </c>
      <c r="F1696" t="s">
        <v>427</v>
      </c>
      <c r="G1696" t="s">
        <v>455</v>
      </c>
      <c r="H1696" t="s">
        <v>429</v>
      </c>
      <c r="I1696" t="s">
        <v>424</v>
      </c>
      <c r="J1696" t="s">
        <v>428</v>
      </c>
      <c r="N1696">
        <v>0</v>
      </c>
    </row>
    <row r="1697" spans="1:14" ht="15" customHeight="1" x14ac:dyDescent="0.25">
      <c r="A1697" s="82">
        <v>43972</v>
      </c>
      <c r="B1697" t="s">
        <v>425</v>
      </c>
      <c r="C1697" t="s">
        <v>430</v>
      </c>
      <c r="D1697" t="s">
        <v>426</v>
      </c>
      <c r="E1697" t="s">
        <v>427</v>
      </c>
      <c r="F1697" t="s">
        <v>455</v>
      </c>
      <c r="G1697" t="s">
        <v>421</v>
      </c>
      <c r="H1697" t="s">
        <v>429</v>
      </c>
      <c r="I1697" t="s">
        <v>424</v>
      </c>
      <c r="J1697" t="s">
        <v>428</v>
      </c>
      <c r="N1697">
        <v>0</v>
      </c>
    </row>
    <row r="1698" spans="1:14" ht="15" customHeight="1" x14ac:dyDescent="0.25">
      <c r="A1698" s="82">
        <v>43973</v>
      </c>
      <c r="B1698" t="s">
        <v>425</v>
      </c>
      <c r="C1698" t="s">
        <v>421</v>
      </c>
      <c r="D1698" t="s">
        <v>427</v>
      </c>
      <c r="E1698" t="s">
        <v>455</v>
      </c>
      <c r="F1698" t="s">
        <v>424</v>
      </c>
      <c r="G1698" t="s">
        <v>429</v>
      </c>
      <c r="H1698" t="s">
        <v>426</v>
      </c>
      <c r="I1698" t="s">
        <v>424</v>
      </c>
      <c r="J1698" t="s">
        <v>425</v>
      </c>
      <c r="N1698">
        <v>0</v>
      </c>
    </row>
    <row r="1699" spans="1:14" ht="15" customHeight="1" x14ac:dyDescent="0.25">
      <c r="A1699" s="82">
        <v>43974</v>
      </c>
      <c r="B1699" t="s">
        <v>421</v>
      </c>
      <c r="C1699" t="s">
        <v>427</v>
      </c>
      <c r="D1699" t="s">
        <v>455</v>
      </c>
      <c r="E1699" t="s">
        <v>428</v>
      </c>
      <c r="F1699" t="s">
        <v>424</v>
      </c>
      <c r="G1699" t="s">
        <v>429</v>
      </c>
      <c r="H1699" t="s">
        <v>426</v>
      </c>
      <c r="I1699" t="s">
        <v>430</v>
      </c>
      <c r="J1699" t="s">
        <v>425</v>
      </c>
      <c r="N1699">
        <v>0</v>
      </c>
    </row>
    <row r="1700" spans="1:14" ht="15" customHeight="1" x14ac:dyDescent="0.25">
      <c r="A1700" s="82">
        <v>43975</v>
      </c>
      <c r="B1700" t="s">
        <v>421</v>
      </c>
      <c r="C1700" t="s">
        <v>455</v>
      </c>
      <c r="D1700" t="s">
        <v>427</v>
      </c>
      <c r="E1700" t="s">
        <v>428</v>
      </c>
      <c r="F1700" t="s">
        <v>424</v>
      </c>
      <c r="G1700" t="s">
        <v>429</v>
      </c>
      <c r="H1700" t="s">
        <v>426</v>
      </c>
      <c r="I1700" t="s">
        <v>430</v>
      </c>
      <c r="J1700" t="s">
        <v>425</v>
      </c>
      <c r="N1700">
        <v>0</v>
      </c>
    </row>
    <row r="1701" spans="1:14" ht="15" customHeight="1" x14ac:dyDescent="0.25">
      <c r="A1701" s="82">
        <v>43976</v>
      </c>
      <c r="B1701" t="s">
        <v>427</v>
      </c>
      <c r="C1701" t="s">
        <v>421</v>
      </c>
      <c r="D1701" t="s">
        <v>455</v>
      </c>
      <c r="E1701" t="s">
        <v>428</v>
      </c>
      <c r="F1701" t="s">
        <v>424</v>
      </c>
      <c r="G1701" t="s">
        <v>429</v>
      </c>
      <c r="H1701" t="s">
        <v>426</v>
      </c>
      <c r="I1701" t="s">
        <v>430</v>
      </c>
      <c r="J1701" t="s">
        <v>425</v>
      </c>
      <c r="N1701">
        <v>0</v>
      </c>
    </row>
    <row r="1702" spans="1:14" ht="15" customHeight="1" x14ac:dyDescent="0.25">
      <c r="A1702" s="82">
        <v>43977</v>
      </c>
      <c r="B1702" t="s">
        <v>455</v>
      </c>
      <c r="C1702" t="s">
        <v>427</v>
      </c>
      <c r="D1702" t="s">
        <v>421</v>
      </c>
      <c r="E1702" t="s">
        <v>428</v>
      </c>
      <c r="F1702" t="s">
        <v>424</v>
      </c>
      <c r="G1702" t="s">
        <v>429</v>
      </c>
      <c r="H1702" t="s">
        <v>426</v>
      </c>
      <c r="I1702" t="s">
        <v>430</v>
      </c>
      <c r="J1702" t="s">
        <v>425</v>
      </c>
      <c r="N1702">
        <v>0</v>
      </c>
    </row>
    <row r="1703" spans="1:14" ht="15" customHeight="1" x14ac:dyDescent="0.25">
      <c r="A1703" s="82">
        <v>43978</v>
      </c>
      <c r="B1703" t="s">
        <v>427</v>
      </c>
      <c r="C1703" t="s">
        <v>455</v>
      </c>
      <c r="D1703" t="s">
        <v>421</v>
      </c>
      <c r="E1703" t="s">
        <v>428</v>
      </c>
      <c r="F1703" t="s">
        <v>424</v>
      </c>
      <c r="G1703" t="s">
        <v>429</v>
      </c>
      <c r="H1703" t="s">
        <v>426</v>
      </c>
      <c r="I1703" t="s">
        <v>430</v>
      </c>
      <c r="J1703" t="s">
        <v>425</v>
      </c>
      <c r="N1703">
        <v>0</v>
      </c>
    </row>
    <row r="1704" spans="1:14" ht="15" customHeight="1" x14ac:dyDescent="0.25">
      <c r="A1704" s="82">
        <v>43979</v>
      </c>
      <c r="B1704" t="s">
        <v>455</v>
      </c>
      <c r="C1704" t="s">
        <v>421</v>
      </c>
      <c r="D1704" t="s">
        <v>427</v>
      </c>
      <c r="E1704" t="s">
        <v>428</v>
      </c>
      <c r="F1704" t="s">
        <v>424</v>
      </c>
      <c r="G1704" t="s">
        <v>429</v>
      </c>
      <c r="H1704" t="s">
        <v>426</v>
      </c>
      <c r="I1704" t="s">
        <v>430</v>
      </c>
      <c r="J1704" t="s">
        <v>425</v>
      </c>
      <c r="N1704">
        <v>0</v>
      </c>
    </row>
    <row r="1705" spans="1:14" ht="15" customHeight="1" x14ac:dyDescent="0.25">
      <c r="A1705" s="82">
        <v>43980</v>
      </c>
      <c r="B1705" t="s">
        <v>424</v>
      </c>
      <c r="C1705" t="s">
        <v>429</v>
      </c>
      <c r="D1705" t="s">
        <v>455</v>
      </c>
      <c r="E1705" t="s">
        <v>425</v>
      </c>
      <c r="F1705" t="s">
        <v>424</v>
      </c>
      <c r="G1705" t="s">
        <v>426</v>
      </c>
      <c r="H1705" t="s">
        <v>427</v>
      </c>
      <c r="I1705" t="s">
        <v>421</v>
      </c>
      <c r="J1705" t="s">
        <v>425</v>
      </c>
      <c r="N1705">
        <v>0</v>
      </c>
    </row>
    <row r="1706" spans="1:14" ht="15" customHeight="1" x14ac:dyDescent="0.25">
      <c r="A1706" s="82">
        <v>43981</v>
      </c>
      <c r="B1706" t="s">
        <v>424</v>
      </c>
      <c r="C1706" t="s">
        <v>429</v>
      </c>
      <c r="D1706" t="s">
        <v>428</v>
      </c>
      <c r="E1706" t="s">
        <v>425</v>
      </c>
      <c r="F1706" t="s">
        <v>430</v>
      </c>
      <c r="G1706" t="s">
        <v>426</v>
      </c>
      <c r="H1706" t="s">
        <v>455</v>
      </c>
      <c r="I1706" t="s">
        <v>427</v>
      </c>
      <c r="J1706" t="s">
        <v>421</v>
      </c>
      <c r="N1706">
        <v>0</v>
      </c>
    </row>
    <row r="1707" spans="1:14" ht="15" customHeight="1" x14ac:dyDescent="0.25">
      <c r="A1707" s="82">
        <v>43982</v>
      </c>
      <c r="B1707" t="s">
        <v>424</v>
      </c>
      <c r="C1707" t="s">
        <v>429</v>
      </c>
      <c r="D1707" t="s">
        <v>428</v>
      </c>
      <c r="E1707" t="s">
        <v>425</v>
      </c>
      <c r="F1707" t="s">
        <v>430</v>
      </c>
      <c r="G1707" t="s">
        <v>426</v>
      </c>
      <c r="H1707" t="s">
        <v>427</v>
      </c>
      <c r="I1707" t="s">
        <v>455</v>
      </c>
      <c r="J1707" t="s">
        <v>421</v>
      </c>
      <c r="N1707">
        <v>0</v>
      </c>
    </row>
    <row r="1708" spans="1:14" ht="15" customHeight="1" x14ac:dyDescent="0.25">
      <c r="A1708" s="82">
        <v>43983</v>
      </c>
      <c r="B1708" t="s">
        <v>424</v>
      </c>
      <c r="C1708" t="s">
        <v>429</v>
      </c>
      <c r="D1708" t="s">
        <v>428</v>
      </c>
      <c r="E1708" t="s">
        <v>425</v>
      </c>
      <c r="F1708" t="s">
        <v>430</v>
      </c>
      <c r="G1708" t="s">
        <v>426</v>
      </c>
      <c r="H1708" t="s">
        <v>455</v>
      </c>
      <c r="I1708" t="s">
        <v>421</v>
      </c>
      <c r="J1708" t="s">
        <v>427</v>
      </c>
      <c r="N1708">
        <v>0</v>
      </c>
    </row>
    <row r="1709" spans="1:14" ht="15" customHeight="1" x14ac:dyDescent="0.25">
      <c r="A1709" s="82">
        <v>43984</v>
      </c>
      <c r="B1709" t="s">
        <v>424</v>
      </c>
      <c r="C1709" t="s">
        <v>429</v>
      </c>
      <c r="D1709" t="s">
        <v>428</v>
      </c>
      <c r="E1709" t="s">
        <v>425</v>
      </c>
      <c r="F1709" t="s">
        <v>430</v>
      </c>
      <c r="G1709" t="s">
        <v>426</v>
      </c>
      <c r="H1709" t="s">
        <v>421</v>
      </c>
      <c r="I1709" t="s">
        <v>427</v>
      </c>
      <c r="J1709" t="s">
        <v>455</v>
      </c>
      <c r="N1709">
        <v>0</v>
      </c>
    </row>
    <row r="1710" spans="1:14" ht="15" customHeight="1" x14ac:dyDescent="0.25">
      <c r="A1710" s="82">
        <v>43985</v>
      </c>
      <c r="B1710" t="s">
        <v>424</v>
      </c>
      <c r="C1710" t="s">
        <v>429</v>
      </c>
      <c r="D1710" t="s">
        <v>428</v>
      </c>
      <c r="E1710" t="s">
        <v>425</v>
      </c>
      <c r="F1710" t="s">
        <v>430</v>
      </c>
      <c r="G1710" t="s">
        <v>426</v>
      </c>
      <c r="H1710" t="s">
        <v>421</v>
      </c>
      <c r="I1710" t="s">
        <v>455</v>
      </c>
      <c r="J1710" t="s">
        <v>427</v>
      </c>
      <c r="N1710">
        <v>0</v>
      </c>
    </row>
    <row r="1711" spans="1:14" ht="15" customHeight="1" x14ac:dyDescent="0.25">
      <c r="A1711" s="82">
        <v>43986</v>
      </c>
      <c r="B1711" t="s">
        <v>424</v>
      </c>
      <c r="C1711" t="s">
        <v>429</v>
      </c>
      <c r="D1711" t="s">
        <v>428</v>
      </c>
      <c r="E1711" t="s">
        <v>425</v>
      </c>
      <c r="F1711" t="s">
        <v>430</v>
      </c>
      <c r="G1711" t="s">
        <v>426</v>
      </c>
      <c r="H1711" t="s">
        <v>427</v>
      </c>
      <c r="I1711" t="s">
        <v>421</v>
      </c>
      <c r="J1711" t="s">
        <v>455</v>
      </c>
      <c r="N1711">
        <v>0</v>
      </c>
    </row>
    <row r="1712" spans="1:14" ht="15" customHeight="1" x14ac:dyDescent="0.25">
      <c r="A1712" s="82">
        <v>43987</v>
      </c>
      <c r="B1712" t="s">
        <v>424</v>
      </c>
      <c r="C1712" t="s">
        <v>426</v>
      </c>
      <c r="D1712" t="s">
        <v>425</v>
      </c>
      <c r="E1712" t="s">
        <v>425</v>
      </c>
      <c r="F1712" t="s">
        <v>421</v>
      </c>
      <c r="G1712" t="s">
        <v>427</v>
      </c>
      <c r="H1712" t="s">
        <v>455</v>
      </c>
      <c r="I1712" t="s">
        <v>429</v>
      </c>
      <c r="J1712" t="s">
        <v>424</v>
      </c>
      <c r="N1712">
        <v>0</v>
      </c>
    </row>
    <row r="1713" spans="1:14" ht="15" customHeight="1" x14ac:dyDescent="0.25">
      <c r="A1713" s="82">
        <v>43988</v>
      </c>
      <c r="B1713" t="s">
        <v>430</v>
      </c>
      <c r="C1713" t="s">
        <v>426</v>
      </c>
      <c r="D1713" t="s">
        <v>425</v>
      </c>
      <c r="E1713" t="s">
        <v>421</v>
      </c>
      <c r="F1713" t="s">
        <v>427</v>
      </c>
      <c r="G1713" t="s">
        <v>455</v>
      </c>
      <c r="H1713" t="s">
        <v>428</v>
      </c>
      <c r="I1713" t="s">
        <v>429</v>
      </c>
      <c r="J1713" t="s">
        <v>424</v>
      </c>
      <c r="N1713">
        <v>0</v>
      </c>
    </row>
    <row r="1714" spans="1:14" ht="15" customHeight="1" x14ac:dyDescent="0.25">
      <c r="A1714" s="82">
        <v>43989</v>
      </c>
      <c r="B1714" t="s">
        <v>430</v>
      </c>
      <c r="C1714" t="s">
        <v>426</v>
      </c>
      <c r="D1714" t="s">
        <v>425</v>
      </c>
      <c r="E1714" t="s">
        <v>421</v>
      </c>
      <c r="F1714" t="s">
        <v>455</v>
      </c>
      <c r="G1714" t="s">
        <v>427</v>
      </c>
      <c r="H1714" t="s">
        <v>428</v>
      </c>
      <c r="I1714" t="s">
        <v>429</v>
      </c>
      <c r="J1714" t="s">
        <v>424</v>
      </c>
      <c r="N1714">
        <v>0</v>
      </c>
    </row>
    <row r="1715" spans="1:14" ht="15" customHeight="1" x14ac:dyDescent="0.25">
      <c r="A1715" s="82">
        <v>43990</v>
      </c>
      <c r="B1715" t="s">
        <v>430</v>
      </c>
      <c r="C1715" t="s">
        <v>426</v>
      </c>
      <c r="D1715" t="s">
        <v>425</v>
      </c>
      <c r="E1715" t="s">
        <v>427</v>
      </c>
      <c r="F1715" t="s">
        <v>421</v>
      </c>
      <c r="G1715" t="s">
        <v>455</v>
      </c>
      <c r="H1715" t="s">
        <v>428</v>
      </c>
      <c r="I1715" t="s">
        <v>429</v>
      </c>
      <c r="J1715" t="s">
        <v>424</v>
      </c>
      <c r="N1715">
        <v>0</v>
      </c>
    </row>
    <row r="1716" spans="1:14" ht="15" customHeight="1" x14ac:dyDescent="0.25">
      <c r="A1716" s="82">
        <v>43991</v>
      </c>
      <c r="B1716" t="s">
        <v>430</v>
      </c>
      <c r="C1716" t="s">
        <v>426</v>
      </c>
      <c r="D1716" t="s">
        <v>425</v>
      </c>
      <c r="E1716" t="s">
        <v>455</v>
      </c>
      <c r="F1716" t="s">
        <v>427</v>
      </c>
      <c r="G1716" t="s">
        <v>421</v>
      </c>
      <c r="H1716" t="s">
        <v>428</v>
      </c>
      <c r="I1716" t="s">
        <v>429</v>
      </c>
      <c r="J1716" t="s">
        <v>424</v>
      </c>
      <c r="N1716">
        <v>0</v>
      </c>
    </row>
    <row r="1717" spans="1:14" ht="15" customHeight="1" x14ac:dyDescent="0.25">
      <c r="A1717" s="82">
        <v>43992</v>
      </c>
      <c r="B1717" t="s">
        <v>430</v>
      </c>
      <c r="C1717" t="s">
        <v>426</v>
      </c>
      <c r="D1717" t="s">
        <v>425</v>
      </c>
      <c r="E1717" t="s">
        <v>427</v>
      </c>
      <c r="F1717" t="s">
        <v>455</v>
      </c>
      <c r="G1717" t="s">
        <v>421</v>
      </c>
      <c r="H1717" t="s">
        <v>428</v>
      </c>
      <c r="I1717" t="s">
        <v>429</v>
      </c>
      <c r="J1717" t="s">
        <v>424</v>
      </c>
      <c r="N1717">
        <v>0</v>
      </c>
    </row>
    <row r="1718" spans="1:14" ht="15" customHeight="1" x14ac:dyDescent="0.25">
      <c r="A1718" s="82">
        <v>43993</v>
      </c>
      <c r="B1718" t="s">
        <v>430</v>
      </c>
      <c r="C1718" t="s">
        <v>426</v>
      </c>
      <c r="D1718" t="s">
        <v>425</v>
      </c>
      <c r="E1718" t="s">
        <v>455</v>
      </c>
      <c r="F1718" t="s">
        <v>421</v>
      </c>
      <c r="G1718" t="s">
        <v>427</v>
      </c>
      <c r="H1718" t="s">
        <v>428</v>
      </c>
      <c r="I1718" t="s">
        <v>429</v>
      </c>
      <c r="J1718" t="s">
        <v>424</v>
      </c>
      <c r="N1718">
        <v>0</v>
      </c>
    </row>
    <row r="1719" spans="1:14" ht="15" customHeight="1" x14ac:dyDescent="0.25">
      <c r="A1719" s="82">
        <v>43994</v>
      </c>
      <c r="B1719" t="s">
        <v>421</v>
      </c>
      <c r="C1719" t="s">
        <v>427</v>
      </c>
      <c r="D1719" t="s">
        <v>425</v>
      </c>
      <c r="E1719" t="s">
        <v>424</v>
      </c>
      <c r="F1719" t="s">
        <v>429</v>
      </c>
      <c r="G1719" t="s">
        <v>455</v>
      </c>
      <c r="H1719" t="s">
        <v>425</v>
      </c>
      <c r="I1719" t="s">
        <v>426</v>
      </c>
      <c r="J1719" t="s">
        <v>430</v>
      </c>
      <c r="N1719">
        <v>0</v>
      </c>
    </row>
    <row r="1720" spans="1:14" ht="15" customHeight="1" x14ac:dyDescent="0.25">
      <c r="A1720" s="82">
        <v>43995</v>
      </c>
      <c r="B1720" t="s">
        <v>427</v>
      </c>
      <c r="C1720" t="s">
        <v>455</v>
      </c>
      <c r="D1720" t="s">
        <v>421</v>
      </c>
      <c r="E1720" t="s">
        <v>424</v>
      </c>
      <c r="F1720" t="s">
        <v>429</v>
      </c>
      <c r="G1720" t="s">
        <v>428</v>
      </c>
      <c r="H1720" t="s">
        <v>425</v>
      </c>
      <c r="I1720" t="s">
        <v>426</v>
      </c>
      <c r="J1720" t="s">
        <v>430</v>
      </c>
      <c r="N1720">
        <v>0</v>
      </c>
    </row>
    <row r="1721" spans="1:14" ht="15" customHeight="1" x14ac:dyDescent="0.25">
      <c r="A1721" s="82">
        <v>43996</v>
      </c>
      <c r="B1721" t="s">
        <v>455</v>
      </c>
      <c r="C1721" t="s">
        <v>427</v>
      </c>
      <c r="D1721" t="s">
        <v>421</v>
      </c>
      <c r="E1721" t="s">
        <v>424</v>
      </c>
      <c r="F1721" t="s">
        <v>429</v>
      </c>
      <c r="G1721" t="s">
        <v>428</v>
      </c>
      <c r="H1721" t="s">
        <v>425</v>
      </c>
      <c r="I1721" t="s">
        <v>426</v>
      </c>
      <c r="J1721" t="s">
        <v>430</v>
      </c>
      <c r="N1721">
        <v>0</v>
      </c>
    </row>
    <row r="1722" spans="1:14" ht="15" customHeight="1" x14ac:dyDescent="0.25">
      <c r="A1722" s="82">
        <v>43997</v>
      </c>
      <c r="B1722" t="s">
        <v>421</v>
      </c>
      <c r="C1722" t="s">
        <v>455</v>
      </c>
      <c r="D1722" t="s">
        <v>427</v>
      </c>
      <c r="E1722" t="s">
        <v>424</v>
      </c>
      <c r="F1722" t="s">
        <v>514</v>
      </c>
      <c r="G1722" t="s">
        <v>428</v>
      </c>
      <c r="H1722" t="s">
        <v>425</v>
      </c>
      <c r="I1722" t="s">
        <v>426</v>
      </c>
      <c r="J1722" t="s">
        <v>430</v>
      </c>
      <c r="N1722">
        <v>0</v>
      </c>
    </row>
    <row r="1723" spans="1:14" ht="15" customHeight="1" x14ac:dyDescent="0.25">
      <c r="A1723" s="82">
        <v>43998</v>
      </c>
      <c r="B1723" t="s">
        <v>427</v>
      </c>
      <c r="C1723" t="s">
        <v>421</v>
      </c>
      <c r="D1723" t="s">
        <v>455</v>
      </c>
      <c r="E1723" t="s">
        <v>424</v>
      </c>
      <c r="F1723" t="s">
        <v>514</v>
      </c>
      <c r="G1723" t="s">
        <v>428</v>
      </c>
      <c r="H1723" t="s">
        <v>425</v>
      </c>
      <c r="I1723" t="s">
        <v>426</v>
      </c>
      <c r="J1723" t="s">
        <v>430</v>
      </c>
      <c r="N1723">
        <v>0</v>
      </c>
    </row>
    <row r="1724" spans="1:14" ht="15" customHeight="1" x14ac:dyDescent="0.25">
      <c r="A1724" s="82">
        <v>43999</v>
      </c>
      <c r="B1724" t="s">
        <v>455</v>
      </c>
      <c r="C1724" t="s">
        <v>421</v>
      </c>
      <c r="D1724" t="s">
        <v>427</v>
      </c>
      <c r="E1724" t="s">
        <v>424</v>
      </c>
      <c r="F1724" t="s">
        <v>514</v>
      </c>
      <c r="G1724" t="s">
        <v>428</v>
      </c>
      <c r="H1724" t="s">
        <v>425</v>
      </c>
      <c r="I1724" t="s">
        <v>426</v>
      </c>
      <c r="J1724" t="s">
        <v>430</v>
      </c>
      <c r="N1724">
        <v>0</v>
      </c>
    </row>
    <row r="1725" spans="1:14" ht="15" customHeight="1" x14ac:dyDescent="0.25">
      <c r="A1725" s="82">
        <v>44000</v>
      </c>
      <c r="B1725" t="s">
        <v>514</v>
      </c>
      <c r="C1725" t="s">
        <v>427</v>
      </c>
      <c r="D1725" t="s">
        <v>455</v>
      </c>
      <c r="E1725" t="s">
        <v>424</v>
      </c>
      <c r="F1725" t="s">
        <v>514</v>
      </c>
      <c r="G1725" t="s">
        <v>428</v>
      </c>
      <c r="H1725" t="s">
        <v>425</v>
      </c>
      <c r="I1725" t="s">
        <v>426</v>
      </c>
      <c r="J1725" t="s">
        <v>430</v>
      </c>
      <c r="N1725">
        <v>0</v>
      </c>
    </row>
    <row r="1726" spans="1:14" ht="15" customHeight="1" x14ac:dyDescent="0.25">
      <c r="A1726" s="82">
        <v>44001</v>
      </c>
      <c r="B1726" t="s">
        <v>514</v>
      </c>
      <c r="C1726" t="s">
        <v>455</v>
      </c>
      <c r="D1726" t="s">
        <v>424</v>
      </c>
      <c r="E1726" t="s">
        <v>424</v>
      </c>
      <c r="F1726" t="s">
        <v>426</v>
      </c>
      <c r="G1726" t="s">
        <v>425</v>
      </c>
      <c r="H1726" t="s">
        <v>425</v>
      </c>
      <c r="I1726" t="s">
        <v>427</v>
      </c>
      <c r="J1726" t="s">
        <v>421</v>
      </c>
      <c r="N1726">
        <v>0</v>
      </c>
    </row>
    <row r="1727" spans="1:14" ht="15" customHeight="1" x14ac:dyDescent="0.25">
      <c r="A1727" s="82">
        <v>44002</v>
      </c>
      <c r="B1727" t="s">
        <v>514</v>
      </c>
      <c r="C1727" t="s">
        <v>428</v>
      </c>
      <c r="D1727" t="s">
        <v>424</v>
      </c>
      <c r="E1727" t="s">
        <v>430</v>
      </c>
      <c r="F1727" t="s">
        <v>426</v>
      </c>
      <c r="G1727" t="s">
        <v>425</v>
      </c>
      <c r="H1727" t="s">
        <v>421</v>
      </c>
      <c r="I1727" t="s">
        <v>455</v>
      </c>
      <c r="J1727" t="s">
        <v>427</v>
      </c>
      <c r="N1727">
        <v>0</v>
      </c>
    </row>
    <row r="1728" spans="1:14" ht="15" customHeight="1" x14ac:dyDescent="0.25">
      <c r="A1728" s="82">
        <v>44003</v>
      </c>
      <c r="B1728" t="s">
        <v>514</v>
      </c>
      <c r="C1728" t="s">
        <v>428</v>
      </c>
      <c r="D1728" t="s">
        <v>424</v>
      </c>
      <c r="E1728" t="s">
        <v>430</v>
      </c>
      <c r="F1728" t="s">
        <v>426</v>
      </c>
      <c r="G1728" t="s">
        <v>425</v>
      </c>
      <c r="H1728" t="s">
        <v>421</v>
      </c>
      <c r="I1728" t="s">
        <v>427</v>
      </c>
      <c r="J1728" t="s">
        <v>455</v>
      </c>
      <c r="N1728">
        <v>0</v>
      </c>
    </row>
    <row r="1729" spans="1:14" ht="15" customHeight="1" x14ac:dyDescent="0.25">
      <c r="A1729" s="82">
        <v>44004</v>
      </c>
      <c r="B1729" t="s">
        <v>514</v>
      </c>
      <c r="C1729" t="s">
        <v>428</v>
      </c>
      <c r="D1729" t="s">
        <v>424</v>
      </c>
      <c r="E1729" t="s">
        <v>430</v>
      </c>
      <c r="F1729" t="s">
        <v>426</v>
      </c>
      <c r="G1729" t="s">
        <v>425</v>
      </c>
      <c r="H1729" t="s">
        <v>427</v>
      </c>
      <c r="I1729" t="s">
        <v>455</v>
      </c>
      <c r="J1729" t="s">
        <v>421</v>
      </c>
      <c r="N1729">
        <v>0</v>
      </c>
    </row>
    <row r="1730" spans="1:14" ht="15" customHeight="1" x14ac:dyDescent="0.25">
      <c r="A1730" s="82">
        <v>44005</v>
      </c>
      <c r="B1730" t="s">
        <v>514</v>
      </c>
      <c r="C1730" t="s">
        <v>428</v>
      </c>
      <c r="D1730" t="s">
        <v>424</v>
      </c>
      <c r="E1730" t="s">
        <v>430</v>
      </c>
      <c r="F1730" t="s">
        <v>426</v>
      </c>
      <c r="G1730" t="s">
        <v>425</v>
      </c>
      <c r="H1730" t="s">
        <v>455</v>
      </c>
      <c r="I1730" t="s">
        <v>421</v>
      </c>
      <c r="J1730" t="s">
        <v>427</v>
      </c>
      <c r="N1730">
        <v>0</v>
      </c>
    </row>
    <row r="1731" spans="1:14" ht="15" customHeight="1" x14ac:dyDescent="0.25">
      <c r="A1731" s="82">
        <v>44006</v>
      </c>
      <c r="B1731" t="s">
        <v>514</v>
      </c>
      <c r="C1731" t="s">
        <v>428</v>
      </c>
      <c r="D1731" t="s">
        <v>424</v>
      </c>
      <c r="E1731" t="s">
        <v>430</v>
      </c>
      <c r="F1731" t="s">
        <v>426</v>
      </c>
      <c r="G1731" t="s">
        <v>425</v>
      </c>
      <c r="H1731" t="s">
        <v>427</v>
      </c>
      <c r="I1731" t="s">
        <v>421</v>
      </c>
      <c r="J1731" t="s">
        <v>455</v>
      </c>
      <c r="N1731">
        <v>0</v>
      </c>
    </row>
    <row r="1732" spans="1:14" ht="15" customHeight="1" x14ac:dyDescent="0.25">
      <c r="A1732" s="82">
        <v>44007</v>
      </c>
      <c r="B1732" t="s">
        <v>514</v>
      </c>
      <c r="C1732" t="s">
        <v>428</v>
      </c>
      <c r="D1732" t="s">
        <v>424</v>
      </c>
      <c r="E1732" t="s">
        <v>430</v>
      </c>
      <c r="F1732" t="s">
        <v>426</v>
      </c>
      <c r="G1732" t="s">
        <v>425</v>
      </c>
      <c r="H1732" t="s">
        <v>455</v>
      </c>
      <c r="I1732" t="s">
        <v>427</v>
      </c>
      <c r="J1732" t="s">
        <v>517</v>
      </c>
      <c r="N1732">
        <v>0</v>
      </c>
    </row>
    <row r="1733" spans="1:14" ht="15" customHeight="1" x14ac:dyDescent="0.25">
      <c r="A1733" s="82">
        <v>44008</v>
      </c>
      <c r="B1733" t="s">
        <v>426</v>
      </c>
      <c r="C1733" t="s">
        <v>425</v>
      </c>
      <c r="D1733" t="s">
        <v>424</v>
      </c>
      <c r="E1733" t="s">
        <v>421</v>
      </c>
      <c r="F1733" t="s">
        <v>427</v>
      </c>
      <c r="G1733" t="s">
        <v>425</v>
      </c>
      <c r="H1733" t="s">
        <v>424</v>
      </c>
      <c r="I1733" t="s">
        <v>455</v>
      </c>
      <c r="J1733" t="s">
        <v>514</v>
      </c>
      <c r="N1733">
        <v>0</v>
      </c>
    </row>
    <row r="1734" spans="1:14" ht="15" customHeight="1" x14ac:dyDescent="0.25">
      <c r="A1734" s="82">
        <v>44009</v>
      </c>
      <c r="B1734" t="s">
        <v>426</v>
      </c>
      <c r="C1734" t="s">
        <v>425</v>
      </c>
      <c r="D1734" t="s">
        <v>430</v>
      </c>
      <c r="E1734" t="s">
        <v>427</v>
      </c>
      <c r="F1734" t="s">
        <v>455</v>
      </c>
      <c r="G1734" t="s">
        <v>421</v>
      </c>
      <c r="H1734" t="s">
        <v>424</v>
      </c>
      <c r="I1734" t="s">
        <v>428</v>
      </c>
      <c r="J1734" t="s">
        <v>514</v>
      </c>
      <c r="N1734">
        <v>0</v>
      </c>
    </row>
    <row r="1735" spans="1:14" ht="15" customHeight="1" x14ac:dyDescent="0.25">
      <c r="A1735" s="82">
        <v>44010</v>
      </c>
      <c r="B1735" t="s">
        <v>426</v>
      </c>
      <c r="C1735" t="s">
        <v>425</v>
      </c>
      <c r="D1735" t="s">
        <v>430</v>
      </c>
      <c r="E1735" t="s">
        <v>455</v>
      </c>
      <c r="F1735" t="s">
        <v>427</v>
      </c>
      <c r="G1735" t="s">
        <v>421</v>
      </c>
      <c r="H1735" t="s">
        <v>424</v>
      </c>
      <c r="I1735" t="s">
        <v>428</v>
      </c>
      <c r="J1735" t="s">
        <v>514</v>
      </c>
      <c r="N1735">
        <v>0</v>
      </c>
    </row>
    <row r="1736" spans="1:14" ht="15" customHeight="1" x14ac:dyDescent="0.25">
      <c r="A1736" s="82">
        <v>44011</v>
      </c>
      <c r="B1736" t="s">
        <v>426</v>
      </c>
      <c r="C1736" t="s">
        <v>425</v>
      </c>
      <c r="D1736" t="s">
        <v>430</v>
      </c>
      <c r="E1736" t="s">
        <v>421</v>
      </c>
      <c r="F1736" t="s">
        <v>455</v>
      </c>
      <c r="G1736" t="s">
        <v>427</v>
      </c>
      <c r="H1736" t="s">
        <v>424</v>
      </c>
      <c r="I1736" t="s">
        <v>428</v>
      </c>
      <c r="J1736" t="s">
        <v>514</v>
      </c>
      <c r="N1736">
        <v>0</v>
      </c>
    </row>
    <row r="1737" spans="1:14" ht="15" customHeight="1" x14ac:dyDescent="0.25">
      <c r="A1737" s="82">
        <v>44012</v>
      </c>
      <c r="B1737" t="s">
        <v>426</v>
      </c>
      <c r="C1737" t="s">
        <v>425</v>
      </c>
      <c r="D1737" t="s">
        <v>430</v>
      </c>
      <c r="E1737" t="s">
        <v>427</v>
      </c>
      <c r="F1737" t="s">
        <v>421</v>
      </c>
      <c r="G1737" t="s">
        <v>455</v>
      </c>
      <c r="H1737" t="s">
        <v>424</v>
      </c>
      <c r="I1737" t="s">
        <v>428</v>
      </c>
      <c r="J1737" t="s">
        <v>514</v>
      </c>
      <c r="N1737">
        <v>0</v>
      </c>
    </row>
    <row r="1738" spans="1:14" ht="15" customHeight="1" x14ac:dyDescent="0.25">
      <c r="A1738" s="82">
        <v>44013</v>
      </c>
      <c r="B1738" t="s">
        <v>426</v>
      </c>
      <c r="C1738" t="s">
        <v>425</v>
      </c>
      <c r="D1738" t="s">
        <v>430</v>
      </c>
      <c r="E1738" t="s">
        <v>455</v>
      </c>
      <c r="F1738" t="s">
        <v>421</v>
      </c>
      <c r="G1738" t="s">
        <v>427</v>
      </c>
      <c r="H1738" t="s">
        <v>424</v>
      </c>
      <c r="I1738" t="s">
        <v>428</v>
      </c>
      <c r="J1738" t="s">
        <v>514</v>
      </c>
      <c r="N1738">
        <v>0</v>
      </c>
    </row>
    <row r="1739" spans="1:14" ht="15" customHeight="1" x14ac:dyDescent="0.25">
      <c r="A1739" s="82">
        <v>44014</v>
      </c>
      <c r="B1739" t="s">
        <v>426</v>
      </c>
      <c r="C1739" t="s">
        <v>425</v>
      </c>
      <c r="D1739" t="s">
        <v>430</v>
      </c>
      <c r="E1739" t="s">
        <v>514</v>
      </c>
      <c r="F1739" t="s">
        <v>427</v>
      </c>
      <c r="G1739" t="s">
        <v>455</v>
      </c>
      <c r="H1739" t="s">
        <v>424</v>
      </c>
      <c r="I1739" t="s">
        <v>428</v>
      </c>
      <c r="J1739" t="s">
        <v>514</v>
      </c>
      <c r="N1739">
        <v>0</v>
      </c>
    </row>
    <row r="1740" spans="1:14" ht="15" customHeight="1" x14ac:dyDescent="0.25">
      <c r="A1740" s="82">
        <v>44015</v>
      </c>
      <c r="B1740" t="s">
        <v>427</v>
      </c>
      <c r="C1740" t="s">
        <v>425</v>
      </c>
      <c r="D1740" t="s">
        <v>421</v>
      </c>
      <c r="E1740" t="s">
        <v>514</v>
      </c>
      <c r="F1740" t="s">
        <v>455</v>
      </c>
      <c r="G1740" t="s">
        <v>424</v>
      </c>
      <c r="H1740" t="s">
        <v>424</v>
      </c>
      <c r="I1740" t="s">
        <v>425</v>
      </c>
      <c r="J1740" t="s">
        <v>426</v>
      </c>
      <c r="N1740">
        <v>0</v>
      </c>
    </row>
    <row r="1741" spans="1:14" ht="15" customHeight="1" x14ac:dyDescent="0.25">
      <c r="A1741" s="82">
        <v>44016</v>
      </c>
      <c r="B1741" t="s">
        <v>455</v>
      </c>
      <c r="C1741" t="s">
        <v>421</v>
      </c>
      <c r="D1741" t="s">
        <v>427</v>
      </c>
      <c r="E1741" t="s">
        <v>514</v>
      </c>
      <c r="F1741" t="s">
        <v>428</v>
      </c>
      <c r="G1741" t="s">
        <v>424</v>
      </c>
      <c r="H1741" t="s">
        <v>430</v>
      </c>
      <c r="I1741" t="s">
        <v>425</v>
      </c>
      <c r="J1741" t="s">
        <v>426</v>
      </c>
      <c r="N1741">
        <v>0</v>
      </c>
    </row>
    <row r="1742" spans="1:14" ht="15" customHeight="1" x14ac:dyDescent="0.25">
      <c r="A1742" s="82">
        <v>44017</v>
      </c>
      <c r="B1742" t="s">
        <v>427</v>
      </c>
      <c r="C1742" t="s">
        <v>421</v>
      </c>
      <c r="D1742" t="s">
        <v>455</v>
      </c>
      <c r="E1742" t="s">
        <v>514</v>
      </c>
      <c r="F1742" t="s">
        <v>428</v>
      </c>
      <c r="G1742" t="s">
        <v>424</v>
      </c>
      <c r="H1742" t="s">
        <v>430</v>
      </c>
      <c r="I1742" t="s">
        <v>425</v>
      </c>
      <c r="J1742" t="s">
        <v>426</v>
      </c>
      <c r="N1742">
        <v>0</v>
      </c>
    </row>
    <row r="1743" spans="1:14" ht="15" customHeight="1" x14ac:dyDescent="0.25">
      <c r="A1743" s="82">
        <v>44018</v>
      </c>
      <c r="B1743" t="s">
        <v>455</v>
      </c>
      <c r="C1743" t="s">
        <v>427</v>
      </c>
      <c r="D1743" t="s">
        <v>421</v>
      </c>
      <c r="E1743" t="s">
        <v>514</v>
      </c>
      <c r="F1743" t="s">
        <v>428</v>
      </c>
      <c r="G1743" t="s">
        <v>424</v>
      </c>
      <c r="H1743" t="s">
        <v>430</v>
      </c>
      <c r="I1743" t="s">
        <v>425</v>
      </c>
      <c r="J1743" t="s">
        <v>426</v>
      </c>
      <c r="N1743">
        <v>0</v>
      </c>
    </row>
    <row r="1744" spans="1:14" ht="15" customHeight="1" x14ac:dyDescent="0.25">
      <c r="A1744" s="82">
        <v>44019</v>
      </c>
      <c r="B1744" t="s">
        <v>421</v>
      </c>
      <c r="C1744" t="s">
        <v>455</v>
      </c>
      <c r="D1744" t="s">
        <v>427</v>
      </c>
      <c r="E1744" t="s">
        <v>514</v>
      </c>
      <c r="F1744" t="s">
        <v>428</v>
      </c>
      <c r="G1744" t="s">
        <v>424</v>
      </c>
      <c r="H1744" t="s">
        <v>430</v>
      </c>
      <c r="I1744" t="s">
        <v>425</v>
      </c>
      <c r="J1744" t="s">
        <v>426</v>
      </c>
      <c r="N1744">
        <v>0</v>
      </c>
    </row>
    <row r="1745" spans="1:14" ht="15" customHeight="1" x14ac:dyDescent="0.25">
      <c r="A1745" s="82">
        <v>44020</v>
      </c>
      <c r="B1745" t="s">
        <v>421</v>
      </c>
      <c r="C1745" t="s">
        <v>427</v>
      </c>
      <c r="D1745" t="s">
        <v>455</v>
      </c>
      <c r="E1745" t="s">
        <v>514</v>
      </c>
      <c r="F1745" t="s">
        <v>428</v>
      </c>
      <c r="G1745" t="s">
        <v>424</v>
      </c>
      <c r="H1745" t="s">
        <v>430</v>
      </c>
      <c r="I1745" t="s">
        <v>425</v>
      </c>
      <c r="J1745" t="s">
        <v>426</v>
      </c>
      <c r="N1745">
        <v>0</v>
      </c>
    </row>
    <row r="1746" spans="1:14" ht="15" customHeight="1" x14ac:dyDescent="0.25">
      <c r="A1746" s="82">
        <v>44021</v>
      </c>
      <c r="B1746" t="s">
        <v>427</v>
      </c>
      <c r="C1746" t="s">
        <v>455</v>
      </c>
      <c r="D1746" t="s">
        <v>514</v>
      </c>
      <c r="E1746" t="s">
        <v>514</v>
      </c>
      <c r="F1746" t="s">
        <v>428</v>
      </c>
      <c r="G1746" t="s">
        <v>424</v>
      </c>
      <c r="H1746" t="s">
        <v>430</v>
      </c>
      <c r="I1746" t="s">
        <v>425</v>
      </c>
      <c r="J1746" t="s">
        <v>426</v>
      </c>
      <c r="N1746">
        <v>0</v>
      </c>
    </row>
    <row r="1747" spans="1:14" ht="15" customHeight="1" x14ac:dyDescent="0.25">
      <c r="A1747" s="82">
        <v>44022</v>
      </c>
      <c r="B1747" t="s">
        <v>455</v>
      </c>
      <c r="C1747" t="s">
        <v>424</v>
      </c>
      <c r="D1747" t="s">
        <v>514</v>
      </c>
      <c r="E1747" t="s">
        <v>426</v>
      </c>
      <c r="F1747" t="s">
        <v>425</v>
      </c>
      <c r="G1747" t="s">
        <v>424</v>
      </c>
      <c r="H1747" t="s">
        <v>421</v>
      </c>
      <c r="I1747" t="s">
        <v>425</v>
      </c>
      <c r="J1747" t="s">
        <v>427</v>
      </c>
      <c r="N1747">
        <v>0</v>
      </c>
    </row>
    <row r="1748" spans="1:14" ht="15" customHeight="1" x14ac:dyDescent="0.25">
      <c r="A1748" s="82">
        <v>44023</v>
      </c>
      <c r="B1748" t="s">
        <v>428</v>
      </c>
      <c r="C1748" t="s">
        <v>424</v>
      </c>
      <c r="D1748" t="s">
        <v>514</v>
      </c>
      <c r="E1748" t="s">
        <v>426</v>
      </c>
      <c r="F1748" t="s">
        <v>425</v>
      </c>
      <c r="G1748" t="s">
        <v>430</v>
      </c>
      <c r="H1748" t="s">
        <v>427</v>
      </c>
      <c r="I1748" t="s">
        <v>421</v>
      </c>
      <c r="J1748" t="s">
        <v>455</v>
      </c>
      <c r="N1748">
        <v>0</v>
      </c>
    </row>
    <row r="1749" spans="1:14" ht="15" customHeight="1" x14ac:dyDescent="0.25">
      <c r="A1749" s="82">
        <v>44024</v>
      </c>
      <c r="B1749" t="s">
        <v>428</v>
      </c>
      <c r="C1749" t="s">
        <v>424</v>
      </c>
      <c r="D1749" t="s">
        <v>514</v>
      </c>
      <c r="E1749" t="s">
        <v>426</v>
      </c>
      <c r="F1749" t="s">
        <v>425</v>
      </c>
      <c r="G1749" t="s">
        <v>430</v>
      </c>
      <c r="H1749" t="s">
        <v>455</v>
      </c>
      <c r="I1749" t="s">
        <v>421</v>
      </c>
      <c r="J1749" t="s">
        <v>427</v>
      </c>
      <c r="N1749">
        <v>0</v>
      </c>
    </row>
    <row r="1750" spans="1:14" ht="15" customHeight="1" x14ac:dyDescent="0.25">
      <c r="A1750" s="82">
        <v>44025</v>
      </c>
      <c r="B1750" t="s">
        <v>428</v>
      </c>
      <c r="C1750" t="s">
        <v>424</v>
      </c>
      <c r="D1750" t="s">
        <v>514</v>
      </c>
      <c r="E1750" t="s">
        <v>426</v>
      </c>
      <c r="F1750" t="s">
        <v>425</v>
      </c>
      <c r="G1750" t="s">
        <v>430</v>
      </c>
      <c r="H1750" t="s">
        <v>421</v>
      </c>
      <c r="I1750" t="s">
        <v>427</v>
      </c>
      <c r="J1750" t="s">
        <v>455</v>
      </c>
      <c r="N1750">
        <v>0</v>
      </c>
    </row>
    <row r="1751" spans="1:14" ht="15" customHeight="1" x14ac:dyDescent="0.25">
      <c r="A1751" s="82">
        <v>44026</v>
      </c>
      <c r="B1751" t="s">
        <v>428</v>
      </c>
      <c r="C1751" t="s">
        <v>424</v>
      </c>
      <c r="D1751" t="s">
        <v>514</v>
      </c>
      <c r="E1751" t="s">
        <v>426</v>
      </c>
      <c r="F1751" t="s">
        <v>425</v>
      </c>
      <c r="G1751" t="s">
        <v>430</v>
      </c>
      <c r="H1751" t="s">
        <v>427</v>
      </c>
      <c r="I1751" t="s">
        <v>455</v>
      </c>
      <c r="J1751" t="s">
        <v>421</v>
      </c>
      <c r="N1751">
        <v>0</v>
      </c>
    </row>
    <row r="1752" spans="1:14" ht="15" customHeight="1" x14ac:dyDescent="0.25">
      <c r="A1752" s="82">
        <v>44027</v>
      </c>
      <c r="B1752" t="s">
        <v>428</v>
      </c>
      <c r="C1752" t="s">
        <v>424</v>
      </c>
      <c r="D1752" t="s">
        <v>514</v>
      </c>
      <c r="E1752" t="s">
        <v>426</v>
      </c>
      <c r="F1752" t="s">
        <v>425</v>
      </c>
      <c r="G1752" t="s">
        <v>430</v>
      </c>
      <c r="H1752" t="s">
        <v>455</v>
      </c>
      <c r="I1752" t="s">
        <v>427</v>
      </c>
      <c r="J1752" t="s">
        <v>421</v>
      </c>
      <c r="N1752">
        <v>0</v>
      </c>
    </row>
    <row r="1753" spans="1:14" ht="15" customHeight="1" x14ac:dyDescent="0.25">
      <c r="A1753" s="82">
        <v>44028</v>
      </c>
      <c r="B1753" t="s">
        <v>428</v>
      </c>
      <c r="C1753" t="s">
        <v>424</v>
      </c>
      <c r="D1753" t="s">
        <v>514</v>
      </c>
      <c r="E1753" t="s">
        <v>426</v>
      </c>
      <c r="F1753" t="s">
        <v>425</v>
      </c>
      <c r="G1753" t="s">
        <v>430</v>
      </c>
      <c r="H1753" t="s">
        <v>514</v>
      </c>
      <c r="I1753" t="s">
        <v>455</v>
      </c>
      <c r="J1753" t="s">
        <v>427</v>
      </c>
      <c r="N1753">
        <v>0</v>
      </c>
    </row>
    <row r="1754" spans="1:14" ht="15" customHeight="1" x14ac:dyDescent="0.25">
      <c r="A1754" s="82">
        <v>44029</v>
      </c>
      <c r="B1754" t="s">
        <v>425</v>
      </c>
      <c r="C1754" t="s">
        <v>424</v>
      </c>
      <c r="D1754" t="s">
        <v>426</v>
      </c>
      <c r="E1754" t="s">
        <v>427</v>
      </c>
      <c r="F1754" t="s">
        <v>425</v>
      </c>
      <c r="G1754" t="s">
        <v>421</v>
      </c>
      <c r="H1754" t="s">
        <v>514</v>
      </c>
      <c r="I1754" t="s">
        <v>424</v>
      </c>
      <c r="J1754" t="s">
        <v>455</v>
      </c>
      <c r="N1754">
        <v>0</v>
      </c>
    </row>
    <row r="1755" spans="1:14" ht="15" customHeight="1" x14ac:dyDescent="0.25">
      <c r="A1755" s="82">
        <v>44030</v>
      </c>
      <c r="B1755" t="s">
        <v>425</v>
      </c>
      <c r="C1755" t="s">
        <v>430</v>
      </c>
      <c r="D1755" t="s">
        <v>426</v>
      </c>
      <c r="E1755" t="s">
        <v>455</v>
      </c>
      <c r="F1755" t="s">
        <v>421</v>
      </c>
      <c r="G1755" t="s">
        <v>427</v>
      </c>
      <c r="H1755" t="s">
        <v>514</v>
      </c>
      <c r="I1755" t="s">
        <v>424</v>
      </c>
      <c r="J1755" t="s">
        <v>428</v>
      </c>
      <c r="N1755">
        <v>0</v>
      </c>
    </row>
    <row r="1756" spans="1:14" ht="15" customHeight="1" x14ac:dyDescent="0.25">
      <c r="A1756" s="82">
        <v>44031</v>
      </c>
      <c r="B1756" t="s">
        <v>425</v>
      </c>
      <c r="C1756" t="s">
        <v>430</v>
      </c>
      <c r="D1756" t="s">
        <v>426</v>
      </c>
      <c r="E1756" t="s">
        <v>427</v>
      </c>
      <c r="F1756" t="s">
        <v>421</v>
      </c>
      <c r="G1756" t="s">
        <v>455</v>
      </c>
      <c r="H1756" t="s">
        <v>514</v>
      </c>
      <c r="I1756" t="s">
        <v>424</v>
      </c>
      <c r="J1756" t="s">
        <v>428</v>
      </c>
      <c r="N1756">
        <v>0</v>
      </c>
    </row>
    <row r="1757" spans="1:14" ht="15" customHeight="1" x14ac:dyDescent="0.25">
      <c r="A1757" s="82">
        <v>44032</v>
      </c>
      <c r="B1757" t="s">
        <v>425</v>
      </c>
      <c r="C1757" t="s">
        <v>430</v>
      </c>
      <c r="D1757" t="s">
        <v>426</v>
      </c>
      <c r="E1757" t="s">
        <v>455</v>
      </c>
      <c r="F1757" t="s">
        <v>427</v>
      </c>
      <c r="G1757" t="s">
        <v>421</v>
      </c>
      <c r="H1757" t="s">
        <v>514</v>
      </c>
      <c r="I1757" t="s">
        <v>424</v>
      </c>
      <c r="J1757" t="s">
        <v>428</v>
      </c>
      <c r="N1757">
        <v>0</v>
      </c>
    </row>
    <row r="1758" spans="1:14" ht="15" customHeight="1" x14ac:dyDescent="0.25">
      <c r="A1758" s="82">
        <v>44033</v>
      </c>
      <c r="B1758" t="s">
        <v>425</v>
      </c>
      <c r="C1758" t="s">
        <v>430</v>
      </c>
      <c r="D1758" t="s">
        <v>426</v>
      </c>
      <c r="E1758" t="s">
        <v>421</v>
      </c>
      <c r="F1758" t="s">
        <v>455</v>
      </c>
      <c r="G1758" t="s">
        <v>427</v>
      </c>
      <c r="H1758" t="s">
        <v>514</v>
      </c>
      <c r="I1758" t="s">
        <v>424</v>
      </c>
      <c r="J1758" t="s">
        <v>428</v>
      </c>
      <c r="N1758">
        <v>0</v>
      </c>
    </row>
    <row r="1759" spans="1:14" ht="15" customHeight="1" x14ac:dyDescent="0.25">
      <c r="A1759" s="82">
        <v>44034</v>
      </c>
      <c r="B1759" t="s">
        <v>425</v>
      </c>
      <c r="C1759" t="s">
        <v>430</v>
      </c>
      <c r="D1759" t="s">
        <v>426</v>
      </c>
      <c r="E1759" t="s">
        <v>421</v>
      </c>
      <c r="F1759" t="s">
        <v>427</v>
      </c>
      <c r="G1759" t="s">
        <v>455</v>
      </c>
      <c r="H1759" t="s">
        <v>514</v>
      </c>
      <c r="I1759" t="s">
        <v>424</v>
      </c>
      <c r="J1759" t="s">
        <v>428</v>
      </c>
      <c r="N1759">
        <v>0</v>
      </c>
    </row>
    <row r="1760" spans="1:14" ht="15" customHeight="1" x14ac:dyDescent="0.25">
      <c r="A1760" s="82">
        <v>44035</v>
      </c>
      <c r="B1760" t="s">
        <v>425</v>
      </c>
      <c r="C1760" t="s">
        <v>430</v>
      </c>
      <c r="D1760" t="s">
        <v>426</v>
      </c>
      <c r="E1760" t="s">
        <v>427</v>
      </c>
      <c r="F1760" t="s">
        <v>455</v>
      </c>
      <c r="G1760" t="s">
        <v>514</v>
      </c>
      <c r="H1760" t="s">
        <v>514</v>
      </c>
      <c r="I1760" t="s">
        <v>424</v>
      </c>
      <c r="J1760" t="s">
        <v>428</v>
      </c>
      <c r="N1760">
        <v>0</v>
      </c>
    </row>
    <row r="1761" spans="1:14" ht="15" customHeight="1" x14ac:dyDescent="0.25">
      <c r="A1761" s="82">
        <v>44036</v>
      </c>
      <c r="B1761" t="s">
        <v>425</v>
      </c>
      <c r="C1761" t="s">
        <v>421</v>
      </c>
      <c r="D1761" t="s">
        <v>427</v>
      </c>
      <c r="E1761" t="s">
        <v>455</v>
      </c>
      <c r="F1761" t="s">
        <v>424</v>
      </c>
      <c r="G1761" t="s">
        <v>514</v>
      </c>
      <c r="H1761" t="s">
        <v>426</v>
      </c>
      <c r="I1761" t="s">
        <v>424</v>
      </c>
      <c r="J1761" t="s">
        <v>425</v>
      </c>
      <c r="N1761">
        <v>0</v>
      </c>
    </row>
    <row r="1762" spans="1:14" ht="15" customHeight="1" x14ac:dyDescent="0.25">
      <c r="A1762" s="82">
        <v>44037</v>
      </c>
      <c r="B1762" t="s">
        <v>421</v>
      </c>
      <c r="C1762" t="s">
        <v>427</v>
      </c>
      <c r="D1762" t="s">
        <v>455</v>
      </c>
      <c r="E1762" t="s">
        <v>428</v>
      </c>
      <c r="F1762" t="s">
        <v>424</v>
      </c>
      <c r="G1762" t="s">
        <v>514</v>
      </c>
      <c r="H1762" t="s">
        <v>426</v>
      </c>
      <c r="I1762" t="s">
        <v>430</v>
      </c>
      <c r="J1762" t="s">
        <v>425</v>
      </c>
      <c r="N1762">
        <v>0</v>
      </c>
    </row>
    <row r="1763" spans="1:14" ht="15" customHeight="1" x14ac:dyDescent="0.25">
      <c r="A1763" s="82">
        <v>44038</v>
      </c>
      <c r="B1763" t="s">
        <v>421</v>
      </c>
      <c r="C1763" t="s">
        <v>455</v>
      </c>
      <c r="D1763" t="s">
        <v>427</v>
      </c>
      <c r="E1763" t="s">
        <v>428</v>
      </c>
      <c r="F1763" t="s">
        <v>424</v>
      </c>
      <c r="G1763" t="s">
        <v>514</v>
      </c>
      <c r="H1763" t="s">
        <v>426</v>
      </c>
      <c r="I1763" t="s">
        <v>430</v>
      </c>
      <c r="J1763" t="s">
        <v>425</v>
      </c>
      <c r="N1763">
        <v>0</v>
      </c>
    </row>
    <row r="1764" spans="1:14" ht="15" customHeight="1" x14ac:dyDescent="0.25">
      <c r="A1764" s="82">
        <v>44039</v>
      </c>
      <c r="B1764" t="s">
        <v>427</v>
      </c>
      <c r="C1764" t="s">
        <v>421</v>
      </c>
      <c r="D1764" t="s">
        <v>455</v>
      </c>
      <c r="E1764" t="s">
        <v>428</v>
      </c>
      <c r="F1764" t="s">
        <v>424</v>
      </c>
      <c r="G1764" t="s">
        <v>514</v>
      </c>
      <c r="H1764" t="s">
        <v>426</v>
      </c>
      <c r="I1764" t="s">
        <v>430</v>
      </c>
      <c r="J1764" t="s">
        <v>425</v>
      </c>
      <c r="N1764">
        <v>0</v>
      </c>
    </row>
    <row r="1765" spans="1:14" ht="15" customHeight="1" x14ac:dyDescent="0.25">
      <c r="A1765" s="82">
        <v>44040</v>
      </c>
      <c r="B1765" t="s">
        <v>455</v>
      </c>
      <c r="C1765" t="s">
        <v>427</v>
      </c>
      <c r="D1765" t="s">
        <v>421</v>
      </c>
      <c r="E1765" t="s">
        <v>428</v>
      </c>
      <c r="F1765" t="s">
        <v>424</v>
      </c>
      <c r="G1765" t="s">
        <v>514</v>
      </c>
      <c r="H1765" t="s">
        <v>426</v>
      </c>
      <c r="I1765" t="s">
        <v>430</v>
      </c>
      <c r="J1765" t="s">
        <v>425</v>
      </c>
      <c r="N1765">
        <v>0</v>
      </c>
    </row>
    <row r="1766" spans="1:14" ht="15" customHeight="1" x14ac:dyDescent="0.25">
      <c r="A1766" s="82">
        <v>44041</v>
      </c>
      <c r="B1766" t="s">
        <v>427</v>
      </c>
      <c r="C1766" t="s">
        <v>455</v>
      </c>
      <c r="D1766" t="s">
        <v>421</v>
      </c>
      <c r="E1766" t="s">
        <v>428</v>
      </c>
      <c r="F1766" t="s">
        <v>424</v>
      </c>
      <c r="G1766" t="s">
        <v>514</v>
      </c>
      <c r="H1766" t="s">
        <v>426</v>
      </c>
      <c r="I1766" t="s">
        <v>430</v>
      </c>
      <c r="J1766" t="s">
        <v>425</v>
      </c>
      <c r="N1766">
        <v>0</v>
      </c>
    </row>
    <row r="1767" spans="1:14" ht="15" customHeight="1" x14ac:dyDescent="0.25">
      <c r="A1767" s="82">
        <v>44042</v>
      </c>
      <c r="B1767" t="s">
        <v>455</v>
      </c>
      <c r="C1767" t="s">
        <v>514</v>
      </c>
      <c r="D1767" t="s">
        <v>427</v>
      </c>
      <c r="E1767" t="s">
        <v>428</v>
      </c>
      <c r="F1767" t="s">
        <v>424</v>
      </c>
      <c r="G1767" t="s">
        <v>514</v>
      </c>
      <c r="H1767" t="s">
        <v>426</v>
      </c>
      <c r="I1767" t="s">
        <v>430</v>
      </c>
      <c r="J1767" t="s">
        <v>425</v>
      </c>
      <c r="N1767">
        <v>0</v>
      </c>
    </row>
    <row r="1768" spans="1:14" ht="15" customHeight="1" x14ac:dyDescent="0.25">
      <c r="A1768" s="82">
        <v>44043</v>
      </c>
      <c r="B1768" t="s">
        <v>424</v>
      </c>
      <c r="C1768" t="s">
        <v>514</v>
      </c>
      <c r="D1768" t="s">
        <v>455</v>
      </c>
      <c r="E1768" t="s">
        <v>425</v>
      </c>
      <c r="F1768" t="s">
        <v>424</v>
      </c>
      <c r="G1768" t="s">
        <v>426</v>
      </c>
      <c r="H1768" t="s">
        <v>427</v>
      </c>
      <c r="I1768" t="s">
        <v>421</v>
      </c>
      <c r="J1768" t="s">
        <v>425</v>
      </c>
      <c r="N1768">
        <v>0</v>
      </c>
    </row>
    <row r="1769" spans="1:14" ht="15" customHeight="1" x14ac:dyDescent="0.25">
      <c r="A1769" s="82">
        <v>44044</v>
      </c>
      <c r="B1769" t="s">
        <v>424</v>
      </c>
      <c r="C1769" t="s">
        <v>514</v>
      </c>
      <c r="D1769" t="s">
        <v>428</v>
      </c>
      <c r="E1769" t="s">
        <v>425</v>
      </c>
      <c r="F1769" t="s">
        <v>430</v>
      </c>
      <c r="G1769" t="s">
        <v>426</v>
      </c>
      <c r="H1769" t="s">
        <v>455</v>
      </c>
      <c r="I1769" t="s">
        <v>427</v>
      </c>
      <c r="J1769" t="s">
        <v>421</v>
      </c>
      <c r="N1769">
        <v>0</v>
      </c>
    </row>
    <row r="1770" spans="1:14" ht="15" customHeight="1" x14ac:dyDescent="0.25">
      <c r="A1770" s="82">
        <v>44045</v>
      </c>
      <c r="B1770" t="s">
        <v>424</v>
      </c>
      <c r="C1770" t="s">
        <v>514</v>
      </c>
      <c r="D1770" t="s">
        <v>428</v>
      </c>
      <c r="E1770" t="s">
        <v>425</v>
      </c>
      <c r="F1770" t="s">
        <v>430</v>
      </c>
      <c r="G1770" t="s">
        <v>426</v>
      </c>
      <c r="H1770" t="s">
        <v>427</v>
      </c>
      <c r="I1770" t="s">
        <v>455</v>
      </c>
      <c r="J1770" t="s">
        <v>421</v>
      </c>
      <c r="N1770">
        <v>0</v>
      </c>
    </row>
    <row r="1771" spans="1:14" ht="15" customHeight="1" x14ac:dyDescent="0.25">
      <c r="A1771" s="82">
        <v>44046</v>
      </c>
      <c r="B1771" t="s">
        <v>424</v>
      </c>
      <c r="C1771" t="s">
        <v>514</v>
      </c>
      <c r="D1771" t="s">
        <v>428</v>
      </c>
      <c r="E1771" t="s">
        <v>425</v>
      </c>
      <c r="F1771" t="s">
        <v>430</v>
      </c>
      <c r="G1771" t="s">
        <v>426</v>
      </c>
      <c r="H1771" t="s">
        <v>455</v>
      </c>
      <c r="I1771" t="s">
        <v>421</v>
      </c>
      <c r="J1771" t="s">
        <v>427</v>
      </c>
      <c r="N1771">
        <v>0</v>
      </c>
    </row>
    <row r="1772" spans="1:14" ht="15" customHeight="1" x14ac:dyDescent="0.25">
      <c r="A1772" s="82">
        <v>44047</v>
      </c>
      <c r="B1772" t="s">
        <v>424</v>
      </c>
      <c r="C1772" t="s">
        <v>514</v>
      </c>
      <c r="D1772" t="s">
        <v>428</v>
      </c>
      <c r="E1772" t="s">
        <v>425</v>
      </c>
      <c r="F1772" t="s">
        <v>430</v>
      </c>
      <c r="G1772" t="s">
        <v>426</v>
      </c>
      <c r="H1772" t="s">
        <v>421</v>
      </c>
      <c r="I1772" t="s">
        <v>427</v>
      </c>
      <c r="J1772" t="s">
        <v>455</v>
      </c>
      <c r="N1772">
        <v>0</v>
      </c>
    </row>
    <row r="1773" spans="1:14" ht="15" customHeight="1" x14ac:dyDescent="0.25">
      <c r="A1773" s="82">
        <v>44048</v>
      </c>
      <c r="B1773" t="s">
        <v>424</v>
      </c>
      <c r="C1773" t="s">
        <v>514</v>
      </c>
      <c r="D1773" t="s">
        <v>428</v>
      </c>
      <c r="E1773" t="s">
        <v>425</v>
      </c>
      <c r="F1773" t="s">
        <v>430</v>
      </c>
      <c r="G1773" t="s">
        <v>426</v>
      </c>
      <c r="H1773" t="s">
        <v>421</v>
      </c>
      <c r="I1773" t="s">
        <v>455</v>
      </c>
      <c r="J1773" t="s">
        <v>427</v>
      </c>
      <c r="N1773">
        <v>0</v>
      </c>
    </row>
    <row r="1774" spans="1:14" ht="15" customHeight="1" x14ac:dyDescent="0.25">
      <c r="A1774" s="82">
        <v>44049</v>
      </c>
      <c r="B1774" t="s">
        <v>424</v>
      </c>
      <c r="C1774" t="s">
        <v>514</v>
      </c>
      <c r="D1774" t="s">
        <v>428</v>
      </c>
      <c r="E1774" t="s">
        <v>425</v>
      </c>
      <c r="F1774" t="s">
        <v>430</v>
      </c>
      <c r="G1774" t="s">
        <v>426</v>
      </c>
      <c r="H1774" t="s">
        <v>427</v>
      </c>
      <c r="I1774" t="s">
        <v>514</v>
      </c>
      <c r="J1774" t="s">
        <v>455</v>
      </c>
      <c r="N1774">
        <v>0</v>
      </c>
    </row>
    <row r="1775" spans="1:14" ht="15" customHeight="1" x14ac:dyDescent="0.25">
      <c r="A1775" s="82">
        <v>44050</v>
      </c>
      <c r="B1775" t="s">
        <v>424</v>
      </c>
      <c r="C1775" t="s">
        <v>426</v>
      </c>
      <c r="D1775" t="s">
        <v>425</v>
      </c>
      <c r="E1775" t="s">
        <v>425</v>
      </c>
      <c r="F1775" t="s">
        <v>421</v>
      </c>
      <c r="G1775" t="s">
        <v>427</v>
      </c>
      <c r="H1775" t="s">
        <v>455</v>
      </c>
      <c r="I1775" t="s">
        <v>514</v>
      </c>
      <c r="J1775" t="s">
        <v>516</v>
      </c>
      <c r="N1775">
        <v>0</v>
      </c>
    </row>
    <row r="1776" spans="1:14" ht="15" customHeight="1" x14ac:dyDescent="0.25">
      <c r="A1776" s="82">
        <v>44051</v>
      </c>
      <c r="B1776" t="s">
        <v>430</v>
      </c>
      <c r="C1776" t="s">
        <v>426</v>
      </c>
      <c r="D1776" t="s">
        <v>425</v>
      </c>
      <c r="E1776" t="s">
        <v>421</v>
      </c>
      <c r="F1776" t="s">
        <v>427</v>
      </c>
      <c r="G1776" t="s">
        <v>455</v>
      </c>
      <c r="H1776" t="s">
        <v>428</v>
      </c>
      <c r="I1776" t="s">
        <v>514</v>
      </c>
      <c r="J1776" t="s">
        <v>516</v>
      </c>
      <c r="N1776">
        <v>0</v>
      </c>
    </row>
    <row r="1777" spans="1:14" ht="15" customHeight="1" x14ac:dyDescent="0.25">
      <c r="A1777" s="82">
        <v>44052</v>
      </c>
      <c r="B1777" t="s">
        <v>430</v>
      </c>
      <c r="C1777" t="s">
        <v>426</v>
      </c>
      <c r="D1777" t="s">
        <v>425</v>
      </c>
      <c r="E1777" t="s">
        <v>421</v>
      </c>
      <c r="F1777" t="s">
        <v>455</v>
      </c>
      <c r="G1777" t="s">
        <v>427</v>
      </c>
      <c r="H1777" t="s">
        <v>428</v>
      </c>
      <c r="I1777" t="s">
        <v>514</v>
      </c>
      <c r="J1777" t="s">
        <v>516</v>
      </c>
      <c r="N1777">
        <v>0</v>
      </c>
    </row>
    <row r="1778" spans="1:14" ht="15" customHeight="1" x14ac:dyDescent="0.25">
      <c r="A1778" s="82">
        <v>44053</v>
      </c>
      <c r="B1778" t="s">
        <v>430</v>
      </c>
      <c r="C1778" t="s">
        <v>426</v>
      </c>
      <c r="D1778" t="s">
        <v>425</v>
      </c>
      <c r="E1778" t="s">
        <v>427</v>
      </c>
      <c r="F1778" t="s">
        <v>421</v>
      </c>
      <c r="G1778" t="s">
        <v>455</v>
      </c>
      <c r="H1778" t="s">
        <v>428</v>
      </c>
      <c r="I1778" t="s">
        <v>514</v>
      </c>
      <c r="J1778" t="s">
        <v>516</v>
      </c>
      <c r="N1778">
        <v>0</v>
      </c>
    </row>
    <row r="1779" spans="1:14" ht="15" customHeight="1" x14ac:dyDescent="0.25">
      <c r="A1779" s="82">
        <v>44054</v>
      </c>
      <c r="B1779" t="s">
        <v>430</v>
      </c>
      <c r="C1779" t="s">
        <v>426</v>
      </c>
      <c r="D1779" t="s">
        <v>425</v>
      </c>
      <c r="E1779" t="s">
        <v>455</v>
      </c>
      <c r="F1779" t="s">
        <v>427</v>
      </c>
      <c r="G1779" t="s">
        <v>421</v>
      </c>
      <c r="H1779" t="s">
        <v>428</v>
      </c>
      <c r="I1779" t="s">
        <v>514</v>
      </c>
      <c r="J1779" t="s">
        <v>516</v>
      </c>
      <c r="N1779">
        <v>0</v>
      </c>
    </row>
    <row r="1780" spans="1:14" ht="15" customHeight="1" x14ac:dyDescent="0.25">
      <c r="A1780" s="82">
        <v>44055</v>
      </c>
      <c r="B1780" t="s">
        <v>430</v>
      </c>
      <c r="C1780" t="s">
        <v>426</v>
      </c>
      <c r="D1780" t="s">
        <v>425</v>
      </c>
      <c r="E1780" t="s">
        <v>427</v>
      </c>
      <c r="F1780" t="s">
        <v>455</v>
      </c>
      <c r="G1780" t="s">
        <v>421</v>
      </c>
      <c r="H1780" t="s">
        <v>428</v>
      </c>
      <c r="I1780" t="s">
        <v>514</v>
      </c>
      <c r="J1780" t="s">
        <v>516</v>
      </c>
      <c r="N1780">
        <v>0</v>
      </c>
    </row>
    <row r="1781" spans="1:14" ht="15" customHeight="1" x14ac:dyDescent="0.25">
      <c r="A1781" s="82">
        <v>44056</v>
      </c>
      <c r="B1781" t="s">
        <v>430</v>
      </c>
      <c r="C1781" t="s">
        <v>426</v>
      </c>
      <c r="D1781" t="s">
        <v>425</v>
      </c>
      <c r="E1781" t="s">
        <v>455</v>
      </c>
      <c r="F1781" t="s">
        <v>514</v>
      </c>
      <c r="G1781" t="s">
        <v>427</v>
      </c>
      <c r="H1781" t="s">
        <v>428</v>
      </c>
      <c r="I1781" t="s">
        <v>514</v>
      </c>
      <c r="J1781" t="s">
        <v>516</v>
      </c>
      <c r="N1781">
        <v>0</v>
      </c>
    </row>
    <row r="1782" spans="1:14" ht="15" customHeight="1" x14ac:dyDescent="0.25">
      <c r="A1782" s="82">
        <v>44057</v>
      </c>
      <c r="B1782" t="s">
        <v>421</v>
      </c>
      <c r="C1782" t="s">
        <v>427</v>
      </c>
      <c r="D1782" t="s">
        <v>425</v>
      </c>
      <c r="E1782" t="s">
        <v>516</v>
      </c>
      <c r="F1782" t="s">
        <v>514</v>
      </c>
      <c r="G1782" t="s">
        <v>455</v>
      </c>
      <c r="H1782" t="s">
        <v>425</v>
      </c>
      <c r="I1782" t="s">
        <v>426</v>
      </c>
      <c r="J1782" t="s">
        <v>516</v>
      </c>
      <c r="N1782">
        <v>0</v>
      </c>
    </row>
    <row r="1783" spans="1:14" ht="15" customHeight="1" x14ac:dyDescent="0.25">
      <c r="A1783" s="82">
        <v>44058</v>
      </c>
      <c r="B1783" t="s">
        <v>427</v>
      </c>
      <c r="C1783" t="s">
        <v>455</v>
      </c>
      <c r="D1783" t="s">
        <v>421</v>
      </c>
      <c r="E1783" t="s">
        <v>516</v>
      </c>
      <c r="F1783" t="s">
        <v>514</v>
      </c>
      <c r="G1783" t="s">
        <v>428</v>
      </c>
      <c r="H1783" t="s">
        <v>425</v>
      </c>
      <c r="I1783" t="s">
        <v>426</v>
      </c>
      <c r="J1783" t="s">
        <v>430</v>
      </c>
      <c r="N1783">
        <v>0</v>
      </c>
    </row>
    <row r="1784" spans="1:14" ht="15" customHeight="1" x14ac:dyDescent="0.25">
      <c r="A1784" s="82">
        <v>44059</v>
      </c>
      <c r="B1784" t="s">
        <v>455</v>
      </c>
      <c r="C1784" t="s">
        <v>427</v>
      </c>
      <c r="D1784" t="s">
        <v>421</v>
      </c>
      <c r="E1784" t="s">
        <v>516</v>
      </c>
      <c r="F1784" t="s">
        <v>514</v>
      </c>
      <c r="G1784" t="s">
        <v>428</v>
      </c>
      <c r="H1784" t="s">
        <v>425</v>
      </c>
      <c r="I1784" t="s">
        <v>426</v>
      </c>
      <c r="J1784" t="s">
        <v>430</v>
      </c>
      <c r="N1784">
        <v>0</v>
      </c>
    </row>
    <row r="1785" spans="1:14" ht="15" customHeight="1" x14ac:dyDescent="0.25">
      <c r="A1785" s="82">
        <v>44060</v>
      </c>
      <c r="B1785" t="s">
        <v>421</v>
      </c>
      <c r="C1785" t="s">
        <v>455</v>
      </c>
      <c r="D1785" t="s">
        <v>427</v>
      </c>
      <c r="E1785" t="s">
        <v>424</v>
      </c>
      <c r="F1785" t="s">
        <v>514</v>
      </c>
      <c r="G1785" t="s">
        <v>428</v>
      </c>
      <c r="H1785" t="s">
        <v>425</v>
      </c>
      <c r="I1785" t="s">
        <v>426</v>
      </c>
      <c r="J1785" t="s">
        <v>430</v>
      </c>
      <c r="N1785">
        <v>0</v>
      </c>
    </row>
    <row r="1786" spans="1:14" ht="15" customHeight="1" x14ac:dyDescent="0.25">
      <c r="A1786" s="82">
        <v>44061</v>
      </c>
      <c r="B1786" t="s">
        <v>427</v>
      </c>
      <c r="C1786" t="s">
        <v>421</v>
      </c>
      <c r="D1786" t="s">
        <v>455</v>
      </c>
      <c r="E1786" t="s">
        <v>424</v>
      </c>
      <c r="F1786" t="s">
        <v>514</v>
      </c>
      <c r="G1786" t="s">
        <v>428</v>
      </c>
      <c r="H1786" t="s">
        <v>425</v>
      </c>
      <c r="I1786" t="s">
        <v>426</v>
      </c>
      <c r="J1786" t="s">
        <v>430</v>
      </c>
      <c r="N1786">
        <v>0</v>
      </c>
    </row>
    <row r="1787" spans="1:14" ht="15" customHeight="1" x14ac:dyDescent="0.25">
      <c r="A1787" s="82">
        <v>44062</v>
      </c>
      <c r="B1787" t="s">
        <v>455</v>
      </c>
      <c r="C1787" t="s">
        <v>421</v>
      </c>
      <c r="D1787" t="s">
        <v>427</v>
      </c>
      <c r="E1787" t="s">
        <v>424</v>
      </c>
      <c r="F1787" t="s">
        <v>514</v>
      </c>
      <c r="G1787" t="s">
        <v>428</v>
      </c>
      <c r="H1787" t="s">
        <v>425</v>
      </c>
      <c r="I1787" t="s">
        <v>426</v>
      </c>
      <c r="J1787" t="s">
        <v>430</v>
      </c>
      <c r="N1787">
        <v>0</v>
      </c>
    </row>
    <row r="1788" spans="1:14" ht="15" customHeight="1" x14ac:dyDescent="0.25">
      <c r="A1788" s="82">
        <v>44063</v>
      </c>
      <c r="B1788" t="s">
        <v>514</v>
      </c>
      <c r="C1788" t="s">
        <v>427</v>
      </c>
      <c r="D1788" t="s">
        <v>455</v>
      </c>
      <c r="E1788" t="s">
        <v>424</v>
      </c>
      <c r="F1788" t="s">
        <v>514</v>
      </c>
      <c r="G1788" t="s">
        <v>428</v>
      </c>
      <c r="H1788" t="s">
        <v>425</v>
      </c>
      <c r="I1788" t="s">
        <v>426</v>
      </c>
      <c r="J1788" t="s">
        <v>430</v>
      </c>
      <c r="N1788">
        <v>0</v>
      </c>
    </row>
    <row r="1789" spans="1:14" ht="15" customHeight="1" x14ac:dyDescent="0.25">
      <c r="A1789" s="82">
        <v>44064</v>
      </c>
      <c r="B1789" t="s">
        <v>514</v>
      </c>
      <c r="C1789" t="s">
        <v>455</v>
      </c>
      <c r="D1789" t="s">
        <v>516</v>
      </c>
      <c r="E1789" t="s">
        <v>424</v>
      </c>
      <c r="F1789" t="s">
        <v>426</v>
      </c>
      <c r="G1789" t="s">
        <v>425</v>
      </c>
      <c r="H1789" t="s">
        <v>425</v>
      </c>
      <c r="I1789" t="s">
        <v>427</v>
      </c>
      <c r="J1789" t="s">
        <v>421</v>
      </c>
      <c r="N1789">
        <v>0</v>
      </c>
    </row>
    <row r="1790" spans="1:14" ht="15" customHeight="1" x14ac:dyDescent="0.25">
      <c r="A1790" s="82">
        <v>44065</v>
      </c>
      <c r="B1790" t="s">
        <v>514</v>
      </c>
      <c r="C1790" t="s">
        <v>428</v>
      </c>
      <c r="D1790" t="s">
        <v>516</v>
      </c>
      <c r="E1790" t="s">
        <v>430</v>
      </c>
      <c r="F1790" t="s">
        <v>426</v>
      </c>
      <c r="G1790" t="s">
        <v>425</v>
      </c>
      <c r="H1790" t="s">
        <v>421</v>
      </c>
      <c r="I1790" t="s">
        <v>455</v>
      </c>
      <c r="J1790" t="s">
        <v>427</v>
      </c>
      <c r="N1790">
        <v>0</v>
      </c>
    </row>
    <row r="1791" spans="1:14" ht="15" customHeight="1" x14ac:dyDescent="0.25">
      <c r="A1791" s="82">
        <v>44066</v>
      </c>
      <c r="B1791" t="s">
        <v>514</v>
      </c>
      <c r="C1791" t="s">
        <v>428</v>
      </c>
      <c r="D1791" t="s">
        <v>516</v>
      </c>
      <c r="E1791" t="s">
        <v>430</v>
      </c>
      <c r="F1791" t="s">
        <v>426</v>
      </c>
      <c r="G1791" t="s">
        <v>425</v>
      </c>
      <c r="H1791" t="s">
        <v>421</v>
      </c>
      <c r="I1791" t="s">
        <v>427</v>
      </c>
      <c r="J1791" t="s">
        <v>455</v>
      </c>
      <c r="N1791">
        <v>0</v>
      </c>
    </row>
    <row r="1792" spans="1:14" ht="15" customHeight="1" x14ac:dyDescent="0.25">
      <c r="A1792" s="82">
        <v>44067</v>
      </c>
      <c r="B1792" t="s">
        <v>514</v>
      </c>
      <c r="C1792" t="s">
        <v>428</v>
      </c>
      <c r="D1792" t="s">
        <v>424</v>
      </c>
      <c r="E1792" t="s">
        <v>430</v>
      </c>
      <c r="F1792" t="s">
        <v>426</v>
      </c>
      <c r="G1792" t="s">
        <v>425</v>
      </c>
      <c r="H1792" t="s">
        <v>427</v>
      </c>
      <c r="I1792" t="s">
        <v>455</v>
      </c>
      <c r="J1792" t="s">
        <v>421</v>
      </c>
      <c r="N1792">
        <v>0</v>
      </c>
    </row>
    <row r="1793" spans="1:14" ht="15" customHeight="1" x14ac:dyDescent="0.25">
      <c r="A1793" s="82">
        <v>44068</v>
      </c>
      <c r="B1793" t="s">
        <v>514</v>
      </c>
      <c r="C1793" t="s">
        <v>428</v>
      </c>
      <c r="D1793" t="s">
        <v>424</v>
      </c>
      <c r="E1793" t="s">
        <v>430</v>
      </c>
      <c r="F1793" t="s">
        <v>426</v>
      </c>
      <c r="G1793" t="s">
        <v>425</v>
      </c>
      <c r="H1793" t="s">
        <v>455</v>
      </c>
      <c r="I1793" t="s">
        <v>421</v>
      </c>
      <c r="J1793" t="s">
        <v>427</v>
      </c>
      <c r="N1793">
        <v>0</v>
      </c>
    </row>
    <row r="1794" spans="1:14" ht="15" customHeight="1" x14ac:dyDescent="0.25">
      <c r="A1794" s="82">
        <v>44069</v>
      </c>
      <c r="B1794" t="s">
        <v>514</v>
      </c>
      <c r="C1794" t="s">
        <v>428</v>
      </c>
      <c r="D1794" t="s">
        <v>424</v>
      </c>
      <c r="E1794" t="s">
        <v>430</v>
      </c>
      <c r="F1794" t="s">
        <v>426</v>
      </c>
      <c r="G1794" t="s">
        <v>425</v>
      </c>
      <c r="H1794" t="s">
        <v>427</v>
      </c>
      <c r="I1794" t="s">
        <v>421</v>
      </c>
      <c r="J1794" t="s">
        <v>455</v>
      </c>
      <c r="N1794">
        <v>0</v>
      </c>
    </row>
    <row r="1795" spans="1:14" ht="15" customHeight="1" x14ac:dyDescent="0.25">
      <c r="A1795" s="82">
        <v>44070</v>
      </c>
      <c r="B1795" t="s">
        <v>514</v>
      </c>
      <c r="C1795" t="s">
        <v>428</v>
      </c>
      <c r="D1795" t="s">
        <v>424</v>
      </c>
      <c r="E1795" t="s">
        <v>430</v>
      </c>
      <c r="F1795" t="s">
        <v>426</v>
      </c>
      <c r="G1795" t="s">
        <v>425</v>
      </c>
      <c r="H1795" t="s">
        <v>455</v>
      </c>
      <c r="I1795" t="s">
        <v>427</v>
      </c>
      <c r="J1795" t="s">
        <v>514</v>
      </c>
      <c r="N1795">
        <v>0</v>
      </c>
    </row>
    <row r="1796" spans="1:14" ht="15" customHeight="1" x14ac:dyDescent="0.25">
      <c r="A1796" s="82">
        <v>44071</v>
      </c>
      <c r="B1796" t="s">
        <v>426</v>
      </c>
      <c r="C1796" t="s">
        <v>425</v>
      </c>
      <c r="D1796" t="s">
        <v>430</v>
      </c>
      <c r="E1796" t="s">
        <v>421</v>
      </c>
      <c r="F1796" t="s">
        <v>427</v>
      </c>
      <c r="G1796" t="s">
        <v>425</v>
      </c>
      <c r="H1796" t="s">
        <v>424</v>
      </c>
      <c r="I1796" t="s">
        <v>455</v>
      </c>
      <c r="J1796" t="s">
        <v>514</v>
      </c>
      <c r="N1796">
        <v>0</v>
      </c>
    </row>
    <row r="1797" spans="1:14" ht="15" customHeight="1" x14ac:dyDescent="0.25">
      <c r="A1797" s="82">
        <v>44072</v>
      </c>
      <c r="B1797" t="s">
        <v>426</v>
      </c>
      <c r="C1797" t="s">
        <v>425</v>
      </c>
      <c r="D1797" t="s">
        <v>430</v>
      </c>
      <c r="E1797" t="s">
        <v>427</v>
      </c>
      <c r="F1797" t="s">
        <v>455</v>
      </c>
      <c r="G1797" t="s">
        <v>421</v>
      </c>
      <c r="H1797" t="s">
        <v>424</v>
      </c>
      <c r="I1797" t="s">
        <v>428</v>
      </c>
      <c r="J1797" t="s">
        <v>514</v>
      </c>
      <c r="N1797">
        <v>0</v>
      </c>
    </row>
    <row r="1798" spans="1:14" ht="15" customHeight="1" x14ac:dyDescent="0.25">
      <c r="A1798" s="82">
        <v>44073</v>
      </c>
      <c r="B1798" t="s">
        <v>426</v>
      </c>
      <c r="C1798" t="s">
        <v>425</v>
      </c>
      <c r="D1798" t="s">
        <v>430</v>
      </c>
      <c r="E1798" t="s">
        <v>455</v>
      </c>
      <c r="F1798" t="s">
        <v>427</v>
      </c>
      <c r="G1798" t="s">
        <v>421</v>
      </c>
      <c r="H1798" t="s">
        <v>424</v>
      </c>
      <c r="I1798" t="s">
        <v>428</v>
      </c>
      <c r="J1798" t="s">
        <v>514</v>
      </c>
      <c r="N1798">
        <v>0</v>
      </c>
    </row>
    <row r="1799" spans="1:14" ht="15" customHeight="1" x14ac:dyDescent="0.25">
      <c r="A1799" s="82">
        <v>44074</v>
      </c>
      <c r="B1799" t="s">
        <v>426</v>
      </c>
      <c r="C1799" t="s">
        <v>425</v>
      </c>
      <c r="D1799" t="s">
        <v>430</v>
      </c>
      <c r="E1799" t="s">
        <v>421</v>
      </c>
      <c r="F1799" t="s">
        <v>455</v>
      </c>
      <c r="G1799" t="s">
        <v>427</v>
      </c>
      <c r="H1799" t="s">
        <v>424</v>
      </c>
      <c r="I1799" t="s">
        <v>428</v>
      </c>
      <c r="J1799" t="s">
        <v>514</v>
      </c>
      <c r="N1799">
        <v>0</v>
      </c>
    </row>
    <row r="1800" spans="1:14" ht="15" customHeight="1" x14ac:dyDescent="0.25">
      <c r="A1800" s="82">
        <v>44075</v>
      </c>
      <c r="B1800" t="s">
        <v>426</v>
      </c>
      <c r="C1800" t="s">
        <v>425</v>
      </c>
      <c r="D1800" t="s">
        <v>430</v>
      </c>
      <c r="E1800" t="s">
        <v>427</v>
      </c>
      <c r="F1800" t="s">
        <v>421</v>
      </c>
      <c r="G1800" t="s">
        <v>455</v>
      </c>
      <c r="H1800" t="s">
        <v>424</v>
      </c>
      <c r="I1800" t="s">
        <v>428</v>
      </c>
      <c r="J1800" t="s">
        <v>514</v>
      </c>
      <c r="N1800">
        <v>0</v>
      </c>
    </row>
    <row r="1801" spans="1:14" ht="15" customHeight="1" x14ac:dyDescent="0.25">
      <c r="A1801" s="82">
        <v>44076</v>
      </c>
      <c r="B1801" t="s">
        <v>426</v>
      </c>
      <c r="C1801" t="s">
        <v>425</v>
      </c>
      <c r="D1801" t="s">
        <v>430</v>
      </c>
      <c r="E1801" t="s">
        <v>455</v>
      </c>
      <c r="F1801" t="s">
        <v>421</v>
      </c>
      <c r="G1801" t="s">
        <v>427</v>
      </c>
      <c r="H1801" t="s">
        <v>424</v>
      </c>
      <c r="I1801" t="s">
        <v>428</v>
      </c>
      <c r="J1801" t="s">
        <v>514</v>
      </c>
      <c r="N1801">
        <v>0</v>
      </c>
    </row>
    <row r="1802" spans="1:14" ht="15" customHeight="1" x14ac:dyDescent="0.25">
      <c r="A1802" s="82">
        <v>44077</v>
      </c>
      <c r="B1802" t="s">
        <v>426</v>
      </c>
      <c r="C1802" t="s">
        <v>425</v>
      </c>
      <c r="D1802" t="s">
        <v>430</v>
      </c>
      <c r="E1802" t="s">
        <v>514</v>
      </c>
      <c r="F1802" t="s">
        <v>427</v>
      </c>
      <c r="G1802" t="s">
        <v>455</v>
      </c>
      <c r="H1802" t="s">
        <v>424</v>
      </c>
      <c r="I1802" t="s">
        <v>428</v>
      </c>
      <c r="J1802" t="s">
        <v>514</v>
      </c>
      <c r="N1802">
        <v>0</v>
      </c>
    </row>
    <row r="1803" spans="1:14" ht="15" customHeight="1" x14ac:dyDescent="0.25">
      <c r="A1803" s="82">
        <v>44078</v>
      </c>
      <c r="B1803" t="s">
        <v>427</v>
      </c>
      <c r="C1803" t="s">
        <v>425</v>
      </c>
      <c r="D1803" t="s">
        <v>421</v>
      </c>
      <c r="E1803" t="s">
        <v>514</v>
      </c>
      <c r="F1803" t="s">
        <v>455</v>
      </c>
      <c r="G1803" t="s">
        <v>424</v>
      </c>
      <c r="H1803" t="s">
        <v>430</v>
      </c>
      <c r="I1803" t="s">
        <v>425</v>
      </c>
      <c r="J1803" t="s">
        <v>426</v>
      </c>
      <c r="N1803">
        <v>0</v>
      </c>
    </row>
    <row r="1804" spans="1:14" ht="15" customHeight="1" x14ac:dyDescent="0.25">
      <c r="A1804" s="82">
        <v>44079</v>
      </c>
      <c r="B1804" t="s">
        <v>455</v>
      </c>
      <c r="C1804" t="s">
        <v>421</v>
      </c>
      <c r="D1804" t="s">
        <v>427</v>
      </c>
      <c r="E1804" t="s">
        <v>514</v>
      </c>
      <c r="F1804" t="s">
        <v>428</v>
      </c>
      <c r="G1804" t="s">
        <v>424</v>
      </c>
      <c r="H1804" t="s">
        <v>430</v>
      </c>
      <c r="I1804" t="s">
        <v>425</v>
      </c>
      <c r="J1804" t="s">
        <v>426</v>
      </c>
      <c r="N1804">
        <v>0</v>
      </c>
    </row>
    <row r="1805" spans="1:14" ht="15" customHeight="1" x14ac:dyDescent="0.25">
      <c r="A1805" s="82">
        <v>44080</v>
      </c>
      <c r="B1805" t="s">
        <v>427</v>
      </c>
      <c r="C1805" t="s">
        <v>421</v>
      </c>
      <c r="D1805" t="s">
        <v>455</v>
      </c>
      <c r="E1805" t="s">
        <v>514</v>
      </c>
      <c r="F1805" t="s">
        <v>428</v>
      </c>
      <c r="G1805" t="s">
        <v>424</v>
      </c>
      <c r="H1805" t="s">
        <v>430</v>
      </c>
      <c r="I1805" t="s">
        <v>425</v>
      </c>
      <c r="J1805" t="s">
        <v>426</v>
      </c>
      <c r="N1805">
        <v>0</v>
      </c>
    </row>
    <row r="1806" spans="1:14" ht="15" customHeight="1" x14ac:dyDescent="0.25">
      <c r="A1806" s="82">
        <v>44081</v>
      </c>
      <c r="B1806" t="s">
        <v>455</v>
      </c>
      <c r="C1806" t="s">
        <v>427</v>
      </c>
      <c r="D1806" t="s">
        <v>421</v>
      </c>
      <c r="E1806" t="s">
        <v>514</v>
      </c>
      <c r="F1806" t="s">
        <v>428</v>
      </c>
      <c r="G1806" t="s">
        <v>424</v>
      </c>
      <c r="H1806" t="s">
        <v>430</v>
      </c>
      <c r="I1806" t="s">
        <v>425</v>
      </c>
      <c r="J1806" t="s">
        <v>426</v>
      </c>
      <c r="N1806">
        <v>0</v>
      </c>
    </row>
    <row r="1807" spans="1:14" ht="15" customHeight="1" x14ac:dyDescent="0.25">
      <c r="A1807" s="82">
        <v>44082</v>
      </c>
      <c r="B1807" t="s">
        <v>421</v>
      </c>
      <c r="C1807" t="s">
        <v>455</v>
      </c>
      <c r="D1807" t="s">
        <v>427</v>
      </c>
      <c r="E1807" t="s">
        <v>514</v>
      </c>
      <c r="F1807" t="s">
        <v>428</v>
      </c>
      <c r="G1807" t="s">
        <v>424</v>
      </c>
      <c r="H1807" t="s">
        <v>430</v>
      </c>
      <c r="I1807" t="s">
        <v>425</v>
      </c>
      <c r="J1807" t="s">
        <v>426</v>
      </c>
      <c r="N1807">
        <v>0</v>
      </c>
    </row>
    <row r="1808" spans="1:14" ht="15" customHeight="1" x14ac:dyDescent="0.25">
      <c r="A1808" s="82">
        <v>44083</v>
      </c>
      <c r="B1808" t="s">
        <v>421</v>
      </c>
      <c r="C1808" t="s">
        <v>427</v>
      </c>
      <c r="D1808" t="s">
        <v>455</v>
      </c>
      <c r="E1808" t="s">
        <v>514</v>
      </c>
      <c r="F1808" t="s">
        <v>428</v>
      </c>
      <c r="G1808" t="s">
        <v>424</v>
      </c>
      <c r="H1808" t="s">
        <v>430</v>
      </c>
      <c r="I1808" t="s">
        <v>425</v>
      </c>
      <c r="J1808" t="s">
        <v>426</v>
      </c>
      <c r="N1808">
        <v>0</v>
      </c>
    </row>
    <row r="1809" spans="1:14" ht="15" customHeight="1" x14ac:dyDescent="0.25">
      <c r="A1809" s="82">
        <v>44084</v>
      </c>
      <c r="B1809" t="s">
        <v>427</v>
      </c>
      <c r="C1809" t="s">
        <v>455</v>
      </c>
      <c r="D1809" t="s">
        <v>514</v>
      </c>
      <c r="E1809" t="s">
        <v>514</v>
      </c>
      <c r="F1809" t="s">
        <v>428</v>
      </c>
      <c r="G1809" t="s">
        <v>424</v>
      </c>
      <c r="H1809" t="s">
        <v>430</v>
      </c>
      <c r="I1809" t="s">
        <v>425</v>
      </c>
      <c r="J1809" t="s">
        <v>426</v>
      </c>
      <c r="N1809">
        <v>0</v>
      </c>
    </row>
    <row r="1810" spans="1:14" ht="15" customHeight="1" x14ac:dyDescent="0.25">
      <c r="A1810" s="82">
        <v>44085</v>
      </c>
      <c r="B1810" t="s">
        <v>455</v>
      </c>
      <c r="C1810" t="s">
        <v>424</v>
      </c>
      <c r="D1810" t="s">
        <v>514</v>
      </c>
      <c r="E1810" t="s">
        <v>426</v>
      </c>
      <c r="F1810" t="s">
        <v>425</v>
      </c>
      <c r="G1810" t="s">
        <v>430</v>
      </c>
      <c r="H1810" t="s">
        <v>421</v>
      </c>
      <c r="I1810" t="s">
        <v>425</v>
      </c>
      <c r="J1810" t="s">
        <v>427</v>
      </c>
      <c r="N1810">
        <v>0</v>
      </c>
    </row>
    <row r="1811" spans="1:14" ht="15" customHeight="1" x14ac:dyDescent="0.25">
      <c r="A1811" s="82">
        <v>44086</v>
      </c>
      <c r="B1811" t="s">
        <v>428</v>
      </c>
      <c r="C1811" t="s">
        <v>424</v>
      </c>
      <c r="D1811" t="s">
        <v>514</v>
      </c>
      <c r="E1811" t="s">
        <v>426</v>
      </c>
      <c r="F1811" t="s">
        <v>425</v>
      </c>
      <c r="G1811" t="s">
        <v>430</v>
      </c>
      <c r="H1811" t="s">
        <v>427</v>
      </c>
      <c r="I1811" t="s">
        <v>421</v>
      </c>
      <c r="J1811" t="s">
        <v>455</v>
      </c>
      <c r="N1811">
        <v>0</v>
      </c>
    </row>
    <row r="1812" spans="1:14" ht="15" customHeight="1" x14ac:dyDescent="0.25">
      <c r="A1812" s="82">
        <v>44087</v>
      </c>
      <c r="B1812" t="s">
        <v>428</v>
      </c>
      <c r="C1812" t="s">
        <v>424</v>
      </c>
      <c r="D1812" t="s">
        <v>514</v>
      </c>
      <c r="E1812" t="s">
        <v>426</v>
      </c>
      <c r="F1812" t="s">
        <v>425</v>
      </c>
      <c r="G1812" t="s">
        <v>430</v>
      </c>
      <c r="H1812" t="s">
        <v>455</v>
      </c>
      <c r="I1812" t="s">
        <v>421</v>
      </c>
      <c r="J1812" t="s">
        <v>427</v>
      </c>
      <c r="N1812">
        <v>0</v>
      </c>
    </row>
    <row r="1813" spans="1:14" ht="15" customHeight="1" x14ac:dyDescent="0.25">
      <c r="A1813" s="82">
        <v>44088</v>
      </c>
      <c r="B1813" t="s">
        <v>428</v>
      </c>
      <c r="C1813" t="s">
        <v>424</v>
      </c>
      <c r="D1813" t="s">
        <v>514</v>
      </c>
      <c r="E1813" t="s">
        <v>426</v>
      </c>
      <c r="F1813" t="s">
        <v>425</v>
      </c>
      <c r="G1813" t="s">
        <v>430</v>
      </c>
      <c r="H1813" t="s">
        <v>421</v>
      </c>
      <c r="I1813" t="s">
        <v>427</v>
      </c>
      <c r="J1813" t="s">
        <v>455</v>
      </c>
      <c r="N1813">
        <v>0</v>
      </c>
    </row>
    <row r="1814" spans="1:14" ht="15" customHeight="1" x14ac:dyDescent="0.25">
      <c r="A1814" s="82">
        <v>44089</v>
      </c>
      <c r="B1814" t="s">
        <v>428</v>
      </c>
      <c r="C1814" t="s">
        <v>424</v>
      </c>
      <c r="D1814" t="s">
        <v>514</v>
      </c>
      <c r="E1814" t="s">
        <v>426</v>
      </c>
      <c r="F1814" t="s">
        <v>425</v>
      </c>
      <c r="G1814" t="s">
        <v>430</v>
      </c>
      <c r="H1814" t="s">
        <v>427</v>
      </c>
      <c r="I1814" t="s">
        <v>455</v>
      </c>
      <c r="J1814" t="s">
        <v>421</v>
      </c>
      <c r="N1814">
        <v>0</v>
      </c>
    </row>
    <row r="1815" spans="1:14" ht="15" customHeight="1" x14ac:dyDescent="0.25">
      <c r="A1815" s="82">
        <v>44090</v>
      </c>
      <c r="B1815" t="s">
        <v>428</v>
      </c>
      <c r="C1815" t="s">
        <v>424</v>
      </c>
      <c r="D1815" t="s">
        <v>514</v>
      </c>
      <c r="E1815" t="s">
        <v>426</v>
      </c>
      <c r="F1815" t="s">
        <v>425</v>
      </c>
      <c r="G1815" t="s">
        <v>430</v>
      </c>
      <c r="H1815" t="s">
        <v>455</v>
      </c>
      <c r="I1815" t="s">
        <v>427</v>
      </c>
      <c r="J1815" t="s">
        <v>421</v>
      </c>
      <c r="N1815">
        <v>0</v>
      </c>
    </row>
    <row r="1816" spans="1:14" ht="15" customHeight="1" x14ac:dyDescent="0.25">
      <c r="A1816" s="82">
        <v>44091</v>
      </c>
      <c r="B1816" t="s">
        <v>428</v>
      </c>
      <c r="C1816" t="s">
        <v>424</v>
      </c>
      <c r="D1816" t="s">
        <v>514</v>
      </c>
      <c r="E1816" t="s">
        <v>426</v>
      </c>
      <c r="F1816" t="s">
        <v>425</v>
      </c>
      <c r="G1816" t="s">
        <v>430</v>
      </c>
      <c r="H1816" t="s">
        <v>421</v>
      </c>
      <c r="I1816" t="s">
        <v>455</v>
      </c>
      <c r="J1816" t="s">
        <v>427</v>
      </c>
      <c r="N1816">
        <v>0</v>
      </c>
    </row>
    <row r="1817" spans="1:14" ht="15" customHeight="1" x14ac:dyDescent="0.25">
      <c r="A1817" s="82">
        <v>44092</v>
      </c>
      <c r="B1817" t="s">
        <v>425</v>
      </c>
      <c r="C1817" t="s">
        <v>430</v>
      </c>
      <c r="D1817" t="s">
        <v>426</v>
      </c>
      <c r="E1817" t="s">
        <v>427</v>
      </c>
      <c r="F1817" t="s">
        <v>425</v>
      </c>
      <c r="G1817" t="s">
        <v>421</v>
      </c>
      <c r="H1817" t="s">
        <v>429</v>
      </c>
      <c r="I1817" t="s">
        <v>424</v>
      </c>
      <c r="J1817" t="s">
        <v>455</v>
      </c>
      <c r="N1817">
        <v>0</v>
      </c>
    </row>
    <row r="1818" spans="1:14" ht="15" customHeight="1" x14ac:dyDescent="0.25">
      <c r="A1818" s="82">
        <v>44093</v>
      </c>
      <c r="B1818" t="s">
        <v>425</v>
      </c>
      <c r="C1818" t="s">
        <v>430</v>
      </c>
      <c r="D1818" t="s">
        <v>426</v>
      </c>
      <c r="E1818" t="s">
        <v>455</v>
      </c>
      <c r="F1818" t="s">
        <v>421</v>
      </c>
      <c r="G1818" t="s">
        <v>427</v>
      </c>
      <c r="H1818" t="s">
        <v>429</v>
      </c>
      <c r="I1818" t="s">
        <v>424</v>
      </c>
      <c r="J1818" t="s">
        <v>428</v>
      </c>
      <c r="N1818">
        <v>0</v>
      </c>
    </row>
    <row r="1819" spans="1:14" ht="15" customHeight="1" x14ac:dyDescent="0.25">
      <c r="A1819" s="82">
        <v>44094</v>
      </c>
      <c r="B1819" t="s">
        <v>425</v>
      </c>
      <c r="C1819" t="s">
        <v>430</v>
      </c>
      <c r="D1819" t="s">
        <v>426</v>
      </c>
      <c r="E1819" t="s">
        <v>427</v>
      </c>
      <c r="F1819" t="s">
        <v>421</v>
      </c>
      <c r="G1819" t="s">
        <v>455</v>
      </c>
      <c r="H1819" t="s">
        <v>429</v>
      </c>
      <c r="I1819" t="s">
        <v>424</v>
      </c>
      <c r="J1819" t="s">
        <v>428</v>
      </c>
      <c r="N1819">
        <v>0</v>
      </c>
    </row>
    <row r="1820" spans="1:14" ht="15" customHeight="1" x14ac:dyDescent="0.25">
      <c r="A1820" s="82">
        <v>44095</v>
      </c>
      <c r="B1820" t="s">
        <v>425</v>
      </c>
      <c r="C1820" t="s">
        <v>430</v>
      </c>
      <c r="D1820" t="s">
        <v>426</v>
      </c>
      <c r="E1820" t="s">
        <v>455</v>
      </c>
      <c r="F1820" t="s">
        <v>427</v>
      </c>
      <c r="G1820" t="s">
        <v>421</v>
      </c>
      <c r="H1820" t="s">
        <v>429</v>
      </c>
      <c r="I1820" t="s">
        <v>424</v>
      </c>
      <c r="J1820" t="s">
        <v>428</v>
      </c>
      <c r="N1820">
        <v>0</v>
      </c>
    </row>
    <row r="1821" spans="1:14" ht="15" customHeight="1" x14ac:dyDescent="0.25">
      <c r="A1821" s="82">
        <v>44096</v>
      </c>
      <c r="B1821" t="s">
        <v>425</v>
      </c>
      <c r="C1821" t="s">
        <v>430</v>
      </c>
      <c r="D1821" t="s">
        <v>426</v>
      </c>
      <c r="E1821" t="s">
        <v>421</v>
      </c>
      <c r="F1821" t="s">
        <v>455</v>
      </c>
      <c r="G1821" t="s">
        <v>427</v>
      </c>
      <c r="H1821" t="s">
        <v>429</v>
      </c>
      <c r="I1821" t="s">
        <v>424</v>
      </c>
      <c r="J1821" t="s">
        <v>428</v>
      </c>
      <c r="N1821">
        <v>0</v>
      </c>
    </row>
    <row r="1822" spans="1:14" ht="15" customHeight="1" x14ac:dyDescent="0.25">
      <c r="A1822" s="82">
        <v>44097</v>
      </c>
      <c r="B1822" t="s">
        <v>425</v>
      </c>
      <c r="C1822" t="s">
        <v>430</v>
      </c>
      <c r="D1822" t="s">
        <v>426</v>
      </c>
      <c r="E1822" t="s">
        <v>421</v>
      </c>
      <c r="F1822" t="s">
        <v>427</v>
      </c>
      <c r="G1822" t="s">
        <v>455</v>
      </c>
      <c r="H1822" t="s">
        <v>429</v>
      </c>
      <c r="I1822" t="s">
        <v>424</v>
      </c>
      <c r="J1822" t="s">
        <v>428</v>
      </c>
      <c r="N1822">
        <v>0</v>
      </c>
    </row>
    <row r="1823" spans="1:14" ht="15" customHeight="1" x14ac:dyDescent="0.25">
      <c r="A1823" s="82">
        <v>44098</v>
      </c>
      <c r="B1823" t="s">
        <v>425</v>
      </c>
      <c r="C1823" t="s">
        <v>430</v>
      </c>
      <c r="D1823" t="s">
        <v>426</v>
      </c>
      <c r="E1823" t="s">
        <v>427</v>
      </c>
      <c r="F1823" t="s">
        <v>455</v>
      </c>
      <c r="G1823" t="s">
        <v>421</v>
      </c>
      <c r="H1823" t="s">
        <v>429</v>
      </c>
      <c r="I1823" t="s">
        <v>424</v>
      </c>
      <c r="J1823" t="s">
        <v>428</v>
      </c>
      <c r="N1823">
        <v>0</v>
      </c>
    </row>
    <row r="1824" spans="1:14" ht="15" customHeight="1" x14ac:dyDescent="0.25">
      <c r="A1824" s="82">
        <v>44099</v>
      </c>
      <c r="B1824" t="s">
        <v>425</v>
      </c>
      <c r="C1824" t="s">
        <v>421</v>
      </c>
      <c r="D1824" t="s">
        <v>427</v>
      </c>
      <c r="E1824" t="s">
        <v>455</v>
      </c>
      <c r="F1824" t="s">
        <v>424</v>
      </c>
      <c r="G1824" t="s">
        <v>429</v>
      </c>
      <c r="H1824" t="s">
        <v>426</v>
      </c>
      <c r="I1824" t="s">
        <v>430</v>
      </c>
      <c r="J1824" t="s">
        <v>425</v>
      </c>
      <c r="N1824">
        <v>0</v>
      </c>
    </row>
    <row r="1825" spans="1:14" ht="15" customHeight="1" x14ac:dyDescent="0.25">
      <c r="A1825" s="82">
        <v>44100</v>
      </c>
      <c r="B1825" t="s">
        <v>421</v>
      </c>
      <c r="C1825" t="s">
        <v>427</v>
      </c>
      <c r="D1825" t="s">
        <v>455</v>
      </c>
      <c r="E1825" t="s">
        <v>428</v>
      </c>
      <c r="F1825" t="s">
        <v>424</v>
      </c>
      <c r="G1825" t="s">
        <v>429</v>
      </c>
      <c r="H1825" t="s">
        <v>426</v>
      </c>
      <c r="I1825" t="s">
        <v>430</v>
      </c>
      <c r="J1825" t="s">
        <v>425</v>
      </c>
      <c r="N1825">
        <v>0</v>
      </c>
    </row>
    <row r="1826" spans="1:14" ht="15" customHeight="1" x14ac:dyDescent="0.25">
      <c r="A1826" s="82">
        <v>44101</v>
      </c>
      <c r="B1826" t="s">
        <v>421</v>
      </c>
      <c r="C1826" t="s">
        <v>455</v>
      </c>
      <c r="D1826" t="s">
        <v>427</v>
      </c>
      <c r="E1826" t="s">
        <v>428</v>
      </c>
      <c r="F1826" t="s">
        <v>424</v>
      </c>
      <c r="G1826" t="s">
        <v>429</v>
      </c>
      <c r="H1826" t="s">
        <v>426</v>
      </c>
      <c r="I1826" t="s">
        <v>430</v>
      </c>
      <c r="J1826" t="s">
        <v>425</v>
      </c>
      <c r="N1826">
        <v>0</v>
      </c>
    </row>
    <row r="1827" spans="1:14" ht="15" customHeight="1" x14ac:dyDescent="0.25">
      <c r="A1827" s="82">
        <v>44102</v>
      </c>
      <c r="B1827" t="s">
        <v>427</v>
      </c>
      <c r="C1827" t="s">
        <v>421</v>
      </c>
      <c r="D1827" t="s">
        <v>455</v>
      </c>
      <c r="E1827" t="s">
        <v>428</v>
      </c>
      <c r="F1827" t="s">
        <v>424</v>
      </c>
      <c r="G1827" t="s">
        <v>429</v>
      </c>
      <c r="H1827" t="s">
        <v>426</v>
      </c>
      <c r="I1827" t="s">
        <v>430</v>
      </c>
      <c r="J1827" t="s">
        <v>425</v>
      </c>
      <c r="N1827">
        <v>0</v>
      </c>
    </row>
    <row r="1828" spans="1:14" ht="15" customHeight="1" x14ac:dyDescent="0.25">
      <c r="A1828" s="82">
        <v>44103</v>
      </c>
      <c r="B1828" t="s">
        <v>455</v>
      </c>
      <c r="C1828" t="s">
        <v>427</v>
      </c>
      <c r="D1828" t="s">
        <v>421</v>
      </c>
      <c r="E1828" t="s">
        <v>428</v>
      </c>
      <c r="F1828" t="s">
        <v>424</v>
      </c>
      <c r="G1828" t="s">
        <v>429</v>
      </c>
      <c r="H1828" t="s">
        <v>426</v>
      </c>
      <c r="I1828" t="s">
        <v>430</v>
      </c>
      <c r="J1828" t="s">
        <v>425</v>
      </c>
      <c r="N1828">
        <v>0</v>
      </c>
    </row>
    <row r="1829" spans="1:14" ht="15" customHeight="1" x14ac:dyDescent="0.25">
      <c r="A1829" s="82">
        <v>44104</v>
      </c>
      <c r="B1829" t="s">
        <v>427</v>
      </c>
      <c r="C1829" t="s">
        <v>455</v>
      </c>
      <c r="D1829" t="s">
        <v>421</v>
      </c>
      <c r="E1829" t="s">
        <v>428</v>
      </c>
      <c r="F1829" t="s">
        <v>424</v>
      </c>
      <c r="G1829" t="s">
        <v>429</v>
      </c>
      <c r="H1829" t="s">
        <v>426</v>
      </c>
      <c r="I1829" t="s">
        <v>430</v>
      </c>
      <c r="J1829" t="s">
        <v>425</v>
      </c>
      <c r="N1829">
        <v>0</v>
      </c>
    </row>
    <row r="1830" spans="1:14" ht="15" customHeight="1" x14ac:dyDescent="0.25">
      <c r="A1830" s="82">
        <v>44105</v>
      </c>
      <c r="B1830" t="s">
        <v>455</v>
      </c>
      <c r="C1830" t="s">
        <v>421</v>
      </c>
      <c r="D1830" t="s">
        <v>427</v>
      </c>
      <c r="E1830" t="s">
        <v>428</v>
      </c>
      <c r="F1830" t="s">
        <v>424</v>
      </c>
      <c r="G1830" t="s">
        <v>429</v>
      </c>
      <c r="H1830" t="s">
        <v>426</v>
      </c>
      <c r="I1830" t="s">
        <v>430</v>
      </c>
      <c r="J1830" t="s">
        <v>425</v>
      </c>
      <c r="N1830">
        <v>0</v>
      </c>
    </row>
    <row r="1831" spans="1:14" ht="15" customHeight="1" x14ac:dyDescent="0.25">
      <c r="A1831" s="82">
        <v>44106</v>
      </c>
      <c r="B1831" t="s">
        <v>424</v>
      </c>
      <c r="C1831" t="s">
        <v>429</v>
      </c>
      <c r="D1831" t="s">
        <v>455</v>
      </c>
      <c r="E1831" t="s">
        <v>425</v>
      </c>
      <c r="F1831" t="s">
        <v>424</v>
      </c>
      <c r="G1831" t="s">
        <v>426</v>
      </c>
      <c r="H1831" t="s">
        <v>427</v>
      </c>
      <c r="I1831" t="s">
        <v>421</v>
      </c>
      <c r="J1831" t="s">
        <v>425</v>
      </c>
      <c r="N1831">
        <v>0</v>
      </c>
    </row>
    <row r="1832" spans="1:14" ht="15" customHeight="1" x14ac:dyDescent="0.25">
      <c r="A1832" s="82">
        <v>44107</v>
      </c>
      <c r="B1832" t="s">
        <v>424</v>
      </c>
      <c r="C1832" t="s">
        <v>429</v>
      </c>
      <c r="D1832" t="s">
        <v>428</v>
      </c>
      <c r="E1832" t="s">
        <v>425</v>
      </c>
      <c r="F1832" t="s">
        <v>430</v>
      </c>
      <c r="G1832" t="s">
        <v>426</v>
      </c>
      <c r="H1832" t="s">
        <v>455</v>
      </c>
      <c r="I1832" t="s">
        <v>427</v>
      </c>
      <c r="J1832" t="s">
        <v>421</v>
      </c>
      <c r="N1832">
        <v>0</v>
      </c>
    </row>
    <row r="1833" spans="1:14" ht="15" customHeight="1" x14ac:dyDescent="0.25">
      <c r="A1833" s="82">
        <v>44108</v>
      </c>
      <c r="B1833" t="s">
        <v>424</v>
      </c>
      <c r="C1833" t="s">
        <v>429</v>
      </c>
      <c r="D1833" t="s">
        <v>428</v>
      </c>
      <c r="E1833" t="s">
        <v>425</v>
      </c>
      <c r="F1833" t="s">
        <v>430</v>
      </c>
      <c r="G1833" t="s">
        <v>426</v>
      </c>
      <c r="H1833" t="s">
        <v>427</v>
      </c>
      <c r="I1833" t="s">
        <v>455</v>
      </c>
      <c r="J1833" t="s">
        <v>421</v>
      </c>
      <c r="N1833">
        <v>0</v>
      </c>
    </row>
    <row r="1834" spans="1:14" ht="15" customHeight="1" x14ac:dyDescent="0.25">
      <c r="A1834" s="82">
        <v>44109</v>
      </c>
      <c r="B1834" t="s">
        <v>424</v>
      </c>
      <c r="C1834" t="s">
        <v>429</v>
      </c>
      <c r="D1834" t="s">
        <v>428</v>
      </c>
      <c r="E1834" t="s">
        <v>425</v>
      </c>
      <c r="F1834" t="s">
        <v>430</v>
      </c>
      <c r="G1834" t="s">
        <v>426</v>
      </c>
      <c r="H1834" t="s">
        <v>455</v>
      </c>
      <c r="I1834" t="s">
        <v>421</v>
      </c>
      <c r="J1834" t="s">
        <v>427</v>
      </c>
      <c r="N1834">
        <v>0</v>
      </c>
    </row>
    <row r="1835" spans="1:14" ht="15" customHeight="1" x14ac:dyDescent="0.25">
      <c r="A1835" s="82">
        <v>44110</v>
      </c>
      <c r="B1835" t="s">
        <v>424</v>
      </c>
      <c r="C1835" t="s">
        <v>429</v>
      </c>
      <c r="D1835" t="s">
        <v>428</v>
      </c>
      <c r="E1835" t="s">
        <v>425</v>
      </c>
      <c r="F1835" t="s">
        <v>430</v>
      </c>
      <c r="G1835" t="s">
        <v>426</v>
      </c>
      <c r="H1835" t="s">
        <v>421</v>
      </c>
      <c r="I1835" t="s">
        <v>427</v>
      </c>
      <c r="J1835" t="s">
        <v>455</v>
      </c>
      <c r="N1835">
        <v>0</v>
      </c>
    </row>
    <row r="1836" spans="1:14" ht="15" customHeight="1" x14ac:dyDescent="0.25">
      <c r="A1836" s="82">
        <v>44111</v>
      </c>
      <c r="B1836" t="s">
        <v>424</v>
      </c>
      <c r="C1836" t="s">
        <v>429</v>
      </c>
      <c r="D1836" t="s">
        <v>428</v>
      </c>
      <c r="E1836" t="s">
        <v>425</v>
      </c>
      <c r="F1836" t="s">
        <v>430</v>
      </c>
      <c r="G1836" t="s">
        <v>426</v>
      </c>
      <c r="H1836" t="s">
        <v>421</v>
      </c>
      <c r="I1836" t="s">
        <v>455</v>
      </c>
      <c r="J1836" t="s">
        <v>427</v>
      </c>
      <c r="N1836">
        <v>0</v>
      </c>
    </row>
    <row r="1837" spans="1:14" ht="15" customHeight="1" x14ac:dyDescent="0.25">
      <c r="A1837" s="82">
        <v>44112</v>
      </c>
      <c r="B1837" t="s">
        <v>424</v>
      </c>
      <c r="C1837" t="s">
        <v>429</v>
      </c>
      <c r="D1837" t="s">
        <v>428</v>
      </c>
      <c r="E1837" t="s">
        <v>425</v>
      </c>
      <c r="F1837" t="s">
        <v>430</v>
      </c>
      <c r="G1837" t="s">
        <v>426</v>
      </c>
      <c r="H1837" t="s">
        <v>427</v>
      </c>
      <c r="I1837" t="s">
        <v>421</v>
      </c>
      <c r="J1837" t="s">
        <v>455</v>
      </c>
      <c r="N1837">
        <v>0</v>
      </c>
    </row>
    <row r="1838" spans="1:14" ht="15" customHeight="1" x14ac:dyDescent="0.25">
      <c r="A1838" s="82">
        <v>44113</v>
      </c>
      <c r="B1838" t="s">
        <v>430</v>
      </c>
      <c r="C1838" t="s">
        <v>426</v>
      </c>
      <c r="D1838" t="s">
        <v>425</v>
      </c>
      <c r="E1838" t="s">
        <v>425</v>
      </c>
      <c r="F1838" t="s">
        <v>421</v>
      </c>
      <c r="G1838" t="s">
        <v>427</v>
      </c>
      <c r="H1838" t="s">
        <v>455</v>
      </c>
      <c r="I1838" t="s">
        <v>429</v>
      </c>
      <c r="J1838" t="s">
        <v>424</v>
      </c>
      <c r="N1838">
        <v>0</v>
      </c>
    </row>
    <row r="1839" spans="1:14" ht="15" customHeight="1" x14ac:dyDescent="0.25">
      <c r="A1839" s="82">
        <v>44114</v>
      </c>
      <c r="B1839" t="s">
        <v>430</v>
      </c>
      <c r="C1839" t="s">
        <v>426</v>
      </c>
      <c r="D1839" t="s">
        <v>425</v>
      </c>
      <c r="E1839" t="s">
        <v>421</v>
      </c>
      <c r="F1839" t="s">
        <v>427</v>
      </c>
      <c r="G1839" t="s">
        <v>455</v>
      </c>
      <c r="H1839" t="s">
        <v>428</v>
      </c>
      <c r="I1839" t="s">
        <v>429</v>
      </c>
      <c r="J1839" t="s">
        <v>424</v>
      </c>
      <c r="N1839">
        <v>0</v>
      </c>
    </row>
    <row r="1840" spans="1:14" ht="15" customHeight="1" x14ac:dyDescent="0.25">
      <c r="A1840" s="82">
        <v>44115</v>
      </c>
      <c r="B1840" t="s">
        <v>430</v>
      </c>
      <c r="C1840" t="s">
        <v>426</v>
      </c>
      <c r="D1840" t="s">
        <v>425</v>
      </c>
      <c r="E1840" t="s">
        <v>421</v>
      </c>
      <c r="F1840" t="s">
        <v>455</v>
      </c>
      <c r="G1840" t="s">
        <v>427</v>
      </c>
      <c r="H1840" t="s">
        <v>428</v>
      </c>
      <c r="I1840" t="s">
        <v>429</v>
      </c>
      <c r="J1840" t="s">
        <v>424</v>
      </c>
      <c r="N1840">
        <v>0</v>
      </c>
    </row>
    <row r="1841" spans="1:14" ht="15" customHeight="1" x14ac:dyDescent="0.25">
      <c r="A1841" s="82">
        <v>44116</v>
      </c>
      <c r="B1841" t="s">
        <v>430</v>
      </c>
      <c r="C1841" t="s">
        <v>426</v>
      </c>
      <c r="D1841" t="s">
        <v>425</v>
      </c>
      <c r="E1841" t="s">
        <v>427</v>
      </c>
      <c r="F1841" t="s">
        <v>421</v>
      </c>
      <c r="G1841" t="s">
        <v>455</v>
      </c>
      <c r="H1841" t="s">
        <v>428</v>
      </c>
      <c r="I1841" t="s">
        <v>429</v>
      </c>
      <c r="J1841" t="s">
        <v>424</v>
      </c>
      <c r="N1841">
        <v>0</v>
      </c>
    </row>
    <row r="1842" spans="1:14" ht="15" customHeight="1" x14ac:dyDescent="0.25">
      <c r="A1842" s="82">
        <v>44117</v>
      </c>
      <c r="B1842" t="s">
        <v>430</v>
      </c>
      <c r="C1842" t="s">
        <v>426</v>
      </c>
      <c r="D1842" t="s">
        <v>425</v>
      </c>
      <c r="E1842" t="s">
        <v>455</v>
      </c>
      <c r="F1842" t="s">
        <v>427</v>
      </c>
      <c r="G1842" t="s">
        <v>421</v>
      </c>
      <c r="H1842" t="s">
        <v>428</v>
      </c>
      <c r="I1842" t="s">
        <v>429</v>
      </c>
      <c r="J1842" t="s">
        <v>424</v>
      </c>
      <c r="N1842">
        <v>0</v>
      </c>
    </row>
    <row r="1843" spans="1:14" ht="15" customHeight="1" x14ac:dyDescent="0.25">
      <c r="A1843" s="82">
        <v>44118</v>
      </c>
      <c r="B1843" t="s">
        <v>430</v>
      </c>
      <c r="C1843" t="s">
        <v>426</v>
      </c>
      <c r="D1843" t="s">
        <v>425</v>
      </c>
      <c r="E1843" t="s">
        <v>427</v>
      </c>
      <c r="F1843" t="s">
        <v>455</v>
      </c>
      <c r="G1843" t="s">
        <v>421</v>
      </c>
      <c r="H1843" t="s">
        <v>428</v>
      </c>
      <c r="I1843" t="s">
        <v>429</v>
      </c>
      <c r="J1843" t="s">
        <v>424</v>
      </c>
      <c r="N1843">
        <v>0</v>
      </c>
    </row>
    <row r="1844" spans="1:14" ht="15" customHeight="1" x14ac:dyDescent="0.25">
      <c r="A1844" s="82">
        <v>44119</v>
      </c>
      <c r="B1844" t="s">
        <v>430</v>
      </c>
      <c r="C1844" t="s">
        <v>426</v>
      </c>
      <c r="D1844" t="s">
        <v>425</v>
      </c>
      <c r="E1844" t="s">
        <v>455</v>
      </c>
      <c r="F1844" t="s">
        <v>421</v>
      </c>
      <c r="G1844" t="s">
        <v>427</v>
      </c>
      <c r="H1844" t="s">
        <v>428</v>
      </c>
      <c r="I1844" t="s">
        <v>429</v>
      </c>
      <c r="J1844" t="s">
        <v>424</v>
      </c>
      <c r="N1844">
        <v>0</v>
      </c>
    </row>
    <row r="1845" spans="1:14" ht="15" customHeight="1" x14ac:dyDescent="0.25">
      <c r="A1845" s="82">
        <v>44120</v>
      </c>
      <c r="B1845" t="s">
        <v>421</v>
      </c>
      <c r="C1845" t="s">
        <v>427</v>
      </c>
      <c r="D1845" t="s">
        <v>425</v>
      </c>
      <c r="E1845" t="s">
        <v>424</v>
      </c>
      <c r="F1845" t="s">
        <v>429</v>
      </c>
      <c r="G1845" t="s">
        <v>455</v>
      </c>
      <c r="H1845" t="s">
        <v>425</v>
      </c>
      <c r="I1845" t="s">
        <v>426</v>
      </c>
      <c r="J1845" t="s">
        <v>430</v>
      </c>
      <c r="N1845">
        <v>0</v>
      </c>
    </row>
    <row r="1846" spans="1:14" ht="15" customHeight="1" x14ac:dyDescent="0.25">
      <c r="A1846" s="82">
        <v>44121</v>
      </c>
      <c r="B1846" t="s">
        <v>427</v>
      </c>
      <c r="C1846" t="s">
        <v>455</v>
      </c>
      <c r="D1846" t="s">
        <v>421</v>
      </c>
      <c r="E1846" t="s">
        <v>424</v>
      </c>
      <c r="F1846" t="s">
        <v>429</v>
      </c>
      <c r="G1846" t="s">
        <v>428</v>
      </c>
      <c r="H1846" t="s">
        <v>425</v>
      </c>
      <c r="I1846" t="s">
        <v>426</v>
      </c>
      <c r="J1846" t="s">
        <v>430</v>
      </c>
      <c r="N1846">
        <v>0</v>
      </c>
    </row>
    <row r="1847" spans="1:14" ht="15" customHeight="1" x14ac:dyDescent="0.25">
      <c r="A1847" s="82">
        <v>44122</v>
      </c>
      <c r="B1847" t="s">
        <v>455</v>
      </c>
      <c r="C1847" t="s">
        <v>427</v>
      </c>
      <c r="D1847" t="s">
        <v>421</v>
      </c>
      <c r="E1847" t="s">
        <v>424</v>
      </c>
      <c r="F1847" t="s">
        <v>429</v>
      </c>
      <c r="G1847" t="s">
        <v>428</v>
      </c>
      <c r="H1847" t="s">
        <v>425</v>
      </c>
      <c r="I1847" t="s">
        <v>426</v>
      </c>
      <c r="J1847" t="s">
        <v>430</v>
      </c>
      <c r="N1847">
        <v>0</v>
      </c>
    </row>
    <row r="1848" spans="1:14" ht="15" customHeight="1" x14ac:dyDescent="0.25">
      <c r="A1848" s="82">
        <v>44123</v>
      </c>
      <c r="B1848" t="s">
        <v>421</v>
      </c>
      <c r="C1848" t="s">
        <v>455</v>
      </c>
      <c r="D1848" t="s">
        <v>427</v>
      </c>
      <c r="E1848" t="s">
        <v>424</v>
      </c>
      <c r="F1848" t="s">
        <v>429</v>
      </c>
      <c r="G1848" t="s">
        <v>428</v>
      </c>
      <c r="H1848" t="s">
        <v>425</v>
      </c>
      <c r="I1848" t="s">
        <v>426</v>
      </c>
      <c r="J1848" t="s">
        <v>430</v>
      </c>
      <c r="N1848">
        <v>0</v>
      </c>
    </row>
    <row r="1849" spans="1:14" ht="15" customHeight="1" x14ac:dyDescent="0.25">
      <c r="A1849" s="82">
        <v>44124</v>
      </c>
      <c r="B1849" t="s">
        <v>427</v>
      </c>
      <c r="C1849" t="s">
        <v>421</v>
      </c>
      <c r="D1849" t="s">
        <v>455</v>
      </c>
      <c r="E1849" t="s">
        <v>424</v>
      </c>
      <c r="F1849" t="s">
        <v>429</v>
      </c>
      <c r="G1849" t="s">
        <v>428</v>
      </c>
      <c r="H1849" t="s">
        <v>425</v>
      </c>
      <c r="I1849" t="s">
        <v>426</v>
      </c>
      <c r="J1849" t="s">
        <v>430</v>
      </c>
      <c r="N1849">
        <v>0</v>
      </c>
    </row>
    <row r="1850" spans="1:14" ht="15" customHeight="1" x14ac:dyDescent="0.25">
      <c r="A1850" s="82">
        <v>44125</v>
      </c>
      <c r="B1850" t="s">
        <v>455</v>
      </c>
      <c r="C1850" t="s">
        <v>421</v>
      </c>
      <c r="D1850" t="s">
        <v>427</v>
      </c>
      <c r="E1850" t="s">
        <v>424</v>
      </c>
      <c r="F1850" t="s">
        <v>429</v>
      </c>
      <c r="G1850" t="s">
        <v>428</v>
      </c>
      <c r="H1850" t="s">
        <v>425</v>
      </c>
      <c r="I1850" t="s">
        <v>426</v>
      </c>
      <c r="J1850" t="s">
        <v>430</v>
      </c>
      <c r="N1850">
        <v>0</v>
      </c>
    </row>
    <row r="1851" spans="1:14" ht="15" customHeight="1" x14ac:dyDescent="0.25">
      <c r="A1851" s="82">
        <v>44126</v>
      </c>
      <c r="B1851" t="s">
        <v>421</v>
      </c>
      <c r="C1851" t="s">
        <v>427</v>
      </c>
      <c r="D1851" t="s">
        <v>455</v>
      </c>
      <c r="E1851" t="s">
        <v>424</v>
      </c>
      <c r="F1851" t="s">
        <v>429</v>
      </c>
      <c r="G1851" t="s">
        <v>428</v>
      </c>
      <c r="H1851" t="s">
        <v>425</v>
      </c>
      <c r="I1851" t="s">
        <v>426</v>
      </c>
      <c r="J1851" t="s">
        <v>430</v>
      </c>
      <c r="N1851">
        <v>0</v>
      </c>
    </row>
    <row r="1852" spans="1:14" ht="15" customHeight="1" x14ac:dyDescent="0.25">
      <c r="A1852" s="82">
        <v>44127</v>
      </c>
      <c r="B1852" t="s">
        <v>429</v>
      </c>
      <c r="C1852" t="s">
        <v>455</v>
      </c>
      <c r="D1852" t="s">
        <v>424</v>
      </c>
      <c r="E1852" t="s">
        <v>430</v>
      </c>
      <c r="F1852" t="s">
        <v>426</v>
      </c>
      <c r="G1852" t="s">
        <v>425</v>
      </c>
      <c r="H1852" t="s">
        <v>425</v>
      </c>
      <c r="I1852" t="s">
        <v>427</v>
      </c>
      <c r="J1852" t="s">
        <v>421</v>
      </c>
      <c r="N1852">
        <v>0</v>
      </c>
    </row>
    <row r="1853" spans="1:14" ht="15" customHeight="1" x14ac:dyDescent="0.25">
      <c r="A1853" s="82">
        <v>44128</v>
      </c>
      <c r="B1853" t="s">
        <v>429</v>
      </c>
      <c r="C1853" t="s">
        <v>428</v>
      </c>
      <c r="D1853" t="s">
        <v>424</v>
      </c>
      <c r="E1853" t="s">
        <v>430</v>
      </c>
      <c r="F1853" t="s">
        <v>426</v>
      </c>
      <c r="G1853" t="s">
        <v>425</v>
      </c>
      <c r="H1853" t="s">
        <v>421</v>
      </c>
      <c r="I1853" t="s">
        <v>455</v>
      </c>
      <c r="J1853" t="s">
        <v>427</v>
      </c>
      <c r="N1853">
        <v>0</v>
      </c>
    </row>
    <row r="1854" spans="1:14" ht="15" customHeight="1" x14ac:dyDescent="0.25">
      <c r="A1854" s="82">
        <v>44129</v>
      </c>
      <c r="B1854" t="s">
        <v>429</v>
      </c>
      <c r="C1854" t="s">
        <v>428</v>
      </c>
      <c r="D1854" t="s">
        <v>424</v>
      </c>
      <c r="E1854" t="s">
        <v>430</v>
      </c>
      <c r="F1854" t="s">
        <v>426</v>
      </c>
      <c r="G1854" t="s">
        <v>425</v>
      </c>
      <c r="H1854" t="s">
        <v>421</v>
      </c>
      <c r="I1854" t="s">
        <v>427</v>
      </c>
      <c r="J1854" t="s">
        <v>455</v>
      </c>
      <c r="N1854">
        <v>0</v>
      </c>
    </row>
    <row r="1855" spans="1:14" ht="15" customHeight="1" x14ac:dyDescent="0.25">
      <c r="A1855" s="82">
        <v>44130</v>
      </c>
      <c r="B1855" t="s">
        <v>429</v>
      </c>
      <c r="C1855" t="s">
        <v>428</v>
      </c>
      <c r="D1855" t="s">
        <v>424</v>
      </c>
      <c r="E1855" t="s">
        <v>430</v>
      </c>
      <c r="F1855" t="s">
        <v>426</v>
      </c>
      <c r="G1855" t="s">
        <v>425</v>
      </c>
      <c r="H1855" t="s">
        <v>427</v>
      </c>
      <c r="I1855" t="s">
        <v>455</v>
      </c>
      <c r="J1855" t="s">
        <v>421</v>
      </c>
      <c r="N1855">
        <v>0</v>
      </c>
    </row>
    <row r="1856" spans="1:14" ht="15" customHeight="1" x14ac:dyDescent="0.25">
      <c r="A1856" s="82">
        <v>44131</v>
      </c>
      <c r="B1856" t="s">
        <v>429</v>
      </c>
      <c r="C1856" t="s">
        <v>428</v>
      </c>
      <c r="D1856" t="s">
        <v>424</v>
      </c>
      <c r="E1856" t="s">
        <v>430</v>
      </c>
      <c r="F1856" t="s">
        <v>426</v>
      </c>
      <c r="G1856" t="s">
        <v>425</v>
      </c>
      <c r="H1856" t="s">
        <v>455</v>
      </c>
      <c r="I1856" t="s">
        <v>421</v>
      </c>
      <c r="J1856" t="s">
        <v>427</v>
      </c>
      <c r="N1856">
        <v>0</v>
      </c>
    </row>
    <row r="1857" spans="1:14" ht="15" customHeight="1" x14ac:dyDescent="0.25">
      <c r="A1857" s="82">
        <v>44132</v>
      </c>
      <c r="B1857" t="s">
        <v>429</v>
      </c>
      <c r="C1857" t="s">
        <v>428</v>
      </c>
      <c r="D1857" t="s">
        <v>424</v>
      </c>
      <c r="E1857" t="s">
        <v>430</v>
      </c>
      <c r="F1857" t="s">
        <v>426</v>
      </c>
      <c r="G1857" t="s">
        <v>425</v>
      </c>
      <c r="H1857" t="s">
        <v>427</v>
      </c>
      <c r="I1857" t="s">
        <v>421</v>
      </c>
      <c r="J1857" t="s">
        <v>455</v>
      </c>
      <c r="N1857">
        <v>0</v>
      </c>
    </row>
    <row r="1858" spans="1:14" ht="15" customHeight="1" x14ac:dyDescent="0.25">
      <c r="A1858" s="82">
        <v>44133</v>
      </c>
      <c r="B1858" t="s">
        <v>429</v>
      </c>
      <c r="C1858" t="s">
        <v>428</v>
      </c>
      <c r="D1858" t="s">
        <v>424</v>
      </c>
      <c r="E1858" t="s">
        <v>430</v>
      </c>
      <c r="F1858" t="s">
        <v>426</v>
      </c>
      <c r="G1858" t="s">
        <v>425</v>
      </c>
      <c r="H1858" t="s">
        <v>455</v>
      </c>
      <c r="I1858" t="s">
        <v>427</v>
      </c>
      <c r="J1858" t="s">
        <v>421</v>
      </c>
      <c r="N1858">
        <v>0</v>
      </c>
    </row>
    <row r="1859" spans="1:14" ht="15" customHeight="1" x14ac:dyDescent="0.25">
      <c r="A1859" s="82">
        <v>44134</v>
      </c>
      <c r="B1859" t="s">
        <v>426</v>
      </c>
      <c r="C1859" t="s">
        <v>425</v>
      </c>
      <c r="D1859" t="s">
        <v>430</v>
      </c>
      <c r="E1859" t="s">
        <v>421</v>
      </c>
      <c r="F1859" t="s">
        <v>427</v>
      </c>
      <c r="G1859" t="s">
        <v>425</v>
      </c>
      <c r="H1859" t="s">
        <v>424</v>
      </c>
      <c r="I1859" t="s">
        <v>455</v>
      </c>
      <c r="J1859" t="s">
        <v>429</v>
      </c>
      <c r="N1859">
        <v>0</v>
      </c>
    </row>
    <row r="1860" spans="1:14" ht="15" customHeight="1" x14ac:dyDescent="0.25">
      <c r="A1860" s="82">
        <v>44135</v>
      </c>
      <c r="B1860" t="s">
        <v>426</v>
      </c>
      <c r="C1860" t="s">
        <v>425</v>
      </c>
      <c r="D1860" t="s">
        <v>430</v>
      </c>
      <c r="E1860" t="s">
        <v>427</v>
      </c>
      <c r="F1860" t="s">
        <v>455</v>
      </c>
      <c r="G1860" t="s">
        <v>421</v>
      </c>
      <c r="H1860" t="s">
        <v>424</v>
      </c>
      <c r="I1860" t="s">
        <v>428</v>
      </c>
      <c r="J1860" t="s">
        <v>429</v>
      </c>
      <c r="N1860">
        <v>0</v>
      </c>
    </row>
    <row r="1861" spans="1:14" ht="15" customHeight="1" x14ac:dyDescent="0.25">
      <c r="A1861" s="82">
        <v>44136</v>
      </c>
      <c r="B1861" t="s">
        <v>426</v>
      </c>
      <c r="C1861" t="s">
        <v>425</v>
      </c>
      <c r="D1861" t="s">
        <v>430</v>
      </c>
      <c r="E1861" t="s">
        <v>455</v>
      </c>
      <c r="F1861" t="s">
        <v>427</v>
      </c>
      <c r="G1861" t="s">
        <v>421</v>
      </c>
      <c r="H1861" t="s">
        <v>424</v>
      </c>
      <c r="I1861" t="s">
        <v>428</v>
      </c>
      <c r="J1861" t="s">
        <v>429</v>
      </c>
      <c r="N1861">
        <v>0</v>
      </c>
    </row>
    <row r="1862" spans="1:14" ht="15" customHeight="1" x14ac:dyDescent="0.25">
      <c r="A1862" s="82">
        <v>44137</v>
      </c>
      <c r="B1862" t="s">
        <v>426</v>
      </c>
      <c r="C1862" t="s">
        <v>425</v>
      </c>
      <c r="D1862" t="s">
        <v>430</v>
      </c>
      <c r="E1862" t="s">
        <v>421</v>
      </c>
      <c r="F1862" t="s">
        <v>455</v>
      </c>
      <c r="G1862" t="s">
        <v>427</v>
      </c>
      <c r="H1862" t="s">
        <v>424</v>
      </c>
      <c r="I1862" t="s">
        <v>428</v>
      </c>
      <c r="J1862" t="s">
        <v>429</v>
      </c>
      <c r="N1862">
        <v>0</v>
      </c>
    </row>
    <row r="1863" spans="1:14" ht="15" customHeight="1" x14ac:dyDescent="0.25">
      <c r="A1863" s="82">
        <v>44138</v>
      </c>
      <c r="B1863" t="s">
        <v>426</v>
      </c>
      <c r="C1863" t="s">
        <v>425</v>
      </c>
      <c r="D1863" t="s">
        <v>430</v>
      </c>
      <c r="E1863" t="s">
        <v>427</v>
      </c>
      <c r="F1863" t="s">
        <v>421</v>
      </c>
      <c r="G1863" t="s">
        <v>455</v>
      </c>
      <c r="H1863" t="s">
        <v>424</v>
      </c>
      <c r="I1863" t="s">
        <v>428</v>
      </c>
      <c r="J1863" t="s">
        <v>429</v>
      </c>
      <c r="N1863">
        <v>0</v>
      </c>
    </row>
    <row r="1864" spans="1:14" ht="15" customHeight="1" x14ac:dyDescent="0.25">
      <c r="A1864" s="82">
        <v>44139</v>
      </c>
      <c r="B1864" t="s">
        <v>426</v>
      </c>
      <c r="C1864" t="s">
        <v>425</v>
      </c>
      <c r="D1864" t="s">
        <v>430</v>
      </c>
      <c r="E1864" t="s">
        <v>455</v>
      </c>
      <c r="F1864" t="s">
        <v>421</v>
      </c>
      <c r="G1864" t="s">
        <v>427</v>
      </c>
      <c r="H1864" t="s">
        <v>424</v>
      </c>
      <c r="I1864" t="s">
        <v>428</v>
      </c>
      <c r="J1864" t="s">
        <v>429</v>
      </c>
      <c r="N1864">
        <v>0</v>
      </c>
    </row>
    <row r="1865" spans="1:14" ht="15" customHeight="1" x14ac:dyDescent="0.25">
      <c r="A1865" s="82">
        <v>44140</v>
      </c>
      <c r="B1865" t="s">
        <v>426</v>
      </c>
      <c r="C1865" t="s">
        <v>425</v>
      </c>
      <c r="D1865" t="s">
        <v>430</v>
      </c>
      <c r="E1865" t="s">
        <v>421</v>
      </c>
      <c r="F1865" t="s">
        <v>427</v>
      </c>
      <c r="G1865" t="s">
        <v>455</v>
      </c>
      <c r="H1865" t="s">
        <v>424</v>
      </c>
      <c r="I1865" t="s">
        <v>428</v>
      </c>
      <c r="J1865" t="s">
        <v>429</v>
      </c>
      <c r="N1865">
        <v>0</v>
      </c>
    </row>
    <row r="1866" spans="1:14" ht="15" customHeight="1" x14ac:dyDescent="0.25">
      <c r="A1866" s="82">
        <v>44141</v>
      </c>
      <c r="B1866" t="s">
        <v>427</v>
      </c>
      <c r="C1866" t="s">
        <v>425</v>
      </c>
      <c r="D1866" t="s">
        <v>425</v>
      </c>
      <c r="E1866" t="s">
        <v>429</v>
      </c>
      <c r="F1866" t="s">
        <v>455</v>
      </c>
      <c r="G1866" t="s">
        <v>424</v>
      </c>
      <c r="H1866" t="s">
        <v>430</v>
      </c>
      <c r="I1866" t="s">
        <v>518</v>
      </c>
      <c r="J1866" t="s">
        <v>426</v>
      </c>
      <c r="N1866">
        <v>0</v>
      </c>
    </row>
    <row r="1867" spans="1:14" ht="15" customHeight="1" x14ac:dyDescent="0.25">
      <c r="A1867" s="82">
        <v>44142</v>
      </c>
      <c r="B1867" t="s">
        <v>455</v>
      </c>
      <c r="C1867" t="s">
        <v>421</v>
      </c>
      <c r="D1867" t="s">
        <v>425</v>
      </c>
      <c r="E1867" t="s">
        <v>429</v>
      </c>
      <c r="F1867" t="s">
        <v>428</v>
      </c>
      <c r="G1867" t="s">
        <v>424</v>
      </c>
      <c r="H1867" t="s">
        <v>430</v>
      </c>
      <c r="I1867" t="s">
        <v>518</v>
      </c>
      <c r="J1867" t="s">
        <v>426</v>
      </c>
      <c r="N1867">
        <v>0</v>
      </c>
    </row>
    <row r="1868" spans="1:14" ht="15" customHeight="1" x14ac:dyDescent="0.25">
      <c r="A1868" s="82">
        <v>44143</v>
      </c>
      <c r="B1868" t="s">
        <v>427</v>
      </c>
      <c r="C1868" t="s">
        <v>421</v>
      </c>
      <c r="D1868" t="s">
        <v>425</v>
      </c>
      <c r="E1868" t="s">
        <v>429</v>
      </c>
      <c r="F1868" t="s">
        <v>428</v>
      </c>
      <c r="G1868" t="s">
        <v>424</v>
      </c>
      <c r="H1868" t="s">
        <v>430</v>
      </c>
      <c r="I1868" t="s">
        <v>518</v>
      </c>
      <c r="J1868" t="s">
        <v>426</v>
      </c>
      <c r="N1868">
        <v>0</v>
      </c>
    </row>
    <row r="1869" spans="1:14" ht="15" customHeight="1" x14ac:dyDescent="0.25">
      <c r="A1869" s="82">
        <v>44144</v>
      </c>
      <c r="B1869" t="s">
        <v>455</v>
      </c>
      <c r="C1869" t="s">
        <v>427</v>
      </c>
      <c r="D1869" t="s">
        <v>425</v>
      </c>
      <c r="E1869" t="s">
        <v>429</v>
      </c>
      <c r="F1869" t="s">
        <v>428</v>
      </c>
      <c r="G1869" t="s">
        <v>424</v>
      </c>
      <c r="H1869" t="s">
        <v>430</v>
      </c>
      <c r="I1869" t="s">
        <v>518</v>
      </c>
      <c r="J1869" t="s">
        <v>426</v>
      </c>
      <c r="N1869">
        <v>0</v>
      </c>
    </row>
    <row r="1870" spans="1:14" ht="15" customHeight="1" x14ac:dyDescent="0.25">
      <c r="A1870" s="82">
        <v>44145</v>
      </c>
      <c r="B1870" t="s">
        <v>421</v>
      </c>
      <c r="C1870" t="s">
        <v>455</v>
      </c>
      <c r="D1870" t="s">
        <v>425</v>
      </c>
      <c r="E1870" t="s">
        <v>429</v>
      </c>
      <c r="F1870" t="s">
        <v>428</v>
      </c>
      <c r="G1870" t="s">
        <v>424</v>
      </c>
      <c r="H1870" t="s">
        <v>430</v>
      </c>
      <c r="I1870" t="s">
        <v>518</v>
      </c>
      <c r="J1870" t="s">
        <v>426</v>
      </c>
      <c r="N1870">
        <v>0</v>
      </c>
    </row>
    <row r="1871" spans="1:14" ht="15" customHeight="1" x14ac:dyDescent="0.25">
      <c r="A1871" s="82">
        <v>44146</v>
      </c>
      <c r="B1871" t="s">
        <v>421</v>
      </c>
      <c r="C1871" t="s">
        <v>427</v>
      </c>
      <c r="D1871" t="s">
        <v>425</v>
      </c>
      <c r="E1871" t="s">
        <v>429</v>
      </c>
      <c r="F1871" t="s">
        <v>428</v>
      </c>
      <c r="G1871" t="s">
        <v>424</v>
      </c>
      <c r="H1871" t="s">
        <v>430</v>
      </c>
      <c r="I1871" t="s">
        <v>518</v>
      </c>
      <c r="J1871" t="s">
        <v>426</v>
      </c>
      <c r="N1871">
        <v>0</v>
      </c>
    </row>
    <row r="1872" spans="1:14" ht="15" customHeight="1" x14ac:dyDescent="0.25">
      <c r="A1872" s="82">
        <v>44147</v>
      </c>
      <c r="B1872" t="s">
        <v>427</v>
      </c>
      <c r="C1872" t="s">
        <v>455</v>
      </c>
      <c r="D1872" t="s">
        <v>425</v>
      </c>
      <c r="E1872" t="s">
        <v>429</v>
      </c>
      <c r="F1872" t="s">
        <v>428</v>
      </c>
      <c r="G1872" t="s">
        <v>424</v>
      </c>
      <c r="H1872" t="s">
        <v>430</v>
      </c>
      <c r="I1872" t="s">
        <v>518</v>
      </c>
      <c r="J1872" t="s">
        <v>426</v>
      </c>
      <c r="N1872">
        <v>0</v>
      </c>
    </row>
    <row r="1873" spans="1:14" ht="15" customHeight="1" x14ac:dyDescent="0.25">
      <c r="A1873" s="82">
        <v>44148</v>
      </c>
      <c r="B1873" t="s">
        <v>455</v>
      </c>
      <c r="C1873" t="s">
        <v>424</v>
      </c>
      <c r="D1873" t="s">
        <v>425</v>
      </c>
      <c r="E1873" t="s">
        <v>426</v>
      </c>
      <c r="F1873" t="s">
        <v>425</v>
      </c>
      <c r="G1873" t="s">
        <v>430</v>
      </c>
      <c r="H1873" t="s">
        <v>421</v>
      </c>
      <c r="I1873" t="s">
        <v>518</v>
      </c>
      <c r="J1873" t="s">
        <v>427</v>
      </c>
      <c r="N1873">
        <v>0</v>
      </c>
    </row>
    <row r="1874" spans="1:14" ht="15" customHeight="1" x14ac:dyDescent="0.25">
      <c r="A1874" s="82">
        <v>44149</v>
      </c>
      <c r="B1874" t="s">
        <v>428</v>
      </c>
      <c r="C1874" t="s">
        <v>424</v>
      </c>
      <c r="D1874" t="s">
        <v>429</v>
      </c>
      <c r="E1874" t="s">
        <v>426</v>
      </c>
      <c r="F1874" t="s">
        <v>425</v>
      </c>
      <c r="G1874" t="s">
        <v>430</v>
      </c>
      <c r="H1874" t="s">
        <v>427</v>
      </c>
      <c r="I1874" t="s">
        <v>421</v>
      </c>
      <c r="J1874" t="s">
        <v>455</v>
      </c>
      <c r="N1874">
        <v>0</v>
      </c>
    </row>
    <row r="1875" spans="1:14" ht="15" customHeight="1" x14ac:dyDescent="0.25">
      <c r="A1875" s="82">
        <v>44150</v>
      </c>
      <c r="B1875" t="s">
        <v>428</v>
      </c>
      <c r="C1875" t="s">
        <v>424</v>
      </c>
      <c r="D1875" t="s">
        <v>429</v>
      </c>
      <c r="E1875" t="s">
        <v>426</v>
      </c>
      <c r="F1875" t="s">
        <v>425</v>
      </c>
      <c r="G1875" t="s">
        <v>430</v>
      </c>
      <c r="H1875" t="s">
        <v>455</v>
      </c>
      <c r="I1875" t="s">
        <v>421</v>
      </c>
      <c r="J1875" t="s">
        <v>427</v>
      </c>
      <c r="N1875">
        <v>0</v>
      </c>
    </row>
    <row r="1876" spans="1:14" ht="15" customHeight="1" x14ac:dyDescent="0.25">
      <c r="A1876" s="82">
        <v>44151</v>
      </c>
      <c r="B1876" t="s">
        <v>428</v>
      </c>
      <c r="C1876" t="s">
        <v>424</v>
      </c>
      <c r="D1876" t="s">
        <v>429</v>
      </c>
      <c r="E1876" t="s">
        <v>426</v>
      </c>
      <c r="F1876" t="s">
        <v>425</v>
      </c>
      <c r="G1876" t="s">
        <v>430</v>
      </c>
      <c r="H1876" t="s">
        <v>421</v>
      </c>
      <c r="I1876" t="s">
        <v>427</v>
      </c>
      <c r="J1876" t="s">
        <v>455</v>
      </c>
      <c r="N1876">
        <v>0</v>
      </c>
    </row>
    <row r="1877" spans="1:14" ht="15" customHeight="1" x14ac:dyDescent="0.25">
      <c r="A1877" s="82">
        <v>44152</v>
      </c>
      <c r="B1877" t="s">
        <v>428</v>
      </c>
      <c r="C1877" t="s">
        <v>424</v>
      </c>
      <c r="D1877" t="s">
        <v>429</v>
      </c>
      <c r="E1877" t="s">
        <v>426</v>
      </c>
      <c r="F1877" t="s">
        <v>425</v>
      </c>
      <c r="G1877" t="s">
        <v>430</v>
      </c>
      <c r="H1877" t="s">
        <v>427</v>
      </c>
      <c r="I1877" t="s">
        <v>455</v>
      </c>
      <c r="J1877" t="s">
        <v>421</v>
      </c>
      <c r="N1877">
        <v>0</v>
      </c>
    </row>
    <row r="1878" spans="1:14" ht="15" customHeight="1" x14ac:dyDescent="0.25">
      <c r="A1878" s="82">
        <v>44153</v>
      </c>
      <c r="B1878" t="s">
        <v>428</v>
      </c>
      <c r="C1878" t="s">
        <v>424</v>
      </c>
      <c r="D1878" t="s">
        <v>429</v>
      </c>
      <c r="E1878" t="s">
        <v>426</v>
      </c>
      <c r="F1878" t="s">
        <v>425</v>
      </c>
      <c r="G1878" t="s">
        <v>430</v>
      </c>
      <c r="H1878" t="s">
        <v>455</v>
      </c>
      <c r="I1878" t="s">
        <v>427</v>
      </c>
      <c r="J1878" t="s">
        <v>421</v>
      </c>
      <c r="N1878">
        <v>0</v>
      </c>
    </row>
    <row r="1879" spans="1:14" ht="15" customHeight="1" x14ac:dyDescent="0.25">
      <c r="A1879" s="82">
        <v>44154</v>
      </c>
      <c r="B1879" t="s">
        <v>428</v>
      </c>
      <c r="C1879" t="s">
        <v>424</v>
      </c>
      <c r="D1879" t="s">
        <v>429</v>
      </c>
      <c r="E1879" t="s">
        <v>426</v>
      </c>
      <c r="F1879" t="s">
        <v>425</v>
      </c>
      <c r="G1879" t="s">
        <v>430</v>
      </c>
      <c r="H1879" t="s">
        <v>421</v>
      </c>
      <c r="I1879" t="s">
        <v>455</v>
      </c>
      <c r="J1879" t="s">
        <v>427</v>
      </c>
      <c r="N1879">
        <v>0</v>
      </c>
    </row>
    <row r="1880" spans="1:14" ht="15" customHeight="1" x14ac:dyDescent="0.25">
      <c r="A1880" s="82">
        <v>44155</v>
      </c>
      <c r="B1880" t="s">
        <v>425</v>
      </c>
      <c r="C1880" t="s">
        <v>430</v>
      </c>
      <c r="D1880" t="s">
        <v>426</v>
      </c>
      <c r="E1880" t="s">
        <v>427</v>
      </c>
      <c r="F1880" t="s">
        <v>425</v>
      </c>
      <c r="G1880" t="s">
        <v>421</v>
      </c>
      <c r="H1880" t="s">
        <v>429</v>
      </c>
      <c r="I1880" t="s">
        <v>424</v>
      </c>
      <c r="J1880" t="s">
        <v>455</v>
      </c>
      <c r="N1880">
        <v>0</v>
      </c>
    </row>
    <row r="1881" spans="1:14" ht="15" customHeight="1" x14ac:dyDescent="0.25">
      <c r="A1881" s="82">
        <v>44156</v>
      </c>
      <c r="B1881" t="s">
        <v>425</v>
      </c>
      <c r="C1881" t="s">
        <v>430</v>
      </c>
      <c r="D1881" t="s">
        <v>426</v>
      </c>
      <c r="E1881" t="s">
        <v>455</v>
      </c>
      <c r="F1881" t="s">
        <v>421</v>
      </c>
      <c r="G1881" t="s">
        <v>427</v>
      </c>
      <c r="H1881" t="s">
        <v>429</v>
      </c>
      <c r="I1881" t="s">
        <v>424</v>
      </c>
      <c r="J1881" t="s">
        <v>428</v>
      </c>
      <c r="N1881">
        <v>0</v>
      </c>
    </row>
    <row r="1882" spans="1:14" ht="15" customHeight="1" x14ac:dyDescent="0.25">
      <c r="A1882" s="82">
        <v>44157</v>
      </c>
      <c r="B1882" t="s">
        <v>425</v>
      </c>
      <c r="C1882" t="s">
        <v>430</v>
      </c>
      <c r="D1882" t="s">
        <v>426</v>
      </c>
      <c r="E1882" t="s">
        <v>427</v>
      </c>
      <c r="F1882" t="s">
        <v>421</v>
      </c>
      <c r="G1882" t="s">
        <v>455</v>
      </c>
      <c r="H1882" t="s">
        <v>429</v>
      </c>
      <c r="I1882" t="s">
        <v>424</v>
      </c>
      <c r="J1882" t="s">
        <v>428</v>
      </c>
      <c r="N1882">
        <v>0</v>
      </c>
    </row>
    <row r="1883" spans="1:14" ht="15" customHeight="1" x14ac:dyDescent="0.25">
      <c r="A1883" s="82">
        <v>44158</v>
      </c>
      <c r="B1883" t="s">
        <v>425</v>
      </c>
      <c r="C1883" t="s">
        <v>430</v>
      </c>
      <c r="D1883" t="s">
        <v>426</v>
      </c>
      <c r="E1883" t="s">
        <v>455</v>
      </c>
      <c r="F1883" t="s">
        <v>427</v>
      </c>
      <c r="G1883" t="s">
        <v>421</v>
      </c>
      <c r="H1883" t="s">
        <v>429</v>
      </c>
      <c r="I1883" t="s">
        <v>424</v>
      </c>
      <c r="J1883" t="s">
        <v>428</v>
      </c>
      <c r="N1883">
        <v>0</v>
      </c>
    </row>
    <row r="1884" spans="1:14" ht="15" customHeight="1" x14ac:dyDescent="0.25">
      <c r="A1884" s="82">
        <v>44159</v>
      </c>
      <c r="B1884" t="s">
        <v>425</v>
      </c>
      <c r="C1884" t="s">
        <v>430</v>
      </c>
      <c r="D1884" t="s">
        <v>426</v>
      </c>
      <c r="E1884" t="s">
        <v>421</v>
      </c>
      <c r="F1884" t="s">
        <v>455</v>
      </c>
      <c r="G1884" t="s">
        <v>427</v>
      </c>
      <c r="H1884" t="s">
        <v>429</v>
      </c>
      <c r="I1884" t="s">
        <v>424</v>
      </c>
      <c r="J1884" t="s">
        <v>428</v>
      </c>
      <c r="N1884">
        <v>0</v>
      </c>
    </row>
    <row r="1885" spans="1:14" ht="15" customHeight="1" x14ac:dyDescent="0.25">
      <c r="A1885" s="82">
        <v>44160</v>
      </c>
      <c r="B1885" t="s">
        <v>425</v>
      </c>
      <c r="C1885" t="s">
        <v>430</v>
      </c>
      <c r="D1885" t="s">
        <v>426</v>
      </c>
      <c r="E1885" t="s">
        <v>421</v>
      </c>
      <c r="F1885" t="s">
        <v>427</v>
      </c>
      <c r="G1885" t="s">
        <v>455</v>
      </c>
      <c r="H1885" t="s">
        <v>429</v>
      </c>
      <c r="I1885" t="s">
        <v>424</v>
      </c>
      <c r="J1885" t="s">
        <v>428</v>
      </c>
      <c r="N1885">
        <v>0</v>
      </c>
    </row>
    <row r="1886" spans="1:14" ht="15" customHeight="1" x14ac:dyDescent="0.25">
      <c r="A1886" s="82">
        <v>44161</v>
      </c>
      <c r="B1886" t="s">
        <v>425</v>
      </c>
      <c r="C1886" t="s">
        <v>430</v>
      </c>
      <c r="D1886" t="s">
        <v>426</v>
      </c>
      <c r="E1886" t="s">
        <v>427</v>
      </c>
      <c r="F1886" t="s">
        <v>455</v>
      </c>
      <c r="G1886" t="s">
        <v>421</v>
      </c>
      <c r="H1886" t="s">
        <v>429</v>
      </c>
      <c r="I1886" t="s">
        <v>424</v>
      </c>
      <c r="J1886" t="s">
        <v>428</v>
      </c>
      <c r="N1886">
        <v>0</v>
      </c>
    </row>
    <row r="1887" spans="1:14" ht="15" customHeight="1" x14ac:dyDescent="0.25">
      <c r="A1887" s="82">
        <v>44162</v>
      </c>
      <c r="B1887" t="s">
        <v>425</v>
      </c>
      <c r="C1887" t="s">
        <v>421</v>
      </c>
      <c r="D1887" t="s">
        <v>427</v>
      </c>
      <c r="E1887" t="s">
        <v>455</v>
      </c>
      <c r="F1887" t="s">
        <v>424</v>
      </c>
      <c r="G1887" t="s">
        <v>429</v>
      </c>
      <c r="H1887" t="s">
        <v>426</v>
      </c>
      <c r="I1887" t="s">
        <v>430</v>
      </c>
      <c r="J1887" t="s">
        <v>425</v>
      </c>
      <c r="N1887">
        <v>0</v>
      </c>
    </row>
    <row r="1888" spans="1:14" ht="15" customHeight="1" x14ac:dyDescent="0.25">
      <c r="A1888" s="82">
        <v>44163</v>
      </c>
      <c r="B1888" t="s">
        <v>421</v>
      </c>
      <c r="C1888" t="s">
        <v>427</v>
      </c>
      <c r="D1888" t="s">
        <v>455</v>
      </c>
      <c r="E1888" t="s">
        <v>428</v>
      </c>
      <c r="F1888" t="s">
        <v>424</v>
      </c>
      <c r="G1888" t="s">
        <v>429</v>
      </c>
      <c r="H1888" t="s">
        <v>426</v>
      </c>
      <c r="I1888" t="s">
        <v>430</v>
      </c>
      <c r="J1888" t="s">
        <v>425</v>
      </c>
      <c r="N1888">
        <v>0</v>
      </c>
    </row>
    <row r="1889" spans="1:14" ht="15" customHeight="1" x14ac:dyDescent="0.25">
      <c r="A1889" s="82">
        <v>44164</v>
      </c>
      <c r="B1889" t="s">
        <v>421</v>
      </c>
      <c r="C1889" t="s">
        <v>455</v>
      </c>
      <c r="D1889" t="s">
        <v>427</v>
      </c>
      <c r="E1889" t="s">
        <v>428</v>
      </c>
      <c r="F1889" t="s">
        <v>424</v>
      </c>
      <c r="G1889" t="s">
        <v>429</v>
      </c>
      <c r="H1889" t="s">
        <v>426</v>
      </c>
      <c r="I1889" t="s">
        <v>430</v>
      </c>
      <c r="J1889" t="s">
        <v>425</v>
      </c>
      <c r="N1889">
        <v>0</v>
      </c>
    </row>
    <row r="1890" spans="1:14" ht="15" customHeight="1" x14ac:dyDescent="0.25">
      <c r="A1890" s="82">
        <v>44165</v>
      </c>
      <c r="B1890" t="s">
        <v>427</v>
      </c>
      <c r="C1890" t="s">
        <v>421</v>
      </c>
      <c r="D1890" t="s">
        <v>455</v>
      </c>
      <c r="E1890" t="s">
        <v>428</v>
      </c>
      <c r="F1890" t="s">
        <v>424</v>
      </c>
      <c r="G1890" t="s">
        <v>429</v>
      </c>
      <c r="H1890" t="s">
        <v>426</v>
      </c>
      <c r="I1890" t="s">
        <v>430</v>
      </c>
      <c r="J1890" t="s">
        <v>425</v>
      </c>
      <c r="N1890">
        <v>0</v>
      </c>
    </row>
    <row r="1891" spans="1:14" ht="15" customHeight="1" x14ac:dyDescent="0.25">
      <c r="A1891" s="82">
        <v>44166</v>
      </c>
      <c r="B1891" t="s">
        <v>455</v>
      </c>
      <c r="C1891" t="s">
        <v>427</v>
      </c>
      <c r="D1891" t="s">
        <v>421</v>
      </c>
      <c r="E1891" t="s">
        <v>428</v>
      </c>
      <c r="F1891" t="s">
        <v>424</v>
      </c>
      <c r="G1891" t="s">
        <v>429</v>
      </c>
      <c r="H1891" t="s">
        <v>426</v>
      </c>
      <c r="I1891" t="s">
        <v>430</v>
      </c>
      <c r="J1891" t="s">
        <v>425</v>
      </c>
      <c r="N1891">
        <v>0</v>
      </c>
    </row>
    <row r="1892" spans="1:14" ht="15" customHeight="1" x14ac:dyDescent="0.25">
      <c r="A1892" s="82">
        <v>44167</v>
      </c>
      <c r="B1892" t="s">
        <v>427</v>
      </c>
      <c r="C1892" t="s">
        <v>455</v>
      </c>
      <c r="D1892" t="s">
        <v>421</v>
      </c>
      <c r="E1892" t="s">
        <v>428</v>
      </c>
      <c r="F1892" t="s">
        <v>424</v>
      </c>
      <c r="G1892" t="s">
        <v>429</v>
      </c>
      <c r="H1892" t="s">
        <v>426</v>
      </c>
      <c r="I1892" t="s">
        <v>430</v>
      </c>
      <c r="J1892" t="s">
        <v>425</v>
      </c>
      <c r="N1892">
        <v>0</v>
      </c>
    </row>
    <row r="1893" spans="1:14" ht="15" customHeight="1" x14ac:dyDescent="0.25">
      <c r="A1893" s="82">
        <v>44168</v>
      </c>
      <c r="B1893" t="s">
        <v>455</v>
      </c>
      <c r="C1893" t="s">
        <v>421</v>
      </c>
      <c r="D1893" t="s">
        <v>427</v>
      </c>
      <c r="E1893" t="s">
        <v>428</v>
      </c>
      <c r="F1893" t="s">
        <v>424</v>
      </c>
      <c r="G1893" t="s">
        <v>429</v>
      </c>
      <c r="H1893" t="s">
        <v>426</v>
      </c>
      <c r="I1893" t="s">
        <v>430</v>
      </c>
      <c r="J1893" t="s">
        <v>425</v>
      </c>
      <c r="N1893">
        <v>0</v>
      </c>
    </row>
    <row r="1894" spans="1:14" ht="15" customHeight="1" x14ac:dyDescent="0.25">
      <c r="A1894" s="82">
        <v>44169</v>
      </c>
      <c r="B1894" t="s">
        <v>424</v>
      </c>
      <c r="C1894" t="s">
        <v>429</v>
      </c>
      <c r="D1894" t="s">
        <v>455</v>
      </c>
      <c r="E1894" t="s">
        <v>425</v>
      </c>
      <c r="F1894" t="s">
        <v>430</v>
      </c>
      <c r="G1894" t="s">
        <v>426</v>
      </c>
      <c r="H1894" t="s">
        <v>427</v>
      </c>
      <c r="I1894" t="s">
        <v>421</v>
      </c>
      <c r="J1894" t="s">
        <v>425</v>
      </c>
      <c r="N1894">
        <v>0</v>
      </c>
    </row>
    <row r="1895" spans="1:14" ht="15" customHeight="1" x14ac:dyDescent="0.25">
      <c r="A1895" s="82">
        <v>44170</v>
      </c>
      <c r="B1895" t="s">
        <v>424</v>
      </c>
      <c r="C1895" t="s">
        <v>429</v>
      </c>
      <c r="D1895" t="s">
        <v>428</v>
      </c>
      <c r="E1895" t="s">
        <v>425</v>
      </c>
      <c r="F1895" t="s">
        <v>430</v>
      </c>
      <c r="G1895" t="s">
        <v>426</v>
      </c>
      <c r="H1895" t="s">
        <v>455</v>
      </c>
      <c r="I1895" t="s">
        <v>427</v>
      </c>
      <c r="J1895" t="s">
        <v>421</v>
      </c>
      <c r="N1895">
        <v>0</v>
      </c>
    </row>
    <row r="1896" spans="1:14" ht="15" customHeight="1" x14ac:dyDescent="0.25">
      <c r="A1896" s="82">
        <v>44171</v>
      </c>
      <c r="B1896" t="s">
        <v>424</v>
      </c>
      <c r="C1896" t="s">
        <v>429</v>
      </c>
      <c r="D1896" t="s">
        <v>428</v>
      </c>
      <c r="E1896" t="s">
        <v>425</v>
      </c>
      <c r="F1896" t="s">
        <v>430</v>
      </c>
      <c r="G1896" t="s">
        <v>426</v>
      </c>
      <c r="H1896" t="s">
        <v>427</v>
      </c>
      <c r="I1896" t="s">
        <v>455</v>
      </c>
      <c r="J1896" t="s">
        <v>421</v>
      </c>
      <c r="N1896">
        <v>0</v>
      </c>
    </row>
    <row r="1897" spans="1:14" ht="15" customHeight="1" x14ac:dyDescent="0.25">
      <c r="A1897" s="82">
        <v>44172</v>
      </c>
      <c r="B1897" t="s">
        <v>424</v>
      </c>
      <c r="C1897" t="s">
        <v>429</v>
      </c>
      <c r="D1897" t="s">
        <v>428</v>
      </c>
      <c r="E1897" t="s">
        <v>425</v>
      </c>
      <c r="F1897" t="s">
        <v>430</v>
      </c>
      <c r="G1897" t="s">
        <v>426</v>
      </c>
      <c r="H1897" t="s">
        <v>455</v>
      </c>
      <c r="I1897" t="s">
        <v>421</v>
      </c>
      <c r="J1897" t="s">
        <v>427</v>
      </c>
      <c r="N1897">
        <v>0</v>
      </c>
    </row>
    <row r="1898" spans="1:14" ht="15" customHeight="1" x14ac:dyDescent="0.25">
      <c r="A1898" s="82">
        <v>44173</v>
      </c>
      <c r="B1898" t="s">
        <v>424</v>
      </c>
      <c r="C1898" t="s">
        <v>429</v>
      </c>
      <c r="D1898" t="s">
        <v>428</v>
      </c>
      <c r="E1898" t="s">
        <v>425</v>
      </c>
      <c r="F1898" t="s">
        <v>430</v>
      </c>
      <c r="G1898" t="s">
        <v>426</v>
      </c>
      <c r="H1898" t="s">
        <v>421</v>
      </c>
      <c r="I1898" t="s">
        <v>427</v>
      </c>
      <c r="J1898" t="s">
        <v>455</v>
      </c>
      <c r="N1898">
        <v>0</v>
      </c>
    </row>
    <row r="1899" spans="1:14" ht="15" customHeight="1" x14ac:dyDescent="0.25">
      <c r="A1899" s="82">
        <v>44174</v>
      </c>
      <c r="B1899" t="s">
        <v>424</v>
      </c>
      <c r="C1899" t="s">
        <v>429</v>
      </c>
      <c r="D1899" t="s">
        <v>428</v>
      </c>
      <c r="E1899" t="s">
        <v>425</v>
      </c>
      <c r="F1899" t="s">
        <v>430</v>
      </c>
      <c r="G1899" t="s">
        <v>426</v>
      </c>
      <c r="H1899" t="s">
        <v>421</v>
      </c>
      <c r="I1899" t="s">
        <v>455</v>
      </c>
      <c r="J1899" t="s">
        <v>427</v>
      </c>
      <c r="N1899">
        <v>0</v>
      </c>
    </row>
    <row r="1900" spans="1:14" ht="15" customHeight="1" x14ac:dyDescent="0.25">
      <c r="A1900" s="82">
        <v>44175</v>
      </c>
      <c r="B1900" t="s">
        <v>424</v>
      </c>
      <c r="C1900" t="s">
        <v>429</v>
      </c>
      <c r="D1900" t="s">
        <v>428</v>
      </c>
      <c r="E1900" t="s">
        <v>425</v>
      </c>
      <c r="F1900" t="s">
        <v>430</v>
      </c>
      <c r="G1900" t="s">
        <v>426</v>
      </c>
      <c r="H1900" t="s">
        <v>427</v>
      </c>
      <c r="I1900" t="s">
        <v>421</v>
      </c>
      <c r="J1900" t="s">
        <v>455</v>
      </c>
      <c r="N1900">
        <v>0</v>
      </c>
    </row>
    <row r="1901" spans="1:14" ht="15" customHeight="1" x14ac:dyDescent="0.25">
      <c r="A1901" s="82">
        <v>44176</v>
      </c>
      <c r="B1901" t="s">
        <v>430</v>
      </c>
      <c r="C1901" t="s">
        <v>426</v>
      </c>
      <c r="D1901" t="s">
        <v>425</v>
      </c>
      <c r="E1901" t="s">
        <v>425</v>
      </c>
      <c r="F1901" t="s">
        <v>421</v>
      </c>
      <c r="G1901" t="s">
        <v>427</v>
      </c>
      <c r="H1901" t="s">
        <v>455</v>
      </c>
      <c r="I1901" t="s">
        <v>429</v>
      </c>
      <c r="J1901" t="s">
        <v>424</v>
      </c>
      <c r="N1901">
        <v>0</v>
      </c>
    </row>
    <row r="1902" spans="1:14" ht="15" customHeight="1" x14ac:dyDescent="0.25">
      <c r="A1902" s="82">
        <v>44177</v>
      </c>
      <c r="B1902" t="s">
        <v>430</v>
      </c>
      <c r="C1902" t="s">
        <v>426</v>
      </c>
      <c r="D1902" t="s">
        <v>425</v>
      </c>
      <c r="E1902" t="s">
        <v>421</v>
      </c>
      <c r="F1902" t="s">
        <v>427</v>
      </c>
      <c r="G1902" t="s">
        <v>455</v>
      </c>
      <c r="H1902" t="s">
        <v>428</v>
      </c>
      <c r="I1902" t="s">
        <v>429</v>
      </c>
      <c r="J1902" t="s">
        <v>424</v>
      </c>
      <c r="N1902">
        <v>0</v>
      </c>
    </row>
    <row r="1903" spans="1:14" ht="15" customHeight="1" x14ac:dyDescent="0.25">
      <c r="A1903" s="82">
        <v>44178</v>
      </c>
      <c r="B1903" t="s">
        <v>430</v>
      </c>
      <c r="C1903" t="s">
        <v>426</v>
      </c>
      <c r="D1903" t="s">
        <v>425</v>
      </c>
      <c r="E1903" t="s">
        <v>421</v>
      </c>
      <c r="F1903" t="s">
        <v>455</v>
      </c>
      <c r="G1903" t="s">
        <v>427</v>
      </c>
      <c r="H1903" t="s">
        <v>428</v>
      </c>
      <c r="I1903" t="s">
        <v>429</v>
      </c>
      <c r="J1903" t="s">
        <v>424</v>
      </c>
      <c r="N1903">
        <v>0</v>
      </c>
    </row>
    <row r="1904" spans="1:14" ht="15" customHeight="1" x14ac:dyDescent="0.25">
      <c r="A1904" s="82">
        <v>44179</v>
      </c>
      <c r="B1904" t="s">
        <v>430</v>
      </c>
      <c r="C1904" t="s">
        <v>426</v>
      </c>
      <c r="D1904" t="s">
        <v>425</v>
      </c>
      <c r="E1904" t="s">
        <v>427</v>
      </c>
      <c r="F1904" t="s">
        <v>421</v>
      </c>
      <c r="G1904" t="s">
        <v>455</v>
      </c>
      <c r="H1904" t="s">
        <v>428</v>
      </c>
      <c r="I1904" t="s">
        <v>429</v>
      </c>
      <c r="J1904" t="s">
        <v>424</v>
      </c>
      <c r="N1904">
        <v>0</v>
      </c>
    </row>
    <row r="1905" spans="1:14" ht="15" customHeight="1" x14ac:dyDescent="0.25">
      <c r="A1905" s="82">
        <v>44180</v>
      </c>
      <c r="B1905" t="s">
        <v>430</v>
      </c>
      <c r="C1905" t="s">
        <v>426</v>
      </c>
      <c r="D1905" t="s">
        <v>425</v>
      </c>
      <c r="E1905" t="s">
        <v>455</v>
      </c>
      <c r="F1905" t="s">
        <v>427</v>
      </c>
      <c r="G1905" t="s">
        <v>421</v>
      </c>
      <c r="H1905" t="s">
        <v>428</v>
      </c>
      <c r="I1905" t="s">
        <v>429</v>
      </c>
      <c r="J1905" t="s">
        <v>424</v>
      </c>
      <c r="N1905">
        <v>0</v>
      </c>
    </row>
    <row r="1906" spans="1:14" ht="15" customHeight="1" x14ac:dyDescent="0.25">
      <c r="A1906" s="82">
        <v>44181</v>
      </c>
      <c r="B1906" t="s">
        <v>430</v>
      </c>
      <c r="C1906" t="s">
        <v>426</v>
      </c>
      <c r="D1906" t="s">
        <v>425</v>
      </c>
      <c r="E1906" t="s">
        <v>427</v>
      </c>
      <c r="F1906" t="s">
        <v>455</v>
      </c>
      <c r="G1906" t="s">
        <v>421</v>
      </c>
      <c r="H1906" t="s">
        <v>428</v>
      </c>
      <c r="I1906" t="s">
        <v>429</v>
      </c>
      <c r="J1906" t="s">
        <v>424</v>
      </c>
      <c r="N1906">
        <v>0</v>
      </c>
    </row>
    <row r="1907" spans="1:14" ht="15" customHeight="1" x14ac:dyDescent="0.25">
      <c r="A1907" s="82">
        <v>44182</v>
      </c>
      <c r="B1907" t="s">
        <v>430</v>
      </c>
      <c r="C1907" t="s">
        <v>426</v>
      </c>
      <c r="D1907" t="s">
        <v>425</v>
      </c>
      <c r="E1907" t="s">
        <v>455</v>
      </c>
      <c r="F1907" t="s">
        <v>421</v>
      </c>
      <c r="G1907" t="s">
        <v>427</v>
      </c>
      <c r="H1907" t="s">
        <v>428</v>
      </c>
      <c r="I1907" t="s">
        <v>429</v>
      </c>
      <c r="J1907" t="s">
        <v>424</v>
      </c>
      <c r="N1907">
        <v>0</v>
      </c>
    </row>
    <row r="1908" spans="1:14" ht="15" customHeight="1" x14ac:dyDescent="0.25">
      <c r="A1908" s="82">
        <v>44183</v>
      </c>
      <c r="B1908" t="s">
        <v>421</v>
      </c>
      <c r="C1908" t="s">
        <v>427</v>
      </c>
      <c r="D1908" t="s">
        <v>425</v>
      </c>
      <c r="E1908" t="s">
        <v>424</v>
      </c>
      <c r="F1908" t="s">
        <v>429</v>
      </c>
      <c r="G1908" t="s">
        <v>455</v>
      </c>
      <c r="H1908" t="s">
        <v>425</v>
      </c>
      <c r="I1908" t="s">
        <v>426</v>
      </c>
      <c r="J1908" t="s">
        <v>430</v>
      </c>
      <c r="N1908">
        <v>0</v>
      </c>
    </row>
    <row r="1909" spans="1:14" ht="15" customHeight="1" x14ac:dyDescent="0.25">
      <c r="A1909" s="82">
        <v>44184</v>
      </c>
      <c r="B1909" t="s">
        <v>427</v>
      </c>
      <c r="C1909" t="s">
        <v>455</v>
      </c>
      <c r="D1909" t="s">
        <v>421</v>
      </c>
      <c r="E1909" t="s">
        <v>424</v>
      </c>
      <c r="F1909" t="s">
        <v>429</v>
      </c>
      <c r="G1909" t="s">
        <v>428</v>
      </c>
      <c r="H1909" t="s">
        <v>425</v>
      </c>
      <c r="I1909" t="s">
        <v>426</v>
      </c>
      <c r="J1909" t="s">
        <v>430</v>
      </c>
      <c r="N1909">
        <v>0</v>
      </c>
    </row>
    <row r="1910" spans="1:14" ht="15" customHeight="1" x14ac:dyDescent="0.25">
      <c r="A1910" s="82">
        <v>44185</v>
      </c>
      <c r="B1910" t="s">
        <v>455</v>
      </c>
      <c r="C1910" t="s">
        <v>427</v>
      </c>
      <c r="D1910" t="s">
        <v>421</v>
      </c>
      <c r="E1910" t="s">
        <v>424</v>
      </c>
      <c r="F1910" t="s">
        <v>429</v>
      </c>
      <c r="G1910" t="s">
        <v>428</v>
      </c>
      <c r="H1910" t="s">
        <v>425</v>
      </c>
      <c r="I1910" t="s">
        <v>426</v>
      </c>
      <c r="J1910" t="s">
        <v>430</v>
      </c>
      <c r="N1910">
        <v>0</v>
      </c>
    </row>
    <row r="1911" spans="1:14" ht="15" customHeight="1" x14ac:dyDescent="0.25">
      <c r="A1911" s="82">
        <v>44186</v>
      </c>
      <c r="B1911" t="s">
        <v>421</v>
      </c>
      <c r="C1911" t="s">
        <v>455</v>
      </c>
      <c r="D1911" t="s">
        <v>427</v>
      </c>
      <c r="E1911" t="s">
        <v>424</v>
      </c>
      <c r="F1911" t="s">
        <v>429</v>
      </c>
      <c r="G1911" t="s">
        <v>428</v>
      </c>
      <c r="H1911" t="s">
        <v>425</v>
      </c>
      <c r="I1911" t="s">
        <v>426</v>
      </c>
      <c r="J1911" t="s">
        <v>430</v>
      </c>
      <c r="N1911">
        <v>0</v>
      </c>
    </row>
    <row r="1912" spans="1:14" ht="15" customHeight="1" x14ac:dyDescent="0.25">
      <c r="A1912" s="82">
        <v>44187</v>
      </c>
      <c r="B1912" t="s">
        <v>427</v>
      </c>
      <c r="C1912" t="s">
        <v>421</v>
      </c>
      <c r="D1912" t="s">
        <v>455</v>
      </c>
      <c r="E1912" t="s">
        <v>424</v>
      </c>
      <c r="F1912" t="s">
        <v>429</v>
      </c>
      <c r="G1912" t="s">
        <v>428</v>
      </c>
      <c r="H1912" t="s">
        <v>425</v>
      </c>
      <c r="I1912" t="s">
        <v>426</v>
      </c>
      <c r="J1912" t="s">
        <v>430</v>
      </c>
      <c r="N1912">
        <v>0</v>
      </c>
    </row>
    <row r="1913" spans="1:14" ht="15" customHeight="1" x14ac:dyDescent="0.25">
      <c r="A1913" s="82">
        <v>44188</v>
      </c>
      <c r="B1913" t="s">
        <v>455</v>
      </c>
      <c r="C1913" t="s">
        <v>427</v>
      </c>
      <c r="D1913" t="s">
        <v>421</v>
      </c>
      <c r="E1913" t="s">
        <v>424</v>
      </c>
      <c r="F1913" t="s">
        <v>429</v>
      </c>
      <c r="G1913" t="s">
        <v>428</v>
      </c>
      <c r="H1913" t="s">
        <v>425</v>
      </c>
      <c r="I1913" t="s">
        <v>426</v>
      </c>
      <c r="J1913" t="s">
        <v>430</v>
      </c>
      <c r="N1913">
        <v>0</v>
      </c>
    </row>
    <row r="1914" spans="1:14" ht="15" customHeight="1" x14ac:dyDescent="0.25">
      <c r="A1914" s="82">
        <v>44189</v>
      </c>
      <c r="B1914" t="s">
        <v>427</v>
      </c>
      <c r="C1914" t="s">
        <v>455</v>
      </c>
      <c r="D1914" t="s">
        <v>421</v>
      </c>
      <c r="E1914" t="s">
        <v>424</v>
      </c>
      <c r="F1914" t="s">
        <v>429</v>
      </c>
      <c r="G1914" t="s">
        <v>428</v>
      </c>
      <c r="H1914" t="s">
        <v>425</v>
      </c>
      <c r="I1914" t="s">
        <v>426</v>
      </c>
      <c r="J1914" t="s">
        <v>430</v>
      </c>
      <c r="N1914">
        <v>0</v>
      </c>
    </row>
    <row r="1915" spans="1:14" ht="15" customHeight="1" x14ac:dyDescent="0.25">
      <c r="A1915" s="82">
        <v>44190</v>
      </c>
      <c r="B1915" t="s">
        <v>455</v>
      </c>
      <c r="C1915" t="s">
        <v>421</v>
      </c>
      <c r="D1915" t="s">
        <v>427</v>
      </c>
      <c r="E1915" t="s">
        <v>424</v>
      </c>
      <c r="F1915" t="s">
        <v>429</v>
      </c>
      <c r="G1915" t="s">
        <v>428</v>
      </c>
      <c r="H1915" t="s">
        <v>425</v>
      </c>
      <c r="I1915" t="s">
        <v>426</v>
      </c>
      <c r="J1915" t="s">
        <v>430</v>
      </c>
      <c r="N1915">
        <v>0</v>
      </c>
    </row>
    <row r="1916" spans="1:14" ht="15" customHeight="1" x14ac:dyDescent="0.25">
      <c r="A1916" s="82">
        <v>44191</v>
      </c>
      <c r="B1916" t="s">
        <v>429</v>
      </c>
      <c r="C1916" t="s">
        <v>428</v>
      </c>
      <c r="D1916" t="s">
        <v>455</v>
      </c>
      <c r="E1916" t="s">
        <v>421</v>
      </c>
      <c r="F1916" t="s">
        <v>425</v>
      </c>
      <c r="G1916" t="s">
        <v>519</v>
      </c>
      <c r="H1916" t="s">
        <v>425</v>
      </c>
      <c r="I1916" t="s">
        <v>424</v>
      </c>
      <c r="J1916" t="s">
        <v>427</v>
      </c>
      <c r="N1916">
        <v>0</v>
      </c>
    </row>
    <row r="1917" spans="1:14" ht="15" customHeight="1" x14ac:dyDescent="0.25">
      <c r="A1917" s="82">
        <v>44192</v>
      </c>
      <c r="B1917" t="s">
        <v>429</v>
      </c>
      <c r="C1917" t="s">
        <v>428</v>
      </c>
      <c r="D1917" t="s">
        <v>430</v>
      </c>
      <c r="E1917" t="s">
        <v>421</v>
      </c>
      <c r="F1917" t="s">
        <v>425</v>
      </c>
      <c r="G1917" t="s">
        <v>519</v>
      </c>
      <c r="H1917" t="s">
        <v>424</v>
      </c>
      <c r="I1917" t="s">
        <v>427</v>
      </c>
      <c r="J1917" t="s">
        <v>455</v>
      </c>
      <c r="N1917">
        <v>0</v>
      </c>
    </row>
    <row r="1918" spans="1:14" ht="15" customHeight="1" x14ac:dyDescent="0.25">
      <c r="A1918" s="82">
        <v>44193</v>
      </c>
      <c r="B1918" t="s">
        <v>429</v>
      </c>
      <c r="C1918" t="s">
        <v>428</v>
      </c>
      <c r="D1918" t="s">
        <v>430</v>
      </c>
      <c r="E1918" t="s">
        <v>427</v>
      </c>
      <c r="F1918" t="s">
        <v>425</v>
      </c>
      <c r="G1918" t="s">
        <v>519</v>
      </c>
      <c r="H1918" t="s">
        <v>424</v>
      </c>
      <c r="I1918" t="s">
        <v>455</v>
      </c>
      <c r="J1918" t="s">
        <v>421</v>
      </c>
      <c r="N1918">
        <v>0</v>
      </c>
    </row>
    <row r="1919" spans="1:14" ht="15" customHeight="1" x14ac:dyDescent="0.25">
      <c r="A1919" s="82">
        <v>44194</v>
      </c>
      <c r="B1919" t="s">
        <v>429</v>
      </c>
      <c r="C1919" t="s">
        <v>428</v>
      </c>
      <c r="D1919" t="s">
        <v>430</v>
      </c>
      <c r="E1919" t="s">
        <v>455</v>
      </c>
      <c r="F1919" t="s">
        <v>425</v>
      </c>
      <c r="G1919" t="s">
        <v>519</v>
      </c>
      <c r="H1919" t="s">
        <v>424</v>
      </c>
      <c r="I1919" t="s">
        <v>421</v>
      </c>
      <c r="J1919" t="s">
        <v>427</v>
      </c>
      <c r="N1919">
        <v>0</v>
      </c>
    </row>
    <row r="1920" spans="1:14" ht="15" customHeight="1" x14ac:dyDescent="0.25">
      <c r="A1920" s="82">
        <v>44195</v>
      </c>
      <c r="B1920" t="s">
        <v>429</v>
      </c>
      <c r="C1920" t="s">
        <v>428</v>
      </c>
      <c r="D1920" t="s">
        <v>430</v>
      </c>
      <c r="E1920" t="s">
        <v>421</v>
      </c>
      <c r="F1920" t="s">
        <v>425</v>
      </c>
      <c r="G1920" t="s">
        <v>519</v>
      </c>
      <c r="H1920" t="s">
        <v>424</v>
      </c>
      <c r="I1920" t="s">
        <v>427</v>
      </c>
      <c r="J1920" t="s">
        <v>455</v>
      </c>
      <c r="N1920">
        <v>0</v>
      </c>
    </row>
    <row r="1921" spans="1:14" ht="15" customHeight="1" x14ac:dyDescent="0.25">
      <c r="A1921" s="82">
        <v>44196</v>
      </c>
      <c r="B1921" t="s">
        <v>429</v>
      </c>
      <c r="C1921" t="s">
        <v>428</v>
      </c>
      <c r="D1921" t="s">
        <v>421</v>
      </c>
      <c r="E1921" t="s">
        <v>430</v>
      </c>
      <c r="F1921" t="s">
        <v>425</v>
      </c>
      <c r="G1921" t="s">
        <v>519</v>
      </c>
      <c r="H1921" t="s">
        <v>424</v>
      </c>
      <c r="I1921" t="s">
        <v>455</v>
      </c>
      <c r="J1921" t="s">
        <v>427</v>
      </c>
      <c r="N1921">
        <v>0</v>
      </c>
    </row>
    <row r="1922" spans="1:14" ht="15" customHeight="1" x14ac:dyDescent="0.25">
      <c r="A1922" s="82">
        <v>44197</v>
      </c>
      <c r="B1922" t="s">
        <v>429</v>
      </c>
      <c r="C1922" t="s">
        <v>428</v>
      </c>
      <c r="D1922" t="s">
        <v>421</v>
      </c>
      <c r="E1922" t="s">
        <v>430</v>
      </c>
      <c r="F1922" t="s">
        <v>425</v>
      </c>
      <c r="G1922" t="s">
        <v>519</v>
      </c>
      <c r="H1922" t="s">
        <v>424</v>
      </c>
      <c r="I1922" t="s">
        <v>427</v>
      </c>
      <c r="J1922" t="s">
        <v>455</v>
      </c>
      <c r="N1922">
        <v>0</v>
      </c>
    </row>
    <row r="1923" spans="1:14" ht="15" customHeight="1" x14ac:dyDescent="0.25">
      <c r="A1923" s="82">
        <v>44198</v>
      </c>
      <c r="B1923" t="s">
        <v>426</v>
      </c>
      <c r="C1923" t="s">
        <v>425</v>
      </c>
      <c r="D1923" t="s">
        <v>421</v>
      </c>
      <c r="E1923" t="s">
        <v>430</v>
      </c>
      <c r="F1923" t="s">
        <v>425</v>
      </c>
      <c r="G1923" t="s">
        <v>427</v>
      </c>
      <c r="H1923" t="s">
        <v>424</v>
      </c>
      <c r="I1923" t="s">
        <v>455</v>
      </c>
      <c r="J1923" t="s">
        <v>429</v>
      </c>
      <c r="N1923">
        <v>0</v>
      </c>
    </row>
    <row r="1924" spans="1:14" ht="15" customHeight="1" x14ac:dyDescent="0.25">
      <c r="A1924" s="82">
        <v>44199</v>
      </c>
      <c r="B1924" t="s">
        <v>421</v>
      </c>
      <c r="C1924" t="s">
        <v>425</v>
      </c>
      <c r="D1924" t="s">
        <v>427</v>
      </c>
      <c r="E1924" t="s">
        <v>430</v>
      </c>
      <c r="F1924" t="s">
        <v>425</v>
      </c>
      <c r="G1924" t="s">
        <v>455</v>
      </c>
      <c r="H1924" t="s">
        <v>424</v>
      </c>
      <c r="I1924" t="s">
        <v>428</v>
      </c>
      <c r="J1924" t="s">
        <v>429</v>
      </c>
      <c r="N1924">
        <v>0</v>
      </c>
    </row>
    <row r="1925" spans="1:14" ht="15" customHeight="1" x14ac:dyDescent="0.25">
      <c r="A1925" s="82">
        <v>44200</v>
      </c>
      <c r="B1925" t="s">
        <v>426</v>
      </c>
      <c r="C1925" t="s">
        <v>425</v>
      </c>
      <c r="D1925" t="s">
        <v>455</v>
      </c>
      <c r="E1925" t="s">
        <v>421</v>
      </c>
      <c r="F1925" t="s">
        <v>430</v>
      </c>
      <c r="G1925" t="s">
        <v>427</v>
      </c>
      <c r="H1925" t="s">
        <v>424</v>
      </c>
      <c r="I1925" t="s">
        <v>428</v>
      </c>
      <c r="J1925" t="s">
        <v>429</v>
      </c>
      <c r="N1925">
        <v>0</v>
      </c>
    </row>
    <row r="1926" spans="1:14" ht="15" customHeight="1" x14ac:dyDescent="0.25">
      <c r="A1926" s="82">
        <v>44201</v>
      </c>
      <c r="B1926" t="s">
        <v>426</v>
      </c>
      <c r="C1926" t="s">
        <v>425</v>
      </c>
      <c r="D1926" t="s">
        <v>430</v>
      </c>
      <c r="E1926" t="s">
        <v>427</v>
      </c>
      <c r="F1926" t="s">
        <v>421</v>
      </c>
      <c r="G1926" t="s">
        <v>455</v>
      </c>
      <c r="H1926" t="s">
        <v>424</v>
      </c>
      <c r="I1926" t="s">
        <v>428</v>
      </c>
      <c r="J1926" t="s">
        <v>429</v>
      </c>
      <c r="N1926">
        <v>0</v>
      </c>
    </row>
    <row r="1927" spans="1:14" ht="15" customHeight="1" x14ac:dyDescent="0.25">
      <c r="A1927" s="82">
        <v>44202</v>
      </c>
      <c r="B1927" t="s">
        <v>426</v>
      </c>
      <c r="C1927" t="s">
        <v>425</v>
      </c>
      <c r="D1927" t="s">
        <v>430</v>
      </c>
      <c r="E1927" t="s">
        <v>455</v>
      </c>
      <c r="F1927" t="s">
        <v>421</v>
      </c>
      <c r="G1927" t="s">
        <v>427</v>
      </c>
      <c r="H1927" t="s">
        <v>424</v>
      </c>
      <c r="I1927" t="s">
        <v>428</v>
      </c>
      <c r="J1927" t="s">
        <v>429</v>
      </c>
      <c r="N1927">
        <v>0</v>
      </c>
    </row>
    <row r="1928" spans="1:14" ht="15" customHeight="1" x14ac:dyDescent="0.25">
      <c r="A1928" s="82">
        <v>44203</v>
      </c>
      <c r="B1928" t="s">
        <v>426</v>
      </c>
      <c r="C1928" t="s">
        <v>425</v>
      </c>
      <c r="D1928" t="s">
        <v>430</v>
      </c>
      <c r="F1928" t="s">
        <v>427</v>
      </c>
      <c r="G1928" t="s">
        <v>455</v>
      </c>
      <c r="H1928" t="s">
        <v>424</v>
      </c>
      <c r="I1928" t="s">
        <v>428</v>
      </c>
      <c r="J1928" t="s">
        <v>429</v>
      </c>
      <c r="N1928">
        <v>0</v>
      </c>
    </row>
    <row r="1929" spans="1:14" ht="15" customHeight="1" x14ac:dyDescent="0.25">
      <c r="A1929" s="82">
        <v>44204</v>
      </c>
      <c r="B1929" t="s">
        <v>427</v>
      </c>
      <c r="C1929" t="s">
        <v>425</v>
      </c>
      <c r="D1929" t="s">
        <v>421</v>
      </c>
      <c r="E1929" t="s">
        <v>429</v>
      </c>
      <c r="F1929" t="s">
        <v>455</v>
      </c>
      <c r="G1929" t="s">
        <v>424</v>
      </c>
      <c r="H1929" t="s">
        <v>424</v>
      </c>
      <c r="I1929" t="s">
        <v>425</v>
      </c>
      <c r="J1929" t="s">
        <v>426</v>
      </c>
      <c r="N1929">
        <v>0</v>
      </c>
    </row>
    <row r="1930" spans="1:14" ht="15" customHeight="1" x14ac:dyDescent="0.25">
      <c r="A1930" s="82">
        <v>44205</v>
      </c>
      <c r="B1930" t="s">
        <v>455</v>
      </c>
      <c r="C1930" t="s">
        <v>421</v>
      </c>
      <c r="D1930" t="s">
        <v>427</v>
      </c>
      <c r="E1930" t="s">
        <v>429</v>
      </c>
      <c r="F1930" t="s">
        <v>428</v>
      </c>
      <c r="G1930" t="s">
        <v>424</v>
      </c>
      <c r="H1930" t="s">
        <v>430</v>
      </c>
      <c r="I1930" t="s">
        <v>425</v>
      </c>
      <c r="J1930" t="s">
        <v>426</v>
      </c>
      <c r="N1930">
        <v>0</v>
      </c>
    </row>
    <row r="1931" spans="1:14" ht="15" customHeight="1" x14ac:dyDescent="0.25">
      <c r="A1931" s="82">
        <v>44206</v>
      </c>
      <c r="B1931" t="s">
        <v>427</v>
      </c>
      <c r="C1931" t="s">
        <v>421</v>
      </c>
      <c r="D1931" t="s">
        <v>455</v>
      </c>
      <c r="E1931" t="s">
        <v>429</v>
      </c>
      <c r="F1931" t="s">
        <v>428</v>
      </c>
      <c r="G1931" t="s">
        <v>424</v>
      </c>
      <c r="H1931" t="s">
        <v>430</v>
      </c>
      <c r="I1931" t="s">
        <v>425</v>
      </c>
      <c r="J1931" t="s">
        <v>426</v>
      </c>
      <c r="N1931">
        <v>0</v>
      </c>
    </row>
    <row r="1932" spans="1:14" ht="15" customHeight="1" x14ac:dyDescent="0.25">
      <c r="A1932" s="82">
        <v>44207</v>
      </c>
      <c r="B1932" t="s">
        <v>455</v>
      </c>
      <c r="C1932" t="s">
        <v>427</v>
      </c>
      <c r="D1932" t="s">
        <v>421</v>
      </c>
      <c r="E1932" t="s">
        <v>429</v>
      </c>
      <c r="F1932" t="s">
        <v>428</v>
      </c>
      <c r="G1932" t="s">
        <v>424</v>
      </c>
      <c r="H1932" t="s">
        <v>430</v>
      </c>
      <c r="I1932" t="s">
        <v>425</v>
      </c>
      <c r="J1932" t="s">
        <v>426</v>
      </c>
      <c r="N1932">
        <v>0</v>
      </c>
    </row>
    <row r="1933" spans="1:14" ht="15" customHeight="1" x14ac:dyDescent="0.25">
      <c r="A1933" s="82">
        <v>44208</v>
      </c>
      <c r="B1933" t="s">
        <v>421</v>
      </c>
      <c r="C1933" t="s">
        <v>455</v>
      </c>
      <c r="D1933" t="s">
        <v>427</v>
      </c>
      <c r="E1933" t="s">
        <v>429</v>
      </c>
      <c r="F1933" t="s">
        <v>428</v>
      </c>
      <c r="G1933" t="s">
        <v>424</v>
      </c>
      <c r="H1933" t="s">
        <v>430</v>
      </c>
      <c r="I1933" t="s">
        <v>425</v>
      </c>
      <c r="J1933" t="s">
        <v>426</v>
      </c>
      <c r="N1933">
        <v>0</v>
      </c>
    </row>
    <row r="1934" spans="1:14" ht="15" customHeight="1" x14ac:dyDescent="0.25">
      <c r="A1934" s="82">
        <v>44209</v>
      </c>
      <c r="B1934" t="s">
        <v>421</v>
      </c>
      <c r="C1934" t="s">
        <v>427</v>
      </c>
      <c r="D1934" t="s">
        <v>455</v>
      </c>
      <c r="E1934" t="s">
        <v>429</v>
      </c>
      <c r="F1934" t="s">
        <v>428</v>
      </c>
      <c r="G1934" t="s">
        <v>424</v>
      </c>
      <c r="H1934" t="s">
        <v>430</v>
      </c>
      <c r="I1934" t="s">
        <v>425</v>
      </c>
      <c r="J1934" t="s">
        <v>426</v>
      </c>
      <c r="N1934">
        <v>0</v>
      </c>
    </row>
    <row r="1935" spans="1:14" ht="15" customHeight="1" x14ac:dyDescent="0.25">
      <c r="A1935" s="82">
        <v>44210</v>
      </c>
      <c r="B1935" t="s">
        <v>427</v>
      </c>
      <c r="C1935" t="s">
        <v>455</v>
      </c>
      <c r="D1935" t="s">
        <v>421</v>
      </c>
      <c r="E1935" t="s">
        <v>429</v>
      </c>
      <c r="F1935" t="s">
        <v>428</v>
      </c>
      <c r="G1935" t="s">
        <v>424</v>
      </c>
      <c r="H1935" t="s">
        <v>430</v>
      </c>
      <c r="I1935" t="s">
        <v>425</v>
      </c>
      <c r="J1935" t="s">
        <v>426</v>
      </c>
      <c r="N1935">
        <v>0</v>
      </c>
    </row>
    <row r="1936" spans="1:14" ht="15" customHeight="1" x14ac:dyDescent="0.25">
      <c r="A1936" s="82">
        <v>44211</v>
      </c>
      <c r="B1936" t="s">
        <v>455</v>
      </c>
      <c r="C1936" t="s">
        <v>424</v>
      </c>
      <c r="D1936" t="s">
        <v>429</v>
      </c>
      <c r="E1936" t="s">
        <v>426</v>
      </c>
      <c r="F1936" t="s">
        <v>424</v>
      </c>
      <c r="G1936" t="s">
        <v>425</v>
      </c>
      <c r="H1936" t="s">
        <v>421</v>
      </c>
      <c r="I1936" t="s">
        <v>425</v>
      </c>
      <c r="J1936" t="s">
        <v>427</v>
      </c>
      <c r="N1936">
        <v>0</v>
      </c>
    </row>
    <row r="1937" spans="1:14" ht="15" customHeight="1" x14ac:dyDescent="0.25">
      <c r="A1937" s="82">
        <v>44212</v>
      </c>
      <c r="B1937" t="s">
        <v>428</v>
      </c>
      <c r="C1937" t="s">
        <v>424</v>
      </c>
      <c r="D1937" t="s">
        <v>429</v>
      </c>
      <c r="E1937" t="s">
        <v>426</v>
      </c>
      <c r="F1937" t="s">
        <v>430</v>
      </c>
      <c r="G1937" t="s">
        <v>425</v>
      </c>
      <c r="H1937" t="s">
        <v>427</v>
      </c>
      <c r="I1937" t="s">
        <v>421</v>
      </c>
      <c r="J1937" t="s">
        <v>455</v>
      </c>
      <c r="N1937">
        <v>0</v>
      </c>
    </row>
    <row r="1938" spans="1:14" ht="15" customHeight="1" x14ac:dyDescent="0.25">
      <c r="A1938" s="82">
        <v>44213</v>
      </c>
      <c r="B1938" t="s">
        <v>428</v>
      </c>
      <c r="C1938" t="s">
        <v>424</v>
      </c>
      <c r="D1938" t="s">
        <v>429</v>
      </c>
      <c r="E1938" t="s">
        <v>426</v>
      </c>
      <c r="F1938" t="s">
        <v>430</v>
      </c>
      <c r="G1938" t="s">
        <v>425</v>
      </c>
      <c r="H1938" t="s">
        <v>455</v>
      </c>
      <c r="I1938" t="s">
        <v>421</v>
      </c>
      <c r="J1938" t="s">
        <v>427</v>
      </c>
      <c r="N1938">
        <v>0</v>
      </c>
    </row>
    <row r="1939" spans="1:14" ht="15" customHeight="1" x14ac:dyDescent="0.25">
      <c r="A1939" s="82">
        <v>44214</v>
      </c>
      <c r="B1939" t="s">
        <v>428</v>
      </c>
      <c r="C1939" t="s">
        <v>424</v>
      </c>
      <c r="D1939" t="s">
        <v>429</v>
      </c>
      <c r="E1939" t="s">
        <v>426</v>
      </c>
      <c r="F1939" t="s">
        <v>430</v>
      </c>
      <c r="G1939" t="s">
        <v>425</v>
      </c>
      <c r="H1939" t="s">
        <v>421</v>
      </c>
      <c r="I1939" t="s">
        <v>427</v>
      </c>
      <c r="J1939" t="s">
        <v>455</v>
      </c>
      <c r="N1939">
        <v>0</v>
      </c>
    </row>
    <row r="1940" spans="1:14" ht="15" customHeight="1" x14ac:dyDescent="0.25">
      <c r="A1940" s="82">
        <v>44215</v>
      </c>
      <c r="B1940" t="s">
        <v>428</v>
      </c>
      <c r="C1940" t="s">
        <v>424</v>
      </c>
      <c r="D1940" t="s">
        <v>429</v>
      </c>
      <c r="E1940" t="s">
        <v>426</v>
      </c>
      <c r="F1940" t="s">
        <v>430</v>
      </c>
      <c r="G1940" t="s">
        <v>425</v>
      </c>
      <c r="H1940" t="s">
        <v>427</v>
      </c>
      <c r="I1940" t="s">
        <v>455</v>
      </c>
      <c r="J1940" t="s">
        <v>421</v>
      </c>
      <c r="N1940">
        <v>0</v>
      </c>
    </row>
    <row r="1941" spans="1:14" ht="15" customHeight="1" x14ac:dyDescent="0.25">
      <c r="A1941" s="82">
        <v>44216</v>
      </c>
      <c r="B1941" t="s">
        <v>428</v>
      </c>
      <c r="C1941" t="s">
        <v>424</v>
      </c>
      <c r="D1941" t="s">
        <v>429</v>
      </c>
      <c r="E1941" t="s">
        <v>426</v>
      </c>
      <c r="F1941" t="s">
        <v>430</v>
      </c>
      <c r="G1941" t="s">
        <v>425</v>
      </c>
      <c r="H1941" t="s">
        <v>455</v>
      </c>
      <c r="I1941" t="s">
        <v>427</v>
      </c>
      <c r="J1941" t="s">
        <v>421</v>
      </c>
      <c r="N1941">
        <v>0</v>
      </c>
    </row>
    <row r="1942" spans="1:14" ht="15" customHeight="1" x14ac:dyDescent="0.25">
      <c r="A1942" s="82">
        <v>44217</v>
      </c>
      <c r="B1942" t="s">
        <v>428</v>
      </c>
      <c r="C1942" t="s">
        <v>424</v>
      </c>
      <c r="D1942" t="s">
        <v>429</v>
      </c>
      <c r="E1942" t="s">
        <v>426</v>
      </c>
      <c r="F1942" t="s">
        <v>430</v>
      </c>
      <c r="G1942" t="s">
        <v>425</v>
      </c>
      <c r="H1942" t="s">
        <v>421</v>
      </c>
      <c r="I1942" t="s">
        <v>455</v>
      </c>
      <c r="J1942" t="s">
        <v>427</v>
      </c>
      <c r="N1942">
        <v>0</v>
      </c>
    </row>
    <row r="1943" spans="1:14" ht="15" customHeight="1" x14ac:dyDescent="0.25">
      <c r="A1943" s="82">
        <v>44218</v>
      </c>
      <c r="B1943" t="s">
        <v>425</v>
      </c>
      <c r="C1943" t="s">
        <v>424</v>
      </c>
      <c r="D1943" t="s">
        <v>426</v>
      </c>
      <c r="E1943" t="s">
        <v>427</v>
      </c>
      <c r="F1943" t="s">
        <v>421</v>
      </c>
      <c r="G1943" t="s">
        <v>425</v>
      </c>
      <c r="H1943" t="s">
        <v>429</v>
      </c>
      <c r="I1943" t="s">
        <v>424</v>
      </c>
      <c r="J1943" t="s">
        <v>455</v>
      </c>
      <c r="N1943">
        <v>0</v>
      </c>
    </row>
    <row r="1944" spans="1:14" ht="15" customHeight="1" x14ac:dyDescent="0.25">
      <c r="A1944" s="82">
        <v>44219</v>
      </c>
      <c r="B1944" t="s">
        <v>425</v>
      </c>
      <c r="C1944" t="s">
        <v>430</v>
      </c>
      <c r="D1944" t="s">
        <v>426</v>
      </c>
      <c r="E1944" t="s">
        <v>455</v>
      </c>
      <c r="F1944" t="s">
        <v>427</v>
      </c>
      <c r="G1944" t="s">
        <v>421</v>
      </c>
      <c r="H1944" t="s">
        <v>429</v>
      </c>
      <c r="I1944" t="s">
        <v>424</v>
      </c>
      <c r="J1944" t="s">
        <v>428</v>
      </c>
      <c r="N1944">
        <v>0</v>
      </c>
    </row>
    <row r="1945" spans="1:14" ht="15" customHeight="1" x14ac:dyDescent="0.25">
      <c r="A1945" s="82">
        <v>44220</v>
      </c>
      <c r="B1945" t="s">
        <v>425</v>
      </c>
      <c r="C1945" t="s">
        <v>430</v>
      </c>
      <c r="D1945" t="s">
        <v>426</v>
      </c>
      <c r="E1945" t="s">
        <v>427</v>
      </c>
      <c r="F1945" t="s">
        <v>455</v>
      </c>
      <c r="G1945" t="s">
        <v>421</v>
      </c>
      <c r="H1945" t="s">
        <v>429</v>
      </c>
      <c r="I1945" t="s">
        <v>424</v>
      </c>
      <c r="J1945" t="s">
        <v>428</v>
      </c>
      <c r="N1945">
        <v>0</v>
      </c>
    </row>
    <row r="1946" spans="1:14" ht="15" customHeight="1" x14ac:dyDescent="0.25">
      <c r="A1946" s="82">
        <v>44221</v>
      </c>
      <c r="B1946" t="s">
        <v>425</v>
      </c>
      <c r="C1946" t="s">
        <v>430</v>
      </c>
      <c r="D1946" t="s">
        <v>426</v>
      </c>
      <c r="E1946" t="s">
        <v>455</v>
      </c>
      <c r="F1946" t="s">
        <v>421</v>
      </c>
      <c r="G1946" t="s">
        <v>427</v>
      </c>
      <c r="H1946" t="s">
        <v>429</v>
      </c>
      <c r="I1946" t="s">
        <v>424</v>
      </c>
      <c r="J1946" t="s">
        <v>428</v>
      </c>
      <c r="N1946">
        <v>0</v>
      </c>
    </row>
    <row r="1947" spans="1:14" ht="15" customHeight="1" x14ac:dyDescent="0.25">
      <c r="A1947" s="82">
        <v>44222</v>
      </c>
      <c r="B1947" t="s">
        <v>425</v>
      </c>
      <c r="C1947" t="s">
        <v>430</v>
      </c>
      <c r="D1947" t="s">
        <v>426</v>
      </c>
      <c r="E1947" t="s">
        <v>421</v>
      </c>
      <c r="F1947" t="s">
        <v>427</v>
      </c>
      <c r="G1947" t="s">
        <v>455</v>
      </c>
      <c r="H1947" t="s">
        <v>429</v>
      </c>
      <c r="I1947" t="s">
        <v>424</v>
      </c>
      <c r="J1947" t="s">
        <v>428</v>
      </c>
      <c r="N1947">
        <v>0</v>
      </c>
    </row>
    <row r="1948" spans="1:14" ht="15" customHeight="1" x14ac:dyDescent="0.25">
      <c r="A1948" s="82">
        <v>44223</v>
      </c>
      <c r="B1948" t="s">
        <v>425</v>
      </c>
      <c r="C1948" t="s">
        <v>430</v>
      </c>
      <c r="D1948" t="s">
        <v>426</v>
      </c>
      <c r="E1948" t="s">
        <v>427</v>
      </c>
      <c r="F1948" t="s">
        <v>455</v>
      </c>
      <c r="G1948" t="s">
        <v>421</v>
      </c>
      <c r="H1948" t="s">
        <v>429</v>
      </c>
      <c r="I1948" t="s">
        <v>424</v>
      </c>
      <c r="J1948" t="s">
        <v>428</v>
      </c>
      <c r="N1948">
        <v>0</v>
      </c>
    </row>
    <row r="1949" spans="1:14" ht="15" customHeight="1" x14ac:dyDescent="0.25">
      <c r="A1949" s="82">
        <v>44224</v>
      </c>
      <c r="B1949" t="s">
        <v>425</v>
      </c>
      <c r="C1949" t="s">
        <v>430</v>
      </c>
      <c r="D1949" t="s">
        <v>426</v>
      </c>
      <c r="E1949" t="s">
        <v>455</v>
      </c>
      <c r="F1949" t="s">
        <v>427</v>
      </c>
      <c r="G1949" t="s">
        <v>421</v>
      </c>
      <c r="H1949" t="s">
        <v>429</v>
      </c>
      <c r="I1949" t="s">
        <v>424</v>
      </c>
      <c r="J1949" t="s">
        <v>428</v>
      </c>
      <c r="N1949">
        <v>0</v>
      </c>
    </row>
    <row r="1950" spans="1:14" ht="15" customHeight="1" x14ac:dyDescent="0.25">
      <c r="A1950" s="82">
        <v>44225</v>
      </c>
      <c r="B1950" t="s">
        <v>425</v>
      </c>
      <c r="C1950" t="s">
        <v>421</v>
      </c>
      <c r="D1950" t="s">
        <v>427</v>
      </c>
      <c r="F1950" t="s">
        <v>455</v>
      </c>
      <c r="G1950" t="s">
        <v>429</v>
      </c>
      <c r="H1950" t="s">
        <v>426</v>
      </c>
      <c r="I1950" t="s">
        <v>424</v>
      </c>
      <c r="J1950" t="s">
        <v>425</v>
      </c>
      <c r="N1950">
        <v>0</v>
      </c>
    </row>
    <row r="1951" spans="1:14" ht="15" customHeight="1" x14ac:dyDescent="0.25">
      <c r="A1951" s="82">
        <v>44226</v>
      </c>
      <c r="B1951" t="s">
        <v>421</v>
      </c>
      <c r="C1951" t="s">
        <v>427</v>
      </c>
      <c r="D1951" t="s">
        <v>455</v>
      </c>
      <c r="E1951" t="s">
        <v>428</v>
      </c>
      <c r="F1951" t="s">
        <v>424</v>
      </c>
      <c r="G1951" t="s">
        <v>429</v>
      </c>
      <c r="H1951" t="s">
        <v>426</v>
      </c>
      <c r="I1951" t="s">
        <v>430</v>
      </c>
      <c r="J1951" t="s">
        <v>425</v>
      </c>
      <c r="N1951">
        <v>0</v>
      </c>
    </row>
    <row r="1952" spans="1:14" ht="15" customHeight="1" x14ac:dyDescent="0.25">
      <c r="A1952" s="82">
        <v>44227</v>
      </c>
      <c r="B1952" t="s">
        <v>421</v>
      </c>
      <c r="C1952" t="s">
        <v>455</v>
      </c>
      <c r="D1952" t="s">
        <v>427</v>
      </c>
      <c r="E1952" t="s">
        <v>428</v>
      </c>
      <c r="F1952" t="s">
        <v>424</v>
      </c>
      <c r="G1952" t="s">
        <v>429</v>
      </c>
      <c r="H1952" t="s">
        <v>426</v>
      </c>
      <c r="I1952" t="s">
        <v>430</v>
      </c>
      <c r="J1952" t="s">
        <v>425</v>
      </c>
      <c r="N1952">
        <v>0</v>
      </c>
    </row>
    <row r="1953" spans="1:14" ht="15" customHeight="1" x14ac:dyDescent="0.25">
      <c r="A1953" s="82">
        <v>44228</v>
      </c>
      <c r="B1953" t="s">
        <v>427</v>
      </c>
      <c r="C1953" t="s">
        <v>421</v>
      </c>
      <c r="D1953" t="s">
        <v>455</v>
      </c>
      <c r="E1953" t="s">
        <v>428</v>
      </c>
      <c r="F1953" t="s">
        <v>424</v>
      </c>
      <c r="G1953" t="s">
        <v>429</v>
      </c>
      <c r="H1953" t="s">
        <v>426</v>
      </c>
      <c r="I1953" t="s">
        <v>430</v>
      </c>
      <c r="J1953" t="s">
        <v>425</v>
      </c>
      <c r="N1953">
        <v>0</v>
      </c>
    </row>
    <row r="1954" spans="1:14" ht="15" customHeight="1" x14ac:dyDescent="0.25">
      <c r="A1954" s="82">
        <v>44229</v>
      </c>
      <c r="B1954" t="s">
        <v>455</v>
      </c>
      <c r="C1954" t="s">
        <v>427</v>
      </c>
      <c r="D1954" t="s">
        <v>421</v>
      </c>
      <c r="E1954" t="s">
        <v>428</v>
      </c>
      <c r="F1954" t="s">
        <v>424</v>
      </c>
      <c r="G1954" t="s">
        <v>429</v>
      </c>
      <c r="H1954" t="s">
        <v>426</v>
      </c>
      <c r="I1954" t="s">
        <v>430</v>
      </c>
      <c r="J1954" t="s">
        <v>425</v>
      </c>
      <c r="N1954">
        <v>0</v>
      </c>
    </row>
    <row r="1955" spans="1:14" ht="15" customHeight="1" x14ac:dyDescent="0.25">
      <c r="A1955" s="82">
        <v>44230</v>
      </c>
      <c r="B1955" t="s">
        <v>427</v>
      </c>
      <c r="C1955" t="s">
        <v>455</v>
      </c>
      <c r="D1955" t="s">
        <v>421</v>
      </c>
      <c r="E1955" t="s">
        <v>428</v>
      </c>
      <c r="F1955" t="s">
        <v>424</v>
      </c>
      <c r="G1955" t="s">
        <v>429</v>
      </c>
      <c r="H1955" t="s">
        <v>426</v>
      </c>
      <c r="I1955" t="s">
        <v>430</v>
      </c>
      <c r="J1955" t="s">
        <v>425</v>
      </c>
      <c r="N1955">
        <v>0</v>
      </c>
    </row>
    <row r="1956" spans="1:14" ht="15" customHeight="1" x14ac:dyDescent="0.25">
      <c r="A1956" s="82">
        <v>44231</v>
      </c>
      <c r="B1956" t="s">
        <v>455</v>
      </c>
      <c r="C1956" t="s">
        <v>421</v>
      </c>
      <c r="D1956" t="s">
        <v>427</v>
      </c>
      <c r="E1956" t="s">
        <v>428</v>
      </c>
      <c r="F1956" t="s">
        <v>424</v>
      </c>
      <c r="G1956" t="s">
        <v>429</v>
      </c>
      <c r="H1956" t="s">
        <v>426</v>
      </c>
      <c r="I1956" t="s">
        <v>430</v>
      </c>
      <c r="J1956" t="s">
        <v>425</v>
      </c>
      <c r="N1956">
        <v>0</v>
      </c>
    </row>
    <row r="1957" spans="1:14" ht="15" customHeight="1" x14ac:dyDescent="0.25">
      <c r="A1957" s="82">
        <v>44232</v>
      </c>
      <c r="B1957" t="s">
        <v>424</v>
      </c>
      <c r="C1957" t="s">
        <v>429</v>
      </c>
      <c r="D1957" t="s">
        <v>455</v>
      </c>
      <c r="E1957" t="s">
        <v>425</v>
      </c>
      <c r="F1957" t="s">
        <v>424</v>
      </c>
      <c r="G1957" t="s">
        <v>426</v>
      </c>
      <c r="H1957" t="s">
        <v>427</v>
      </c>
      <c r="I1957" t="s">
        <v>421</v>
      </c>
      <c r="J1957" t="s">
        <v>425</v>
      </c>
      <c r="N1957">
        <v>0</v>
      </c>
    </row>
    <row r="1958" spans="1:14" ht="15" customHeight="1" x14ac:dyDescent="0.25">
      <c r="A1958" s="82">
        <v>44233</v>
      </c>
      <c r="B1958" t="s">
        <v>424</v>
      </c>
      <c r="C1958" t="s">
        <v>429</v>
      </c>
      <c r="D1958" t="s">
        <v>428</v>
      </c>
      <c r="E1958" t="s">
        <v>425</v>
      </c>
      <c r="F1958" t="s">
        <v>430</v>
      </c>
      <c r="G1958" t="s">
        <v>426</v>
      </c>
      <c r="H1958" t="s">
        <v>455</v>
      </c>
      <c r="I1958" t="s">
        <v>427</v>
      </c>
      <c r="J1958" t="s">
        <v>421</v>
      </c>
      <c r="N1958">
        <v>0</v>
      </c>
    </row>
    <row r="1959" spans="1:14" ht="15" customHeight="1" x14ac:dyDescent="0.25">
      <c r="A1959" s="82">
        <v>44234</v>
      </c>
      <c r="B1959" t="s">
        <v>424</v>
      </c>
      <c r="C1959" t="s">
        <v>429</v>
      </c>
      <c r="D1959" t="s">
        <v>428</v>
      </c>
      <c r="E1959" t="s">
        <v>425</v>
      </c>
      <c r="F1959" t="s">
        <v>430</v>
      </c>
      <c r="G1959" t="s">
        <v>426</v>
      </c>
      <c r="H1959" t="s">
        <v>427</v>
      </c>
      <c r="I1959" t="s">
        <v>455</v>
      </c>
      <c r="J1959" t="s">
        <v>421</v>
      </c>
      <c r="N1959">
        <v>0</v>
      </c>
    </row>
    <row r="1960" spans="1:14" ht="15" customHeight="1" x14ac:dyDescent="0.25">
      <c r="A1960" s="82">
        <v>44235</v>
      </c>
      <c r="B1960" t="s">
        <v>424</v>
      </c>
      <c r="C1960" t="s">
        <v>429</v>
      </c>
      <c r="D1960" t="s">
        <v>428</v>
      </c>
      <c r="E1960" t="s">
        <v>425</v>
      </c>
      <c r="F1960" t="s">
        <v>430</v>
      </c>
      <c r="G1960" t="s">
        <v>426</v>
      </c>
      <c r="H1960" t="s">
        <v>455</v>
      </c>
      <c r="I1960" t="s">
        <v>421</v>
      </c>
      <c r="J1960" t="s">
        <v>427</v>
      </c>
      <c r="N1960">
        <v>0</v>
      </c>
    </row>
    <row r="1961" spans="1:14" ht="15" customHeight="1" x14ac:dyDescent="0.25">
      <c r="A1961" s="82">
        <v>44236</v>
      </c>
      <c r="B1961" t="s">
        <v>424</v>
      </c>
      <c r="C1961" t="s">
        <v>429</v>
      </c>
      <c r="D1961" t="s">
        <v>428</v>
      </c>
      <c r="E1961" t="s">
        <v>425</v>
      </c>
      <c r="F1961" t="s">
        <v>430</v>
      </c>
      <c r="G1961" t="s">
        <v>426</v>
      </c>
      <c r="H1961" t="s">
        <v>421</v>
      </c>
      <c r="I1961" t="s">
        <v>427</v>
      </c>
      <c r="J1961" t="s">
        <v>455</v>
      </c>
      <c r="N1961">
        <v>0</v>
      </c>
    </row>
    <row r="1962" spans="1:14" ht="15" customHeight="1" x14ac:dyDescent="0.25">
      <c r="A1962" s="82">
        <v>44237</v>
      </c>
      <c r="B1962" t="s">
        <v>424</v>
      </c>
      <c r="C1962" t="s">
        <v>429</v>
      </c>
      <c r="D1962" t="s">
        <v>428</v>
      </c>
      <c r="E1962" t="s">
        <v>425</v>
      </c>
      <c r="F1962" t="s">
        <v>430</v>
      </c>
      <c r="G1962" t="s">
        <v>426</v>
      </c>
      <c r="H1962" t="s">
        <v>421</v>
      </c>
      <c r="I1962" t="s">
        <v>455</v>
      </c>
      <c r="J1962" t="s">
        <v>427</v>
      </c>
      <c r="N1962">
        <v>0</v>
      </c>
    </row>
    <row r="1963" spans="1:14" ht="15" customHeight="1" x14ac:dyDescent="0.25">
      <c r="A1963" s="82">
        <v>44238</v>
      </c>
      <c r="B1963" t="s">
        <v>424</v>
      </c>
      <c r="C1963" t="s">
        <v>429</v>
      </c>
      <c r="D1963" t="s">
        <v>428</v>
      </c>
      <c r="E1963" t="s">
        <v>425</v>
      </c>
      <c r="F1963" t="s">
        <v>430</v>
      </c>
      <c r="G1963" t="s">
        <v>426</v>
      </c>
      <c r="H1963" t="s">
        <v>427</v>
      </c>
      <c r="I1963" t="s">
        <v>421</v>
      </c>
      <c r="J1963" t="s">
        <v>455</v>
      </c>
      <c r="N1963">
        <v>0</v>
      </c>
    </row>
    <row r="1964" spans="1:14" ht="15" customHeight="1" x14ac:dyDescent="0.25">
      <c r="A1964" s="82">
        <v>44239</v>
      </c>
      <c r="B1964" t="s">
        <v>424</v>
      </c>
      <c r="C1964" t="s">
        <v>426</v>
      </c>
      <c r="D1964" t="s">
        <v>425</v>
      </c>
      <c r="E1964" t="s">
        <v>425</v>
      </c>
      <c r="F1964" t="s">
        <v>421</v>
      </c>
      <c r="G1964" t="s">
        <v>427</v>
      </c>
      <c r="H1964" t="s">
        <v>455</v>
      </c>
      <c r="I1964" t="s">
        <v>429</v>
      </c>
      <c r="J1964" t="s">
        <v>424</v>
      </c>
      <c r="N1964">
        <v>0</v>
      </c>
    </row>
    <row r="1965" spans="1:14" ht="15" customHeight="1" x14ac:dyDescent="0.25">
      <c r="A1965" s="82">
        <v>44240</v>
      </c>
      <c r="B1965" t="s">
        <v>430</v>
      </c>
      <c r="C1965" t="s">
        <v>426</v>
      </c>
      <c r="D1965" t="s">
        <v>425</v>
      </c>
      <c r="E1965" t="s">
        <v>421</v>
      </c>
      <c r="F1965" t="s">
        <v>427</v>
      </c>
      <c r="G1965" t="s">
        <v>455</v>
      </c>
      <c r="H1965" t="s">
        <v>428</v>
      </c>
      <c r="I1965" t="s">
        <v>429</v>
      </c>
      <c r="J1965" t="s">
        <v>424</v>
      </c>
      <c r="N1965">
        <v>0</v>
      </c>
    </row>
    <row r="1966" spans="1:14" ht="15" customHeight="1" x14ac:dyDescent="0.25">
      <c r="A1966" s="82">
        <v>44241</v>
      </c>
      <c r="B1966" t="s">
        <v>430</v>
      </c>
      <c r="C1966" t="s">
        <v>426</v>
      </c>
      <c r="D1966" t="s">
        <v>425</v>
      </c>
      <c r="E1966" t="s">
        <v>421</v>
      </c>
      <c r="F1966" t="s">
        <v>455</v>
      </c>
      <c r="G1966" t="s">
        <v>427</v>
      </c>
      <c r="H1966" t="s">
        <v>428</v>
      </c>
      <c r="I1966" t="s">
        <v>429</v>
      </c>
      <c r="J1966" t="s">
        <v>424</v>
      </c>
      <c r="N1966">
        <v>0</v>
      </c>
    </row>
    <row r="1967" spans="1:14" ht="15" customHeight="1" x14ac:dyDescent="0.25">
      <c r="A1967" s="82">
        <v>44242</v>
      </c>
      <c r="B1967" t="s">
        <v>430</v>
      </c>
      <c r="C1967" t="s">
        <v>426</v>
      </c>
      <c r="D1967" t="s">
        <v>425</v>
      </c>
      <c r="E1967" t="s">
        <v>421</v>
      </c>
      <c r="F1967" t="s">
        <v>427</v>
      </c>
      <c r="G1967" t="s">
        <v>455</v>
      </c>
      <c r="H1967" t="s">
        <v>428</v>
      </c>
      <c r="I1967" t="s">
        <v>429</v>
      </c>
      <c r="J1967" t="s">
        <v>424</v>
      </c>
      <c r="N1967">
        <v>0</v>
      </c>
    </row>
    <row r="1968" spans="1:14" ht="15" customHeight="1" x14ac:dyDescent="0.25">
      <c r="A1968" s="82">
        <v>44243</v>
      </c>
      <c r="B1968" t="s">
        <v>430</v>
      </c>
      <c r="C1968" t="s">
        <v>426</v>
      </c>
      <c r="D1968" t="s">
        <v>425</v>
      </c>
      <c r="E1968" t="s">
        <v>427</v>
      </c>
      <c r="F1968" t="s">
        <v>455</v>
      </c>
      <c r="G1968" t="s">
        <v>421</v>
      </c>
      <c r="H1968" t="s">
        <v>428</v>
      </c>
      <c r="I1968" t="s">
        <v>429</v>
      </c>
      <c r="J1968" t="s">
        <v>424</v>
      </c>
      <c r="N1968">
        <v>0</v>
      </c>
    </row>
    <row r="1969" spans="1:14" ht="15" customHeight="1" x14ac:dyDescent="0.25">
      <c r="A1969" s="82">
        <v>44244</v>
      </c>
      <c r="B1969" t="s">
        <v>430</v>
      </c>
      <c r="C1969" t="s">
        <v>426</v>
      </c>
      <c r="D1969" t="s">
        <v>425</v>
      </c>
      <c r="E1969" t="s">
        <v>455</v>
      </c>
      <c r="F1969" t="s">
        <v>421</v>
      </c>
      <c r="G1969" t="s">
        <v>427</v>
      </c>
      <c r="H1969" t="s">
        <v>428</v>
      </c>
      <c r="I1969" t="s">
        <v>429</v>
      </c>
      <c r="J1969" t="s">
        <v>424</v>
      </c>
      <c r="N1969">
        <v>0</v>
      </c>
    </row>
    <row r="1970" spans="1:14" ht="15" customHeight="1" x14ac:dyDescent="0.25">
      <c r="A1970" s="82">
        <v>44245</v>
      </c>
      <c r="B1970" t="s">
        <v>430</v>
      </c>
      <c r="C1970" t="s">
        <v>426</v>
      </c>
      <c r="D1970" t="s">
        <v>425</v>
      </c>
      <c r="E1970" t="s">
        <v>427</v>
      </c>
      <c r="F1970" t="s">
        <v>421</v>
      </c>
      <c r="G1970" t="s">
        <v>455</v>
      </c>
      <c r="H1970" t="s">
        <v>428</v>
      </c>
      <c r="I1970" t="s">
        <v>429</v>
      </c>
      <c r="J1970" t="s">
        <v>424</v>
      </c>
      <c r="N1970">
        <v>0</v>
      </c>
    </row>
    <row r="1971" spans="1:14" ht="15" customHeight="1" x14ac:dyDescent="0.25">
      <c r="A1971" s="82">
        <v>44246</v>
      </c>
      <c r="B1971" t="s">
        <v>421</v>
      </c>
      <c r="C1971" t="s">
        <v>427</v>
      </c>
      <c r="D1971" t="s">
        <v>425</v>
      </c>
      <c r="E1971" t="s">
        <v>455</v>
      </c>
      <c r="F1971" t="s">
        <v>429</v>
      </c>
      <c r="G1971" t="s">
        <v>424</v>
      </c>
      <c r="H1971" t="s">
        <v>425</v>
      </c>
      <c r="I1971" t="s">
        <v>426</v>
      </c>
      <c r="J1971" t="s">
        <v>424</v>
      </c>
      <c r="N1971">
        <v>0</v>
      </c>
    </row>
    <row r="1972" spans="1:14" ht="15" customHeight="1" x14ac:dyDescent="0.25">
      <c r="A1972" s="82">
        <v>44247</v>
      </c>
      <c r="B1972" t="s">
        <v>427</v>
      </c>
      <c r="C1972" t="s">
        <v>455</v>
      </c>
      <c r="D1972" t="s">
        <v>421</v>
      </c>
      <c r="E1972" t="s">
        <v>424</v>
      </c>
      <c r="F1972" t="s">
        <v>429</v>
      </c>
      <c r="G1972" t="s">
        <v>428</v>
      </c>
      <c r="H1972" t="s">
        <v>425</v>
      </c>
      <c r="I1972" t="s">
        <v>426</v>
      </c>
      <c r="J1972" t="s">
        <v>430</v>
      </c>
      <c r="N1972">
        <v>0</v>
      </c>
    </row>
    <row r="1973" spans="1:14" ht="15" customHeight="1" x14ac:dyDescent="0.25">
      <c r="A1973" s="82">
        <v>44248</v>
      </c>
      <c r="B1973" t="s">
        <v>455</v>
      </c>
      <c r="C1973" t="s">
        <v>427</v>
      </c>
      <c r="D1973" t="s">
        <v>421</v>
      </c>
      <c r="E1973" t="s">
        <v>424</v>
      </c>
      <c r="F1973" t="s">
        <v>429</v>
      </c>
      <c r="G1973" t="s">
        <v>428</v>
      </c>
      <c r="H1973" t="s">
        <v>425</v>
      </c>
      <c r="I1973" t="s">
        <v>426</v>
      </c>
      <c r="J1973" t="s">
        <v>430</v>
      </c>
      <c r="N1973">
        <v>0</v>
      </c>
    </row>
    <row r="1974" spans="1:14" ht="15" customHeight="1" x14ac:dyDescent="0.25">
      <c r="A1974" s="82">
        <v>44249</v>
      </c>
      <c r="B1974" t="s">
        <v>421</v>
      </c>
      <c r="C1974" t="s">
        <v>455</v>
      </c>
      <c r="D1974" t="s">
        <v>427</v>
      </c>
      <c r="E1974" t="s">
        <v>424</v>
      </c>
      <c r="F1974" t="s">
        <v>429</v>
      </c>
      <c r="G1974" t="s">
        <v>428</v>
      </c>
      <c r="H1974" t="s">
        <v>425</v>
      </c>
      <c r="I1974" t="s">
        <v>426</v>
      </c>
      <c r="J1974" t="s">
        <v>430</v>
      </c>
      <c r="N1974">
        <v>0</v>
      </c>
    </row>
    <row r="1975" spans="1:14" ht="15" customHeight="1" x14ac:dyDescent="0.25">
      <c r="A1975" s="82">
        <v>44250</v>
      </c>
      <c r="B1975" t="s">
        <v>427</v>
      </c>
      <c r="C1975" t="s">
        <v>421</v>
      </c>
      <c r="D1975" t="s">
        <v>455</v>
      </c>
      <c r="E1975" t="s">
        <v>424</v>
      </c>
      <c r="F1975" t="s">
        <v>429</v>
      </c>
      <c r="G1975" t="s">
        <v>428</v>
      </c>
      <c r="H1975" t="s">
        <v>425</v>
      </c>
      <c r="I1975" t="s">
        <v>426</v>
      </c>
      <c r="J1975" t="s">
        <v>430</v>
      </c>
      <c r="N1975">
        <v>0</v>
      </c>
    </row>
    <row r="1976" spans="1:14" ht="15" customHeight="1" x14ac:dyDescent="0.25">
      <c r="A1976" s="82">
        <v>44251</v>
      </c>
      <c r="B1976" t="s">
        <v>455</v>
      </c>
      <c r="C1976" t="s">
        <v>421</v>
      </c>
      <c r="D1976" t="s">
        <v>427</v>
      </c>
      <c r="E1976" t="s">
        <v>424</v>
      </c>
      <c r="F1976" t="s">
        <v>429</v>
      </c>
      <c r="G1976" t="s">
        <v>428</v>
      </c>
      <c r="H1976" t="s">
        <v>425</v>
      </c>
      <c r="I1976" t="s">
        <v>426</v>
      </c>
      <c r="J1976" t="s">
        <v>430</v>
      </c>
      <c r="N1976">
        <v>0</v>
      </c>
    </row>
    <row r="1977" spans="1:14" ht="15" customHeight="1" x14ac:dyDescent="0.25">
      <c r="A1977" s="82">
        <v>44252</v>
      </c>
      <c r="B1977" t="s">
        <v>421</v>
      </c>
      <c r="C1977" t="s">
        <v>427</v>
      </c>
      <c r="D1977" t="s">
        <v>455</v>
      </c>
      <c r="E1977" t="s">
        <v>424</v>
      </c>
      <c r="F1977" t="s">
        <v>429</v>
      </c>
      <c r="G1977" t="s">
        <v>428</v>
      </c>
      <c r="H1977" t="s">
        <v>425</v>
      </c>
      <c r="I1977" t="s">
        <v>426</v>
      </c>
      <c r="J1977" t="s">
        <v>430</v>
      </c>
      <c r="N1977">
        <v>0</v>
      </c>
    </row>
    <row r="1978" spans="1:14" ht="15" customHeight="1" x14ac:dyDescent="0.25">
      <c r="A1978" s="82">
        <v>44253</v>
      </c>
      <c r="B1978" t="s">
        <v>429</v>
      </c>
      <c r="C1978" t="s">
        <v>455</v>
      </c>
      <c r="D1978" t="s">
        <v>424</v>
      </c>
      <c r="E1978" t="s">
        <v>424</v>
      </c>
      <c r="F1978" t="s">
        <v>426</v>
      </c>
      <c r="G1978" t="s">
        <v>425</v>
      </c>
      <c r="H1978" t="s">
        <v>425</v>
      </c>
      <c r="I1978" t="s">
        <v>427</v>
      </c>
      <c r="J1978" t="s">
        <v>421</v>
      </c>
      <c r="N1978">
        <v>0</v>
      </c>
    </row>
    <row r="1979" spans="1:14" ht="15" customHeight="1" x14ac:dyDescent="0.25">
      <c r="A1979" s="82">
        <v>44254</v>
      </c>
      <c r="B1979" t="s">
        <v>429</v>
      </c>
      <c r="C1979" t="s">
        <v>428</v>
      </c>
      <c r="D1979" t="s">
        <v>424</v>
      </c>
      <c r="E1979" t="s">
        <v>430</v>
      </c>
      <c r="F1979" t="s">
        <v>426</v>
      </c>
      <c r="G1979" t="s">
        <v>425</v>
      </c>
      <c r="H1979" t="s">
        <v>421</v>
      </c>
      <c r="I1979" t="s">
        <v>455</v>
      </c>
      <c r="J1979" t="s">
        <v>427</v>
      </c>
      <c r="N1979">
        <v>0</v>
      </c>
    </row>
    <row r="1980" spans="1:14" ht="15" customHeight="1" x14ac:dyDescent="0.25">
      <c r="A1980" s="82">
        <v>44255</v>
      </c>
      <c r="B1980" t="s">
        <v>429</v>
      </c>
      <c r="C1980" t="s">
        <v>428</v>
      </c>
      <c r="D1980" t="s">
        <v>424</v>
      </c>
      <c r="E1980" t="s">
        <v>430</v>
      </c>
      <c r="F1980" t="s">
        <v>426</v>
      </c>
      <c r="G1980" t="s">
        <v>425</v>
      </c>
      <c r="H1980" t="s">
        <v>421</v>
      </c>
      <c r="I1980" t="s">
        <v>427</v>
      </c>
      <c r="J1980" t="s">
        <v>455</v>
      </c>
      <c r="N1980">
        <v>0</v>
      </c>
    </row>
    <row r="1981" spans="1:14" ht="15" customHeight="1" x14ac:dyDescent="0.25">
      <c r="A1981" s="82">
        <v>44256</v>
      </c>
      <c r="B1981" t="s">
        <v>429</v>
      </c>
      <c r="C1981" t="s">
        <v>428</v>
      </c>
      <c r="D1981" t="s">
        <v>424</v>
      </c>
      <c r="E1981" t="s">
        <v>430</v>
      </c>
      <c r="F1981" t="s">
        <v>426</v>
      </c>
      <c r="G1981" t="s">
        <v>425</v>
      </c>
      <c r="H1981" t="s">
        <v>427</v>
      </c>
      <c r="I1981" t="s">
        <v>455</v>
      </c>
      <c r="J1981" t="s">
        <v>421</v>
      </c>
      <c r="N1981">
        <v>0</v>
      </c>
    </row>
    <row r="1982" spans="1:14" ht="15" customHeight="1" x14ac:dyDescent="0.25">
      <c r="A1982" s="82">
        <v>44257</v>
      </c>
      <c r="B1982" t="s">
        <v>429</v>
      </c>
      <c r="C1982" t="s">
        <v>428</v>
      </c>
      <c r="D1982" t="s">
        <v>424</v>
      </c>
      <c r="E1982" t="s">
        <v>430</v>
      </c>
      <c r="F1982" t="s">
        <v>426</v>
      </c>
      <c r="G1982" t="s">
        <v>425</v>
      </c>
      <c r="H1982" t="s">
        <v>455</v>
      </c>
      <c r="I1982" t="s">
        <v>421</v>
      </c>
      <c r="J1982" t="s">
        <v>427</v>
      </c>
      <c r="N1982">
        <v>0</v>
      </c>
    </row>
    <row r="1983" spans="1:14" ht="15" customHeight="1" x14ac:dyDescent="0.25">
      <c r="A1983" s="82">
        <v>44258</v>
      </c>
      <c r="B1983" t="s">
        <v>429</v>
      </c>
      <c r="C1983" t="s">
        <v>428</v>
      </c>
      <c r="D1983" t="s">
        <v>424</v>
      </c>
      <c r="E1983" t="s">
        <v>430</v>
      </c>
      <c r="F1983" t="s">
        <v>426</v>
      </c>
      <c r="G1983" t="s">
        <v>425</v>
      </c>
      <c r="H1983" t="s">
        <v>427</v>
      </c>
      <c r="I1983" t="s">
        <v>421</v>
      </c>
      <c r="J1983" t="s">
        <v>455</v>
      </c>
      <c r="N1983">
        <v>0</v>
      </c>
    </row>
    <row r="1984" spans="1:14" ht="15" customHeight="1" x14ac:dyDescent="0.25">
      <c r="A1984" s="82">
        <v>44259</v>
      </c>
      <c r="B1984" t="s">
        <v>429</v>
      </c>
      <c r="C1984" t="s">
        <v>428</v>
      </c>
      <c r="D1984" t="s">
        <v>424</v>
      </c>
      <c r="E1984" t="s">
        <v>430</v>
      </c>
      <c r="F1984" t="s">
        <v>426</v>
      </c>
      <c r="G1984" t="s">
        <v>425</v>
      </c>
      <c r="H1984" t="s">
        <v>455</v>
      </c>
      <c r="I1984" t="s">
        <v>427</v>
      </c>
      <c r="J1984" t="s">
        <v>421</v>
      </c>
      <c r="N1984">
        <v>0</v>
      </c>
    </row>
    <row r="1985" spans="1:14" ht="15" customHeight="1" x14ac:dyDescent="0.25">
      <c r="A1985" s="82">
        <v>44260</v>
      </c>
      <c r="B1985" t="s">
        <v>426</v>
      </c>
      <c r="C1985" t="s">
        <v>425</v>
      </c>
      <c r="D1985" t="s">
        <v>424</v>
      </c>
      <c r="E1985" t="s">
        <v>421</v>
      </c>
      <c r="F1985" t="s">
        <v>427</v>
      </c>
      <c r="G1985" t="s">
        <v>425</v>
      </c>
      <c r="H1985" t="s">
        <v>424</v>
      </c>
      <c r="I1985" t="s">
        <v>455</v>
      </c>
      <c r="J1985" t="s">
        <v>429</v>
      </c>
      <c r="N1985">
        <v>0</v>
      </c>
    </row>
    <row r="1986" spans="1:14" ht="15" customHeight="1" x14ac:dyDescent="0.25">
      <c r="A1986" s="82">
        <v>44261</v>
      </c>
      <c r="B1986" t="s">
        <v>426</v>
      </c>
      <c r="C1986" t="s">
        <v>425</v>
      </c>
      <c r="D1986" t="s">
        <v>430</v>
      </c>
      <c r="E1986" t="s">
        <v>427</v>
      </c>
      <c r="F1986" t="s">
        <v>455</v>
      </c>
      <c r="G1986" t="s">
        <v>421</v>
      </c>
      <c r="H1986" t="s">
        <v>424</v>
      </c>
      <c r="I1986" t="s">
        <v>428</v>
      </c>
      <c r="J1986" t="s">
        <v>429</v>
      </c>
      <c r="N1986">
        <v>0</v>
      </c>
    </row>
    <row r="1987" spans="1:14" ht="15" customHeight="1" x14ac:dyDescent="0.25">
      <c r="A1987" s="82">
        <v>44262</v>
      </c>
      <c r="B1987" t="s">
        <v>426</v>
      </c>
      <c r="C1987" t="s">
        <v>425</v>
      </c>
      <c r="D1987" t="s">
        <v>430</v>
      </c>
      <c r="E1987" t="s">
        <v>455</v>
      </c>
      <c r="F1987" t="s">
        <v>427</v>
      </c>
      <c r="G1987" t="s">
        <v>421</v>
      </c>
      <c r="H1987" t="s">
        <v>424</v>
      </c>
      <c r="I1987" t="s">
        <v>428</v>
      </c>
      <c r="J1987" t="s">
        <v>429</v>
      </c>
      <c r="N1987">
        <v>0</v>
      </c>
    </row>
    <row r="1988" spans="1:14" ht="15" customHeight="1" x14ac:dyDescent="0.25">
      <c r="A1988" s="82">
        <v>44263</v>
      </c>
      <c r="B1988" t="s">
        <v>426</v>
      </c>
      <c r="C1988" t="s">
        <v>425</v>
      </c>
      <c r="D1988" t="s">
        <v>430</v>
      </c>
      <c r="E1988" t="s">
        <v>421</v>
      </c>
      <c r="F1988" t="s">
        <v>455</v>
      </c>
      <c r="G1988" t="s">
        <v>427</v>
      </c>
      <c r="H1988" t="s">
        <v>424</v>
      </c>
      <c r="I1988" t="s">
        <v>428</v>
      </c>
      <c r="J1988" t="s">
        <v>429</v>
      </c>
      <c r="N1988">
        <v>0</v>
      </c>
    </row>
    <row r="1989" spans="1:14" ht="15" customHeight="1" x14ac:dyDescent="0.25">
      <c r="A1989" s="82">
        <v>44264</v>
      </c>
      <c r="B1989" t="s">
        <v>426</v>
      </c>
      <c r="C1989" t="s">
        <v>425</v>
      </c>
      <c r="D1989" t="s">
        <v>430</v>
      </c>
      <c r="E1989" t="s">
        <v>427</v>
      </c>
      <c r="F1989" t="s">
        <v>421</v>
      </c>
      <c r="G1989" t="s">
        <v>455</v>
      </c>
      <c r="H1989" t="s">
        <v>424</v>
      </c>
      <c r="I1989" t="s">
        <v>428</v>
      </c>
      <c r="J1989" t="s">
        <v>429</v>
      </c>
      <c r="N1989">
        <v>0</v>
      </c>
    </row>
    <row r="1990" spans="1:14" ht="15" customHeight="1" x14ac:dyDescent="0.25">
      <c r="A1990" s="82">
        <v>44265</v>
      </c>
      <c r="B1990" t="s">
        <v>426</v>
      </c>
      <c r="C1990" t="s">
        <v>425</v>
      </c>
      <c r="D1990" t="s">
        <v>430</v>
      </c>
      <c r="E1990" t="s">
        <v>455</v>
      </c>
      <c r="F1990" t="s">
        <v>421</v>
      </c>
      <c r="G1990" t="s">
        <v>427</v>
      </c>
      <c r="H1990" t="s">
        <v>424</v>
      </c>
      <c r="I1990" t="s">
        <v>428</v>
      </c>
      <c r="J1990" t="s">
        <v>429</v>
      </c>
      <c r="N1990">
        <v>0</v>
      </c>
    </row>
    <row r="1991" spans="1:14" ht="15" customHeight="1" x14ac:dyDescent="0.25">
      <c r="A1991" s="82">
        <v>44266</v>
      </c>
      <c r="B1991" t="s">
        <v>426</v>
      </c>
      <c r="C1991" t="s">
        <v>425</v>
      </c>
      <c r="D1991" t="s">
        <v>430</v>
      </c>
      <c r="E1991" t="s">
        <v>421</v>
      </c>
      <c r="F1991" t="s">
        <v>427</v>
      </c>
      <c r="G1991" t="s">
        <v>455</v>
      </c>
      <c r="H1991" t="s">
        <v>424</v>
      </c>
      <c r="I1991" t="s">
        <v>428</v>
      </c>
      <c r="J1991" t="s">
        <v>429</v>
      </c>
      <c r="N1991">
        <v>0</v>
      </c>
    </row>
    <row r="1992" spans="1:14" ht="15" customHeight="1" x14ac:dyDescent="0.25">
      <c r="A1992" s="82">
        <v>44267</v>
      </c>
      <c r="B1992" t="s">
        <v>427</v>
      </c>
      <c r="C1992" t="s">
        <v>425</v>
      </c>
      <c r="D1992" t="s">
        <v>421</v>
      </c>
      <c r="E1992" t="s">
        <v>429</v>
      </c>
      <c r="F1992" t="s">
        <v>455</v>
      </c>
      <c r="G1992" t="s">
        <v>424</v>
      </c>
      <c r="H1992" t="s">
        <v>424</v>
      </c>
      <c r="I1992" t="s">
        <v>425</v>
      </c>
      <c r="J1992" t="s">
        <v>426</v>
      </c>
      <c r="N1992">
        <v>0</v>
      </c>
    </row>
    <row r="1993" spans="1:14" ht="15" customHeight="1" x14ac:dyDescent="0.25">
      <c r="A1993" s="82">
        <v>44268</v>
      </c>
      <c r="B1993" t="s">
        <v>455</v>
      </c>
      <c r="C1993" t="s">
        <v>421</v>
      </c>
      <c r="D1993" t="s">
        <v>427</v>
      </c>
      <c r="E1993" t="s">
        <v>429</v>
      </c>
      <c r="F1993" t="s">
        <v>428</v>
      </c>
      <c r="G1993" t="s">
        <v>424</v>
      </c>
      <c r="H1993" t="s">
        <v>430</v>
      </c>
      <c r="I1993" t="s">
        <v>425</v>
      </c>
      <c r="J1993" t="s">
        <v>426</v>
      </c>
      <c r="N1993">
        <v>0</v>
      </c>
    </row>
    <row r="1994" spans="1:14" ht="15" customHeight="1" x14ac:dyDescent="0.25">
      <c r="A1994" s="82">
        <v>44269</v>
      </c>
      <c r="B1994" t="s">
        <v>427</v>
      </c>
      <c r="C1994" t="s">
        <v>421</v>
      </c>
      <c r="D1994" t="s">
        <v>455</v>
      </c>
      <c r="E1994" t="s">
        <v>429</v>
      </c>
      <c r="F1994" t="s">
        <v>428</v>
      </c>
      <c r="G1994" t="s">
        <v>424</v>
      </c>
      <c r="H1994" t="s">
        <v>430</v>
      </c>
      <c r="I1994" t="s">
        <v>425</v>
      </c>
      <c r="J1994" t="s">
        <v>426</v>
      </c>
      <c r="N1994">
        <v>0</v>
      </c>
    </row>
    <row r="1995" spans="1:14" ht="15" customHeight="1" x14ac:dyDescent="0.25">
      <c r="A1995" s="82">
        <v>44270</v>
      </c>
      <c r="B1995" t="s">
        <v>455</v>
      </c>
      <c r="C1995" t="s">
        <v>427</v>
      </c>
      <c r="D1995" t="s">
        <v>421</v>
      </c>
      <c r="E1995" t="s">
        <v>429</v>
      </c>
      <c r="F1995" t="s">
        <v>428</v>
      </c>
      <c r="G1995" t="s">
        <v>424</v>
      </c>
      <c r="H1995" t="s">
        <v>430</v>
      </c>
      <c r="I1995" t="s">
        <v>425</v>
      </c>
      <c r="J1995" t="s">
        <v>426</v>
      </c>
      <c r="N1995">
        <v>0</v>
      </c>
    </row>
    <row r="1996" spans="1:14" ht="15" customHeight="1" x14ac:dyDescent="0.25">
      <c r="A1996" s="82">
        <v>44271</v>
      </c>
      <c r="B1996" t="s">
        <v>421</v>
      </c>
      <c r="C1996" t="s">
        <v>455</v>
      </c>
      <c r="D1996" t="s">
        <v>427</v>
      </c>
      <c r="E1996" t="s">
        <v>429</v>
      </c>
      <c r="F1996" t="s">
        <v>428</v>
      </c>
      <c r="G1996" t="s">
        <v>424</v>
      </c>
      <c r="H1996" t="s">
        <v>430</v>
      </c>
      <c r="I1996" t="s">
        <v>425</v>
      </c>
      <c r="J1996" t="s">
        <v>426</v>
      </c>
      <c r="N1996">
        <v>0</v>
      </c>
    </row>
    <row r="1997" spans="1:14" ht="15" customHeight="1" x14ac:dyDescent="0.25">
      <c r="A1997" s="82">
        <v>44272</v>
      </c>
      <c r="B1997" t="s">
        <v>421</v>
      </c>
      <c r="C1997" t="s">
        <v>427</v>
      </c>
      <c r="D1997" t="s">
        <v>455</v>
      </c>
      <c r="E1997" t="s">
        <v>429</v>
      </c>
      <c r="F1997" t="s">
        <v>428</v>
      </c>
      <c r="G1997" t="s">
        <v>424</v>
      </c>
      <c r="H1997" t="s">
        <v>430</v>
      </c>
      <c r="I1997" t="s">
        <v>425</v>
      </c>
      <c r="J1997" t="s">
        <v>426</v>
      </c>
      <c r="N1997">
        <v>0</v>
      </c>
    </row>
    <row r="1998" spans="1:14" ht="15" customHeight="1" x14ac:dyDescent="0.25">
      <c r="A1998" s="82">
        <v>44273</v>
      </c>
      <c r="B1998" t="s">
        <v>427</v>
      </c>
      <c r="C1998" t="s">
        <v>455</v>
      </c>
      <c r="D1998" t="s">
        <v>421</v>
      </c>
      <c r="E1998" t="s">
        <v>429</v>
      </c>
      <c r="F1998" t="s">
        <v>428</v>
      </c>
      <c r="G1998" t="s">
        <v>424</v>
      </c>
      <c r="H1998" t="s">
        <v>430</v>
      </c>
      <c r="I1998" t="s">
        <v>425</v>
      </c>
      <c r="J1998" t="s">
        <v>426</v>
      </c>
      <c r="N1998">
        <v>0</v>
      </c>
    </row>
    <row r="1999" spans="1:14" ht="15" customHeight="1" x14ac:dyDescent="0.25">
      <c r="A1999" s="82">
        <v>44274</v>
      </c>
      <c r="B1999" t="s">
        <v>455</v>
      </c>
      <c r="C1999" t="s">
        <v>424</v>
      </c>
      <c r="D1999" t="s">
        <v>429</v>
      </c>
      <c r="E1999" t="s">
        <v>426</v>
      </c>
      <c r="F1999" t="s">
        <v>425</v>
      </c>
      <c r="G1999" t="s">
        <v>424</v>
      </c>
      <c r="H1999" t="s">
        <v>421</v>
      </c>
      <c r="I1999" t="s">
        <v>425</v>
      </c>
      <c r="J1999" t="s">
        <v>427</v>
      </c>
      <c r="N1999">
        <v>0</v>
      </c>
    </row>
    <row r="2000" spans="1:14" ht="15" customHeight="1" x14ac:dyDescent="0.25">
      <c r="A2000" s="82">
        <v>44275</v>
      </c>
      <c r="B2000" t="s">
        <v>428</v>
      </c>
      <c r="C2000" t="s">
        <v>424</v>
      </c>
      <c r="D2000" t="s">
        <v>429</v>
      </c>
      <c r="E2000" t="s">
        <v>426</v>
      </c>
      <c r="F2000" t="s">
        <v>425</v>
      </c>
      <c r="G2000" t="s">
        <v>430</v>
      </c>
      <c r="H2000" t="s">
        <v>427</v>
      </c>
      <c r="I2000" t="s">
        <v>421</v>
      </c>
      <c r="J2000" t="s">
        <v>455</v>
      </c>
      <c r="N2000">
        <v>0</v>
      </c>
    </row>
    <row r="2001" spans="1:14" ht="15" customHeight="1" x14ac:dyDescent="0.25">
      <c r="A2001" s="82">
        <v>44276</v>
      </c>
      <c r="B2001" t="s">
        <v>428</v>
      </c>
      <c r="C2001" t="s">
        <v>424</v>
      </c>
      <c r="D2001" t="s">
        <v>429</v>
      </c>
      <c r="E2001" t="s">
        <v>426</v>
      </c>
      <c r="F2001" t="s">
        <v>425</v>
      </c>
      <c r="G2001" t="s">
        <v>430</v>
      </c>
      <c r="H2001" t="s">
        <v>455</v>
      </c>
      <c r="I2001" t="s">
        <v>421</v>
      </c>
      <c r="J2001" t="s">
        <v>427</v>
      </c>
      <c r="N2001">
        <v>0</v>
      </c>
    </row>
    <row r="2002" spans="1:14" ht="15" customHeight="1" x14ac:dyDescent="0.25">
      <c r="A2002" s="82">
        <v>44277</v>
      </c>
      <c r="B2002" t="s">
        <v>428</v>
      </c>
      <c r="C2002" t="s">
        <v>424</v>
      </c>
      <c r="D2002" t="s">
        <v>429</v>
      </c>
      <c r="E2002" t="s">
        <v>426</v>
      </c>
      <c r="F2002" t="s">
        <v>425</v>
      </c>
      <c r="G2002" t="s">
        <v>430</v>
      </c>
      <c r="H2002" t="s">
        <v>421</v>
      </c>
      <c r="I2002" t="s">
        <v>427</v>
      </c>
      <c r="J2002" t="s">
        <v>455</v>
      </c>
      <c r="N2002">
        <v>0</v>
      </c>
    </row>
    <row r="2003" spans="1:14" ht="15" customHeight="1" x14ac:dyDescent="0.25">
      <c r="A2003" s="82">
        <v>44278</v>
      </c>
      <c r="B2003" t="s">
        <v>428</v>
      </c>
      <c r="C2003" t="s">
        <v>424</v>
      </c>
      <c r="D2003" t="s">
        <v>429</v>
      </c>
      <c r="E2003" t="s">
        <v>426</v>
      </c>
      <c r="F2003" t="s">
        <v>425</v>
      </c>
      <c r="G2003" t="s">
        <v>430</v>
      </c>
      <c r="H2003" t="s">
        <v>427</v>
      </c>
      <c r="I2003" t="s">
        <v>455</v>
      </c>
      <c r="J2003" t="s">
        <v>421</v>
      </c>
      <c r="N2003">
        <v>0</v>
      </c>
    </row>
    <row r="2004" spans="1:14" ht="15" customHeight="1" x14ac:dyDescent="0.25">
      <c r="A2004" s="82">
        <v>44279</v>
      </c>
      <c r="B2004" t="s">
        <v>428</v>
      </c>
      <c r="C2004" t="s">
        <v>424</v>
      </c>
      <c r="D2004" t="s">
        <v>429</v>
      </c>
      <c r="E2004" t="s">
        <v>426</v>
      </c>
      <c r="F2004" t="s">
        <v>425</v>
      </c>
      <c r="G2004" t="s">
        <v>430</v>
      </c>
      <c r="H2004" t="s">
        <v>455</v>
      </c>
      <c r="I2004" t="s">
        <v>427</v>
      </c>
      <c r="J2004" t="s">
        <v>421</v>
      </c>
      <c r="N2004">
        <v>0</v>
      </c>
    </row>
    <row r="2005" spans="1:14" ht="15" customHeight="1" x14ac:dyDescent="0.25">
      <c r="A2005" s="82">
        <v>44280</v>
      </c>
      <c r="B2005" t="s">
        <v>428</v>
      </c>
      <c r="C2005" t="s">
        <v>424</v>
      </c>
      <c r="D2005" t="s">
        <v>429</v>
      </c>
      <c r="E2005" t="s">
        <v>426</v>
      </c>
      <c r="F2005" t="s">
        <v>425</v>
      </c>
      <c r="G2005" t="s">
        <v>430</v>
      </c>
      <c r="H2005" t="s">
        <v>421</v>
      </c>
      <c r="I2005" t="s">
        <v>455</v>
      </c>
      <c r="J2005" t="s">
        <v>427</v>
      </c>
      <c r="N2005">
        <v>0</v>
      </c>
    </row>
    <row r="2006" spans="1:14" ht="15" customHeight="1" x14ac:dyDescent="0.25">
      <c r="A2006" s="82">
        <v>44281</v>
      </c>
      <c r="B2006" t="s">
        <v>425</v>
      </c>
      <c r="C2006" t="s">
        <v>424</v>
      </c>
      <c r="D2006" t="s">
        <v>426</v>
      </c>
      <c r="E2006" t="s">
        <v>427</v>
      </c>
      <c r="F2006" t="s">
        <v>425</v>
      </c>
      <c r="G2006" t="s">
        <v>421</v>
      </c>
      <c r="H2006" t="s">
        <v>429</v>
      </c>
      <c r="I2006" t="s">
        <v>424</v>
      </c>
      <c r="J2006" t="s">
        <v>455</v>
      </c>
      <c r="N2006">
        <v>0</v>
      </c>
    </row>
    <row r="2007" spans="1:14" ht="15" customHeight="1" x14ac:dyDescent="0.25">
      <c r="A2007" s="82">
        <v>44282</v>
      </c>
      <c r="B2007" t="s">
        <v>425</v>
      </c>
      <c r="C2007" t="s">
        <v>430</v>
      </c>
      <c r="D2007" t="s">
        <v>426</v>
      </c>
      <c r="E2007" t="s">
        <v>455</v>
      </c>
      <c r="F2007" t="s">
        <v>421</v>
      </c>
      <c r="G2007" t="s">
        <v>427</v>
      </c>
      <c r="H2007" t="s">
        <v>429</v>
      </c>
      <c r="I2007" t="s">
        <v>424</v>
      </c>
      <c r="J2007" t="s">
        <v>428</v>
      </c>
      <c r="N2007">
        <v>0</v>
      </c>
    </row>
    <row r="2008" spans="1:14" ht="15" customHeight="1" x14ac:dyDescent="0.25">
      <c r="A2008" s="82">
        <v>44283</v>
      </c>
      <c r="B2008" t="s">
        <v>425</v>
      </c>
      <c r="C2008" t="s">
        <v>430</v>
      </c>
      <c r="D2008" t="s">
        <v>426</v>
      </c>
      <c r="E2008" t="s">
        <v>427</v>
      </c>
      <c r="F2008" t="s">
        <v>421</v>
      </c>
      <c r="G2008" t="s">
        <v>455</v>
      </c>
      <c r="H2008" t="s">
        <v>429</v>
      </c>
      <c r="I2008" t="s">
        <v>424</v>
      </c>
      <c r="J2008" t="s">
        <v>428</v>
      </c>
      <c r="N2008">
        <v>0</v>
      </c>
    </row>
    <row r="2009" spans="1:14" ht="15" customHeight="1" x14ac:dyDescent="0.25">
      <c r="A2009" s="82">
        <v>44284</v>
      </c>
      <c r="B2009" t="s">
        <v>425</v>
      </c>
      <c r="C2009" t="s">
        <v>430</v>
      </c>
      <c r="D2009" t="s">
        <v>426</v>
      </c>
      <c r="E2009" t="s">
        <v>455</v>
      </c>
      <c r="F2009" t="s">
        <v>427</v>
      </c>
      <c r="G2009" t="s">
        <v>421</v>
      </c>
      <c r="H2009" t="s">
        <v>429</v>
      </c>
      <c r="I2009" t="s">
        <v>424</v>
      </c>
      <c r="J2009" t="s">
        <v>428</v>
      </c>
      <c r="N2009">
        <v>0</v>
      </c>
    </row>
    <row r="2010" spans="1:14" ht="15" customHeight="1" x14ac:dyDescent="0.25">
      <c r="A2010" s="82">
        <v>44285</v>
      </c>
      <c r="B2010" t="s">
        <v>425</v>
      </c>
      <c r="C2010" t="s">
        <v>430</v>
      </c>
      <c r="D2010" t="s">
        <v>426</v>
      </c>
      <c r="E2010" t="s">
        <v>421</v>
      </c>
      <c r="F2010" t="s">
        <v>455</v>
      </c>
      <c r="G2010" t="s">
        <v>427</v>
      </c>
      <c r="H2010" t="s">
        <v>429</v>
      </c>
      <c r="I2010" t="s">
        <v>424</v>
      </c>
      <c r="J2010" t="s">
        <v>428</v>
      </c>
      <c r="N2010">
        <v>0</v>
      </c>
    </row>
    <row r="2011" spans="1:14" ht="15" customHeight="1" x14ac:dyDescent="0.25">
      <c r="A2011" s="82">
        <v>44286</v>
      </c>
      <c r="B2011" t="s">
        <v>425</v>
      </c>
      <c r="C2011" t="s">
        <v>430</v>
      </c>
      <c r="D2011" t="s">
        <v>426</v>
      </c>
      <c r="E2011" t="s">
        <v>421</v>
      </c>
      <c r="F2011" t="s">
        <v>427</v>
      </c>
      <c r="G2011" t="s">
        <v>455</v>
      </c>
      <c r="H2011" t="s">
        <v>429</v>
      </c>
      <c r="I2011" t="s">
        <v>424</v>
      </c>
      <c r="J2011" t="s">
        <v>428</v>
      </c>
      <c r="N2011">
        <v>0</v>
      </c>
    </row>
    <row r="2012" spans="1:14" ht="15" customHeight="1" x14ac:dyDescent="0.25">
      <c r="A2012" s="82">
        <v>44287</v>
      </c>
      <c r="B2012" t="s">
        <v>425</v>
      </c>
      <c r="C2012" t="s">
        <v>430</v>
      </c>
      <c r="D2012" t="s">
        <v>426</v>
      </c>
      <c r="E2012" t="s">
        <v>427</v>
      </c>
      <c r="F2012" t="s">
        <v>455</v>
      </c>
      <c r="G2012" t="s">
        <v>421</v>
      </c>
      <c r="H2012" t="s">
        <v>429</v>
      </c>
      <c r="I2012" t="s">
        <v>424</v>
      </c>
      <c r="J2012" t="s">
        <v>428</v>
      </c>
      <c r="N2012">
        <v>0</v>
      </c>
    </row>
    <row r="2013" spans="1:14" ht="15" customHeight="1" x14ac:dyDescent="0.25">
      <c r="A2013" s="82">
        <v>44288</v>
      </c>
      <c r="B2013" t="s">
        <v>425</v>
      </c>
      <c r="C2013" t="s">
        <v>421</v>
      </c>
      <c r="D2013" t="s">
        <v>427</v>
      </c>
      <c r="E2013" t="s">
        <v>455</v>
      </c>
      <c r="F2013" t="s">
        <v>424</v>
      </c>
      <c r="G2013" t="s">
        <v>429</v>
      </c>
      <c r="H2013" t="s">
        <v>426</v>
      </c>
      <c r="I2013" t="s">
        <v>424</v>
      </c>
      <c r="J2013" t="s">
        <v>425</v>
      </c>
      <c r="N2013">
        <v>0</v>
      </c>
    </row>
    <row r="2014" spans="1:14" ht="15" customHeight="1" x14ac:dyDescent="0.25">
      <c r="A2014" s="82">
        <v>44289</v>
      </c>
      <c r="B2014" t="s">
        <v>421</v>
      </c>
      <c r="C2014" t="s">
        <v>427</v>
      </c>
      <c r="D2014" t="s">
        <v>455</v>
      </c>
      <c r="E2014" t="s">
        <v>428</v>
      </c>
      <c r="F2014" t="s">
        <v>424</v>
      </c>
      <c r="G2014" t="s">
        <v>429</v>
      </c>
      <c r="H2014" t="s">
        <v>426</v>
      </c>
      <c r="I2014" t="s">
        <v>430</v>
      </c>
      <c r="J2014" t="s">
        <v>425</v>
      </c>
      <c r="N2014">
        <v>0</v>
      </c>
    </row>
    <row r="2015" spans="1:14" ht="15" customHeight="1" x14ac:dyDescent="0.25">
      <c r="A2015" s="82">
        <v>44290</v>
      </c>
      <c r="B2015" t="s">
        <v>421</v>
      </c>
      <c r="C2015" t="s">
        <v>455</v>
      </c>
      <c r="D2015" t="s">
        <v>427</v>
      </c>
      <c r="E2015" t="s">
        <v>428</v>
      </c>
      <c r="F2015" t="s">
        <v>424</v>
      </c>
      <c r="G2015" t="s">
        <v>429</v>
      </c>
      <c r="H2015" t="s">
        <v>426</v>
      </c>
      <c r="I2015" t="s">
        <v>430</v>
      </c>
      <c r="J2015" t="s">
        <v>425</v>
      </c>
      <c r="N2015">
        <v>0</v>
      </c>
    </row>
    <row r="2016" spans="1:14" ht="15" customHeight="1" x14ac:dyDescent="0.25">
      <c r="A2016" s="82">
        <v>44291</v>
      </c>
      <c r="B2016" t="s">
        <v>427</v>
      </c>
      <c r="C2016" t="s">
        <v>421</v>
      </c>
      <c r="D2016" t="s">
        <v>455</v>
      </c>
      <c r="E2016" t="s">
        <v>428</v>
      </c>
      <c r="F2016" t="s">
        <v>424</v>
      </c>
      <c r="G2016" t="s">
        <v>429</v>
      </c>
      <c r="H2016" t="s">
        <v>426</v>
      </c>
      <c r="I2016" t="s">
        <v>430</v>
      </c>
      <c r="J2016" t="s">
        <v>425</v>
      </c>
      <c r="N2016">
        <v>0</v>
      </c>
    </row>
    <row r="2017" spans="1:14" ht="15" customHeight="1" x14ac:dyDescent="0.25">
      <c r="A2017" s="82">
        <v>44292</v>
      </c>
      <c r="B2017" t="s">
        <v>455</v>
      </c>
      <c r="C2017" t="s">
        <v>427</v>
      </c>
      <c r="D2017" t="s">
        <v>421</v>
      </c>
      <c r="E2017" t="s">
        <v>428</v>
      </c>
      <c r="F2017" t="s">
        <v>424</v>
      </c>
      <c r="G2017" t="s">
        <v>429</v>
      </c>
      <c r="H2017" t="s">
        <v>426</v>
      </c>
      <c r="I2017" t="s">
        <v>430</v>
      </c>
      <c r="J2017" t="s">
        <v>425</v>
      </c>
      <c r="N2017">
        <v>0</v>
      </c>
    </row>
    <row r="2018" spans="1:14" ht="15" customHeight="1" x14ac:dyDescent="0.25">
      <c r="A2018" s="82">
        <v>44293</v>
      </c>
      <c r="B2018" t="s">
        <v>427</v>
      </c>
      <c r="C2018" t="s">
        <v>455</v>
      </c>
      <c r="D2018" t="s">
        <v>421</v>
      </c>
      <c r="E2018" t="s">
        <v>428</v>
      </c>
      <c r="F2018" t="s">
        <v>424</v>
      </c>
      <c r="G2018" t="s">
        <v>429</v>
      </c>
      <c r="H2018" t="s">
        <v>426</v>
      </c>
      <c r="I2018" t="s">
        <v>430</v>
      </c>
      <c r="J2018" t="s">
        <v>425</v>
      </c>
      <c r="N2018">
        <v>0</v>
      </c>
    </row>
    <row r="2019" spans="1:14" ht="15" customHeight="1" x14ac:dyDescent="0.25">
      <c r="A2019" s="82">
        <v>44294</v>
      </c>
      <c r="B2019" t="s">
        <v>455</v>
      </c>
      <c r="C2019" t="s">
        <v>421</v>
      </c>
      <c r="D2019" t="s">
        <v>427</v>
      </c>
      <c r="E2019" t="s">
        <v>428</v>
      </c>
      <c r="F2019" t="s">
        <v>424</v>
      </c>
      <c r="G2019" t="s">
        <v>429</v>
      </c>
      <c r="H2019" t="s">
        <v>426</v>
      </c>
      <c r="I2019" t="s">
        <v>430</v>
      </c>
      <c r="J2019" t="s">
        <v>425</v>
      </c>
      <c r="N2019">
        <v>0</v>
      </c>
    </row>
    <row r="2020" spans="1:14" ht="15" customHeight="1" x14ac:dyDescent="0.25">
      <c r="A2020" s="82">
        <v>44295</v>
      </c>
      <c r="B2020" t="s">
        <v>424</v>
      </c>
      <c r="C2020" t="s">
        <v>429</v>
      </c>
      <c r="D2020" t="s">
        <v>455</v>
      </c>
      <c r="E2020" t="s">
        <v>425</v>
      </c>
      <c r="F2020" t="s">
        <v>424</v>
      </c>
      <c r="G2020" t="s">
        <v>426</v>
      </c>
      <c r="H2020" t="s">
        <v>427</v>
      </c>
      <c r="I2020" t="s">
        <v>421</v>
      </c>
      <c r="J2020" t="s">
        <v>425</v>
      </c>
      <c r="N2020">
        <v>0</v>
      </c>
    </row>
    <row r="2021" spans="1:14" ht="15" customHeight="1" x14ac:dyDescent="0.25">
      <c r="A2021" s="82">
        <v>44296</v>
      </c>
      <c r="B2021" t="s">
        <v>424</v>
      </c>
      <c r="C2021" t="s">
        <v>429</v>
      </c>
      <c r="D2021" t="s">
        <v>428</v>
      </c>
      <c r="E2021" t="s">
        <v>425</v>
      </c>
      <c r="F2021" t="s">
        <v>430</v>
      </c>
      <c r="G2021" t="s">
        <v>426</v>
      </c>
      <c r="H2021" t="s">
        <v>455</v>
      </c>
      <c r="I2021" t="s">
        <v>427</v>
      </c>
      <c r="J2021" t="s">
        <v>421</v>
      </c>
      <c r="N2021">
        <v>0</v>
      </c>
    </row>
    <row r="2022" spans="1:14" ht="15" customHeight="1" x14ac:dyDescent="0.25">
      <c r="A2022" s="82">
        <v>44297</v>
      </c>
      <c r="B2022" t="s">
        <v>424</v>
      </c>
      <c r="C2022" t="s">
        <v>429</v>
      </c>
      <c r="D2022" t="s">
        <v>428</v>
      </c>
      <c r="E2022" t="s">
        <v>425</v>
      </c>
      <c r="F2022" t="s">
        <v>430</v>
      </c>
      <c r="G2022" t="s">
        <v>426</v>
      </c>
      <c r="H2022" t="s">
        <v>427</v>
      </c>
      <c r="I2022" t="s">
        <v>455</v>
      </c>
      <c r="J2022" t="s">
        <v>421</v>
      </c>
      <c r="N2022">
        <v>0</v>
      </c>
    </row>
    <row r="2023" spans="1:14" ht="15" customHeight="1" x14ac:dyDescent="0.25">
      <c r="A2023" s="82">
        <v>44298</v>
      </c>
      <c r="B2023" t="s">
        <v>424</v>
      </c>
      <c r="C2023" t="s">
        <v>429</v>
      </c>
      <c r="D2023" t="s">
        <v>428</v>
      </c>
      <c r="E2023" t="s">
        <v>425</v>
      </c>
      <c r="F2023" t="s">
        <v>430</v>
      </c>
      <c r="G2023" t="s">
        <v>426</v>
      </c>
      <c r="H2023" t="s">
        <v>455</v>
      </c>
      <c r="I2023" t="s">
        <v>421</v>
      </c>
      <c r="J2023" t="s">
        <v>427</v>
      </c>
      <c r="N2023">
        <v>0</v>
      </c>
    </row>
    <row r="2024" spans="1:14" ht="15" customHeight="1" x14ac:dyDescent="0.25">
      <c r="A2024" s="82">
        <v>44299</v>
      </c>
      <c r="B2024" t="s">
        <v>424</v>
      </c>
      <c r="C2024" t="s">
        <v>429</v>
      </c>
      <c r="D2024" t="s">
        <v>428</v>
      </c>
      <c r="E2024" t="s">
        <v>425</v>
      </c>
      <c r="F2024" t="s">
        <v>430</v>
      </c>
      <c r="G2024" t="s">
        <v>426</v>
      </c>
      <c r="H2024" t="s">
        <v>421</v>
      </c>
      <c r="I2024" t="s">
        <v>427</v>
      </c>
      <c r="J2024" t="s">
        <v>455</v>
      </c>
      <c r="N2024">
        <v>0</v>
      </c>
    </row>
    <row r="2025" spans="1:14" ht="15" customHeight="1" x14ac:dyDescent="0.25">
      <c r="A2025" s="82">
        <v>44300</v>
      </c>
      <c r="B2025" t="s">
        <v>424</v>
      </c>
      <c r="C2025" t="s">
        <v>429</v>
      </c>
      <c r="D2025" t="s">
        <v>428</v>
      </c>
      <c r="E2025" t="s">
        <v>425</v>
      </c>
      <c r="F2025" t="s">
        <v>430</v>
      </c>
      <c r="G2025" t="s">
        <v>426</v>
      </c>
      <c r="H2025" t="s">
        <v>421</v>
      </c>
      <c r="I2025" t="s">
        <v>455</v>
      </c>
      <c r="J2025" t="s">
        <v>427</v>
      </c>
      <c r="N2025">
        <v>0</v>
      </c>
    </row>
    <row r="2026" spans="1:14" ht="15" customHeight="1" x14ac:dyDescent="0.25">
      <c r="A2026" s="82">
        <v>44301</v>
      </c>
      <c r="B2026" t="s">
        <v>424</v>
      </c>
      <c r="C2026" t="s">
        <v>429</v>
      </c>
      <c r="D2026" t="s">
        <v>428</v>
      </c>
      <c r="E2026" t="s">
        <v>425</v>
      </c>
      <c r="F2026" t="s">
        <v>430</v>
      </c>
      <c r="G2026" t="s">
        <v>426</v>
      </c>
      <c r="H2026" t="s">
        <v>427</v>
      </c>
      <c r="I2026" t="s">
        <v>421</v>
      </c>
      <c r="J2026" t="s">
        <v>455</v>
      </c>
      <c r="N2026">
        <v>0</v>
      </c>
    </row>
    <row r="2027" spans="1:14" ht="15" customHeight="1" x14ac:dyDescent="0.25">
      <c r="A2027" s="82">
        <v>44302</v>
      </c>
      <c r="B2027" t="s">
        <v>424</v>
      </c>
      <c r="C2027" t="s">
        <v>426</v>
      </c>
      <c r="D2027" t="s">
        <v>425</v>
      </c>
      <c r="E2027" t="s">
        <v>425</v>
      </c>
      <c r="F2027" t="s">
        <v>421</v>
      </c>
      <c r="G2027" t="s">
        <v>427</v>
      </c>
      <c r="H2027" t="s">
        <v>455</v>
      </c>
      <c r="I2027" t="s">
        <v>429</v>
      </c>
      <c r="J2027" t="s">
        <v>424</v>
      </c>
      <c r="N2027">
        <v>0</v>
      </c>
    </row>
    <row r="2028" spans="1:14" ht="15" customHeight="1" x14ac:dyDescent="0.25">
      <c r="A2028" s="82">
        <v>44303</v>
      </c>
      <c r="B2028" t="s">
        <v>430</v>
      </c>
      <c r="C2028" t="s">
        <v>426</v>
      </c>
      <c r="D2028" t="s">
        <v>425</v>
      </c>
      <c r="E2028" t="s">
        <v>421</v>
      </c>
      <c r="F2028" t="s">
        <v>427</v>
      </c>
      <c r="G2028" t="s">
        <v>455</v>
      </c>
      <c r="H2028" t="s">
        <v>428</v>
      </c>
      <c r="I2028" t="s">
        <v>429</v>
      </c>
      <c r="J2028" t="s">
        <v>424</v>
      </c>
      <c r="N2028">
        <v>0</v>
      </c>
    </row>
    <row r="2029" spans="1:14" ht="15" customHeight="1" x14ac:dyDescent="0.25">
      <c r="A2029" s="82">
        <v>44304</v>
      </c>
      <c r="B2029" t="s">
        <v>430</v>
      </c>
      <c r="C2029" t="s">
        <v>426</v>
      </c>
      <c r="D2029" t="s">
        <v>425</v>
      </c>
      <c r="E2029" t="s">
        <v>421</v>
      </c>
      <c r="F2029" t="s">
        <v>455</v>
      </c>
      <c r="G2029" t="s">
        <v>427</v>
      </c>
      <c r="H2029" t="s">
        <v>428</v>
      </c>
      <c r="I2029" t="s">
        <v>429</v>
      </c>
      <c r="J2029" t="s">
        <v>424</v>
      </c>
      <c r="N2029">
        <v>0</v>
      </c>
    </row>
    <row r="2030" spans="1:14" ht="15" customHeight="1" x14ac:dyDescent="0.25">
      <c r="A2030" s="82">
        <v>44305</v>
      </c>
      <c r="B2030" t="s">
        <v>430</v>
      </c>
      <c r="C2030" t="s">
        <v>426</v>
      </c>
      <c r="D2030" t="s">
        <v>425</v>
      </c>
      <c r="E2030" t="s">
        <v>427</v>
      </c>
      <c r="F2030" t="s">
        <v>421</v>
      </c>
      <c r="G2030" t="s">
        <v>455</v>
      </c>
      <c r="H2030" t="s">
        <v>428</v>
      </c>
      <c r="I2030" t="s">
        <v>429</v>
      </c>
      <c r="J2030" t="s">
        <v>424</v>
      </c>
      <c r="N2030">
        <v>0</v>
      </c>
    </row>
    <row r="2031" spans="1:14" ht="15" customHeight="1" x14ac:dyDescent="0.25">
      <c r="A2031" s="82">
        <v>44306</v>
      </c>
      <c r="B2031" t="s">
        <v>430</v>
      </c>
      <c r="C2031" t="s">
        <v>426</v>
      </c>
      <c r="D2031" t="s">
        <v>425</v>
      </c>
      <c r="E2031" t="s">
        <v>455</v>
      </c>
      <c r="F2031" t="s">
        <v>427</v>
      </c>
      <c r="G2031" t="s">
        <v>421</v>
      </c>
      <c r="H2031" t="s">
        <v>428</v>
      </c>
      <c r="I2031" t="s">
        <v>429</v>
      </c>
      <c r="J2031" t="s">
        <v>424</v>
      </c>
      <c r="N2031">
        <v>0</v>
      </c>
    </row>
    <row r="2032" spans="1:14" ht="15" customHeight="1" x14ac:dyDescent="0.25">
      <c r="A2032" s="82">
        <v>44307</v>
      </c>
      <c r="B2032" t="s">
        <v>430</v>
      </c>
      <c r="C2032" t="s">
        <v>426</v>
      </c>
      <c r="D2032" t="s">
        <v>425</v>
      </c>
      <c r="E2032" t="s">
        <v>427</v>
      </c>
      <c r="F2032" t="s">
        <v>455</v>
      </c>
      <c r="G2032" t="s">
        <v>421</v>
      </c>
      <c r="H2032" t="s">
        <v>428</v>
      </c>
      <c r="I2032" t="s">
        <v>429</v>
      </c>
      <c r="J2032" t="s">
        <v>424</v>
      </c>
      <c r="N2032">
        <v>0</v>
      </c>
    </row>
    <row r="2033" spans="1:14" ht="15" customHeight="1" x14ac:dyDescent="0.25">
      <c r="A2033" s="82">
        <v>44308</v>
      </c>
      <c r="B2033" t="s">
        <v>430</v>
      </c>
      <c r="C2033" t="s">
        <v>426</v>
      </c>
      <c r="D2033" t="s">
        <v>425</v>
      </c>
      <c r="E2033" t="s">
        <v>455</v>
      </c>
      <c r="F2033" t="s">
        <v>421</v>
      </c>
      <c r="G2033" t="s">
        <v>427</v>
      </c>
      <c r="H2033" t="s">
        <v>428</v>
      </c>
      <c r="I2033" t="s">
        <v>429</v>
      </c>
      <c r="J2033" t="s">
        <v>424</v>
      </c>
      <c r="N2033">
        <v>0</v>
      </c>
    </row>
    <row r="2034" spans="1:14" ht="15" customHeight="1" x14ac:dyDescent="0.25">
      <c r="A2034" s="82">
        <v>44309</v>
      </c>
      <c r="B2034" t="s">
        <v>421</v>
      </c>
      <c r="C2034" t="s">
        <v>427</v>
      </c>
      <c r="D2034" t="s">
        <v>425</v>
      </c>
      <c r="E2034" t="s">
        <v>424</v>
      </c>
      <c r="F2034" t="s">
        <v>429</v>
      </c>
      <c r="G2034" t="s">
        <v>455</v>
      </c>
      <c r="H2034" t="s">
        <v>425</v>
      </c>
      <c r="I2034" t="s">
        <v>426</v>
      </c>
      <c r="J2034" t="s">
        <v>424</v>
      </c>
      <c r="N2034">
        <v>0</v>
      </c>
    </row>
    <row r="2035" spans="1:14" ht="15" customHeight="1" x14ac:dyDescent="0.25">
      <c r="A2035" s="82">
        <v>44310</v>
      </c>
      <c r="B2035" t="s">
        <v>427</v>
      </c>
      <c r="C2035" t="s">
        <v>455</v>
      </c>
      <c r="D2035" t="s">
        <v>421</v>
      </c>
      <c r="E2035" t="s">
        <v>424</v>
      </c>
      <c r="F2035" t="s">
        <v>429</v>
      </c>
      <c r="G2035" t="s">
        <v>428</v>
      </c>
      <c r="H2035" t="s">
        <v>425</v>
      </c>
      <c r="I2035" t="s">
        <v>426</v>
      </c>
      <c r="J2035" t="s">
        <v>430</v>
      </c>
      <c r="N2035">
        <v>0</v>
      </c>
    </row>
    <row r="2036" spans="1:14" ht="15" customHeight="1" x14ac:dyDescent="0.25">
      <c r="A2036" s="82">
        <v>44311</v>
      </c>
      <c r="B2036" t="s">
        <v>455</v>
      </c>
      <c r="C2036" t="s">
        <v>427</v>
      </c>
      <c r="D2036" t="s">
        <v>421</v>
      </c>
      <c r="E2036" t="s">
        <v>424</v>
      </c>
      <c r="F2036" t="s">
        <v>429</v>
      </c>
      <c r="G2036" t="s">
        <v>428</v>
      </c>
      <c r="H2036" t="s">
        <v>425</v>
      </c>
      <c r="I2036" t="s">
        <v>426</v>
      </c>
      <c r="J2036" t="s">
        <v>430</v>
      </c>
      <c r="N2036">
        <v>0</v>
      </c>
    </row>
    <row r="2037" spans="1:14" ht="15" customHeight="1" x14ac:dyDescent="0.25">
      <c r="A2037" s="82">
        <v>44312</v>
      </c>
      <c r="B2037" t="s">
        <v>421</v>
      </c>
      <c r="C2037" t="s">
        <v>455</v>
      </c>
      <c r="D2037" t="s">
        <v>427</v>
      </c>
      <c r="E2037" t="s">
        <v>424</v>
      </c>
      <c r="F2037" t="s">
        <v>429</v>
      </c>
      <c r="G2037" t="s">
        <v>428</v>
      </c>
      <c r="H2037" t="s">
        <v>425</v>
      </c>
      <c r="I2037" t="s">
        <v>426</v>
      </c>
      <c r="J2037" t="s">
        <v>430</v>
      </c>
      <c r="N2037">
        <v>0</v>
      </c>
    </row>
    <row r="2038" spans="1:14" ht="15" customHeight="1" x14ac:dyDescent="0.25">
      <c r="A2038" s="82">
        <v>44313</v>
      </c>
      <c r="B2038" t="s">
        <v>427</v>
      </c>
      <c r="C2038" t="s">
        <v>421</v>
      </c>
      <c r="D2038" t="s">
        <v>455</v>
      </c>
      <c r="E2038" t="s">
        <v>424</v>
      </c>
      <c r="F2038" t="s">
        <v>429</v>
      </c>
      <c r="G2038" t="s">
        <v>428</v>
      </c>
      <c r="H2038" t="s">
        <v>425</v>
      </c>
      <c r="I2038" t="s">
        <v>426</v>
      </c>
      <c r="J2038" t="s">
        <v>430</v>
      </c>
      <c r="N2038">
        <v>0</v>
      </c>
    </row>
    <row r="2039" spans="1:14" ht="15" customHeight="1" x14ac:dyDescent="0.25">
      <c r="A2039" s="82">
        <v>44314</v>
      </c>
      <c r="B2039" t="s">
        <v>455</v>
      </c>
      <c r="C2039" t="s">
        <v>421</v>
      </c>
      <c r="D2039" t="s">
        <v>427</v>
      </c>
      <c r="E2039" t="s">
        <v>424</v>
      </c>
      <c r="F2039" t="s">
        <v>429</v>
      </c>
      <c r="G2039" t="s">
        <v>428</v>
      </c>
      <c r="H2039" t="s">
        <v>425</v>
      </c>
      <c r="I2039" t="s">
        <v>426</v>
      </c>
      <c r="J2039" t="s">
        <v>430</v>
      </c>
      <c r="N2039">
        <v>0</v>
      </c>
    </row>
    <row r="2040" spans="1:14" ht="15" customHeight="1" x14ac:dyDescent="0.25">
      <c r="A2040" s="82">
        <v>44315</v>
      </c>
      <c r="B2040" t="s">
        <v>421</v>
      </c>
      <c r="C2040" t="s">
        <v>427</v>
      </c>
      <c r="D2040" t="s">
        <v>455</v>
      </c>
      <c r="E2040" t="s">
        <v>424</v>
      </c>
      <c r="F2040" t="s">
        <v>429</v>
      </c>
      <c r="G2040" t="s">
        <v>428</v>
      </c>
      <c r="H2040" t="s">
        <v>425</v>
      </c>
      <c r="I2040" t="s">
        <v>426</v>
      </c>
      <c r="J2040" t="s">
        <v>430</v>
      </c>
      <c r="N2040">
        <v>0</v>
      </c>
    </row>
    <row r="2041" spans="1:14" ht="15" customHeight="1" x14ac:dyDescent="0.25">
      <c r="A2041" s="82">
        <v>44316</v>
      </c>
      <c r="B2041" t="s">
        <v>429</v>
      </c>
      <c r="C2041" t="s">
        <v>455</v>
      </c>
      <c r="D2041" t="s">
        <v>424</v>
      </c>
      <c r="E2041" t="s">
        <v>424</v>
      </c>
      <c r="F2041" t="s">
        <v>426</v>
      </c>
      <c r="G2041" t="s">
        <v>425</v>
      </c>
      <c r="H2041" t="s">
        <v>425</v>
      </c>
      <c r="I2041" t="s">
        <v>427</v>
      </c>
      <c r="J2041" t="s">
        <v>421</v>
      </c>
      <c r="N2041">
        <v>0</v>
      </c>
    </row>
    <row r="2042" spans="1:14" ht="15" customHeight="1" x14ac:dyDescent="0.25">
      <c r="A2042" s="82">
        <v>44317</v>
      </c>
      <c r="B2042" t="s">
        <v>429</v>
      </c>
      <c r="C2042" t="s">
        <v>428</v>
      </c>
      <c r="D2042" t="s">
        <v>424</v>
      </c>
      <c r="E2042" t="s">
        <v>430</v>
      </c>
      <c r="F2042" t="s">
        <v>426</v>
      </c>
      <c r="G2042" t="s">
        <v>425</v>
      </c>
      <c r="H2042" t="s">
        <v>421</v>
      </c>
      <c r="I2042" t="s">
        <v>455</v>
      </c>
      <c r="J2042" t="s">
        <v>427</v>
      </c>
      <c r="N2042">
        <v>0</v>
      </c>
    </row>
    <row r="2043" spans="1:14" ht="15" customHeight="1" x14ac:dyDescent="0.25">
      <c r="A2043" s="82">
        <v>44318</v>
      </c>
      <c r="B2043" t="s">
        <v>429</v>
      </c>
      <c r="C2043" t="s">
        <v>428</v>
      </c>
      <c r="D2043" t="s">
        <v>424</v>
      </c>
      <c r="E2043" t="s">
        <v>430</v>
      </c>
      <c r="F2043" t="s">
        <v>426</v>
      </c>
      <c r="G2043" t="s">
        <v>425</v>
      </c>
      <c r="H2043" t="s">
        <v>421</v>
      </c>
      <c r="I2043" t="s">
        <v>427</v>
      </c>
      <c r="J2043" t="s">
        <v>455</v>
      </c>
      <c r="N2043">
        <v>0</v>
      </c>
    </row>
    <row r="2044" spans="1:14" ht="15" customHeight="1" x14ac:dyDescent="0.25">
      <c r="A2044" s="82">
        <v>44319</v>
      </c>
      <c r="B2044" t="s">
        <v>429</v>
      </c>
      <c r="C2044" t="s">
        <v>428</v>
      </c>
      <c r="D2044" t="s">
        <v>424</v>
      </c>
      <c r="E2044" t="s">
        <v>430</v>
      </c>
      <c r="F2044" t="s">
        <v>426</v>
      </c>
      <c r="G2044" t="s">
        <v>425</v>
      </c>
      <c r="H2044" t="s">
        <v>427</v>
      </c>
      <c r="I2044" t="s">
        <v>455</v>
      </c>
      <c r="J2044" t="s">
        <v>421</v>
      </c>
      <c r="N2044">
        <v>0</v>
      </c>
    </row>
    <row r="2045" spans="1:14" ht="15" customHeight="1" x14ac:dyDescent="0.25">
      <c r="A2045" s="82">
        <v>44320</v>
      </c>
      <c r="B2045" t="s">
        <v>429</v>
      </c>
      <c r="C2045" t="s">
        <v>428</v>
      </c>
      <c r="D2045" t="s">
        <v>424</v>
      </c>
      <c r="E2045" t="s">
        <v>430</v>
      </c>
      <c r="F2045" t="s">
        <v>426</v>
      </c>
      <c r="G2045" t="s">
        <v>425</v>
      </c>
      <c r="H2045" t="s">
        <v>455</v>
      </c>
      <c r="I2045" t="s">
        <v>421</v>
      </c>
      <c r="J2045" t="s">
        <v>427</v>
      </c>
      <c r="N2045">
        <v>0</v>
      </c>
    </row>
    <row r="2046" spans="1:14" ht="15" customHeight="1" x14ac:dyDescent="0.25">
      <c r="A2046" s="82">
        <v>44321</v>
      </c>
      <c r="B2046" t="s">
        <v>429</v>
      </c>
      <c r="C2046" t="s">
        <v>428</v>
      </c>
      <c r="D2046" t="s">
        <v>424</v>
      </c>
      <c r="E2046" t="s">
        <v>430</v>
      </c>
      <c r="F2046" t="s">
        <v>426</v>
      </c>
      <c r="G2046" t="s">
        <v>425</v>
      </c>
      <c r="H2046" t="s">
        <v>427</v>
      </c>
      <c r="I2046" t="s">
        <v>421</v>
      </c>
      <c r="J2046" t="s">
        <v>455</v>
      </c>
      <c r="N2046">
        <v>0</v>
      </c>
    </row>
    <row r="2047" spans="1:14" ht="15" customHeight="1" x14ac:dyDescent="0.25">
      <c r="A2047" s="82">
        <v>44322</v>
      </c>
      <c r="B2047" t="s">
        <v>429</v>
      </c>
      <c r="C2047" t="s">
        <v>428</v>
      </c>
      <c r="D2047" t="s">
        <v>424</v>
      </c>
      <c r="E2047" t="s">
        <v>430</v>
      </c>
      <c r="F2047" t="s">
        <v>426</v>
      </c>
      <c r="G2047" t="s">
        <v>425</v>
      </c>
      <c r="H2047" t="s">
        <v>455</v>
      </c>
      <c r="I2047" t="s">
        <v>427</v>
      </c>
      <c r="J2047" t="s">
        <v>421</v>
      </c>
      <c r="N2047">
        <v>0</v>
      </c>
    </row>
    <row r="2048" spans="1:14" ht="15" customHeight="1" x14ac:dyDescent="0.25">
      <c r="A2048" s="82">
        <v>44323</v>
      </c>
      <c r="B2048" t="s">
        <v>426</v>
      </c>
      <c r="C2048" t="s">
        <v>425</v>
      </c>
      <c r="D2048" t="s">
        <v>424</v>
      </c>
      <c r="E2048" t="s">
        <v>421</v>
      </c>
      <c r="F2048" t="s">
        <v>427</v>
      </c>
      <c r="G2048" t="s">
        <v>425</v>
      </c>
      <c r="H2048" t="s">
        <v>424</v>
      </c>
      <c r="I2048" t="s">
        <v>455</v>
      </c>
      <c r="J2048" t="s">
        <v>429</v>
      </c>
      <c r="N2048">
        <v>0</v>
      </c>
    </row>
    <row r="2049" spans="1:14" ht="15" customHeight="1" x14ac:dyDescent="0.25">
      <c r="A2049" s="82">
        <v>44324</v>
      </c>
      <c r="B2049" t="s">
        <v>426</v>
      </c>
      <c r="C2049" t="s">
        <v>425</v>
      </c>
      <c r="D2049" t="s">
        <v>430</v>
      </c>
      <c r="E2049" t="s">
        <v>427</v>
      </c>
      <c r="F2049" t="s">
        <v>455</v>
      </c>
      <c r="G2049" t="s">
        <v>421</v>
      </c>
      <c r="H2049" t="s">
        <v>424</v>
      </c>
      <c r="I2049" t="s">
        <v>428</v>
      </c>
      <c r="J2049" t="s">
        <v>429</v>
      </c>
      <c r="N2049">
        <v>0</v>
      </c>
    </row>
    <row r="2050" spans="1:14" ht="15" customHeight="1" x14ac:dyDescent="0.25">
      <c r="A2050" s="82">
        <v>44325</v>
      </c>
      <c r="B2050" t="s">
        <v>426</v>
      </c>
      <c r="C2050" t="s">
        <v>425</v>
      </c>
      <c r="D2050" t="s">
        <v>430</v>
      </c>
      <c r="E2050" t="s">
        <v>455</v>
      </c>
      <c r="F2050" t="s">
        <v>427</v>
      </c>
      <c r="G2050" t="s">
        <v>421</v>
      </c>
      <c r="H2050" t="s">
        <v>424</v>
      </c>
      <c r="I2050" t="s">
        <v>428</v>
      </c>
      <c r="J2050" t="s">
        <v>429</v>
      </c>
      <c r="N2050">
        <v>0</v>
      </c>
    </row>
    <row r="2051" spans="1:14" ht="15" customHeight="1" x14ac:dyDescent="0.25">
      <c r="A2051" s="82">
        <v>44326</v>
      </c>
      <c r="B2051" t="s">
        <v>426</v>
      </c>
      <c r="C2051" t="s">
        <v>425</v>
      </c>
      <c r="D2051" t="s">
        <v>430</v>
      </c>
      <c r="E2051" t="s">
        <v>421</v>
      </c>
      <c r="F2051" t="s">
        <v>455</v>
      </c>
      <c r="G2051" t="s">
        <v>427</v>
      </c>
      <c r="H2051" t="s">
        <v>424</v>
      </c>
      <c r="I2051" t="s">
        <v>428</v>
      </c>
      <c r="J2051" t="s">
        <v>429</v>
      </c>
      <c r="N2051">
        <v>0</v>
      </c>
    </row>
    <row r="2052" spans="1:14" ht="15" customHeight="1" x14ac:dyDescent="0.25">
      <c r="A2052" s="82">
        <v>44327</v>
      </c>
      <c r="B2052" t="s">
        <v>426</v>
      </c>
      <c r="C2052" t="s">
        <v>425</v>
      </c>
      <c r="D2052" t="s">
        <v>430</v>
      </c>
      <c r="E2052" t="s">
        <v>427</v>
      </c>
      <c r="F2052" t="s">
        <v>421</v>
      </c>
      <c r="G2052" t="s">
        <v>455</v>
      </c>
      <c r="H2052" t="s">
        <v>424</v>
      </c>
      <c r="I2052" t="s">
        <v>428</v>
      </c>
      <c r="J2052" t="s">
        <v>429</v>
      </c>
      <c r="N2052">
        <v>0</v>
      </c>
    </row>
    <row r="2053" spans="1:14" ht="15" customHeight="1" x14ac:dyDescent="0.25">
      <c r="A2053" s="82">
        <v>44328</v>
      </c>
      <c r="B2053" t="s">
        <v>426</v>
      </c>
      <c r="C2053" t="s">
        <v>425</v>
      </c>
      <c r="D2053" t="s">
        <v>430</v>
      </c>
      <c r="E2053" t="s">
        <v>455</v>
      </c>
      <c r="F2053" t="s">
        <v>421</v>
      </c>
      <c r="G2053" t="s">
        <v>427</v>
      </c>
      <c r="H2053" t="s">
        <v>424</v>
      </c>
      <c r="I2053" t="s">
        <v>428</v>
      </c>
      <c r="J2053" t="s">
        <v>429</v>
      </c>
      <c r="N2053">
        <v>0</v>
      </c>
    </row>
    <row r="2054" spans="1:14" ht="15" customHeight="1" x14ac:dyDescent="0.25">
      <c r="A2054" s="82">
        <v>44329</v>
      </c>
      <c r="B2054" t="s">
        <v>426</v>
      </c>
      <c r="C2054" t="s">
        <v>425</v>
      </c>
      <c r="D2054" t="s">
        <v>430</v>
      </c>
      <c r="E2054" t="s">
        <v>421</v>
      </c>
      <c r="F2054" t="s">
        <v>427</v>
      </c>
      <c r="G2054" t="s">
        <v>455</v>
      </c>
      <c r="H2054" t="s">
        <v>424</v>
      </c>
      <c r="I2054" t="s">
        <v>428</v>
      </c>
      <c r="J2054" t="s">
        <v>429</v>
      </c>
      <c r="N2054">
        <v>0</v>
      </c>
    </row>
    <row r="2055" spans="1:14" ht="15" customHeight="1" x14ac:dyDescent="0.25">
      <c r="A2055" s="82">
        <v>44330</v>
      </c>
      <c r="B2055" t="s">
        <v>427</v>
      </c>
      <c r="C2055" t="s">
        <v>425</v>
      </c>
      <c r="D2055" t="s">
        <v>421</v>
      </c>
      <c r="E2055" t="s">
        <v>429</v>
      </c>
      <c r="F2055" t="s">
        <v>455</v>
      </c>
      <c r="G2055" t="s">
        <v>424</v>
      </c>
      <c r="H2055" t="s">
        <v>424</v>
      </c>
      <c r="I2055" t="s">
        <v>425</v>
      </c>
      <c r="J2055" t="s">
        <v>426</v>
      </c>
      <c r="N2055">
        <v>0</v>
      </c>
    </row>
    <row r="2056" spans="1:14" ht="15" customHeight="1" x14ac:dyDescent="0.25">
      <c r="A2056" s="82">
        <v>44331</v>
      </c>
      <c r="B2056" t="s">
        <v>455</v>
      </c>
      <c r="C2056" t="s">
        <v>421</v>
      </c>
      <c r="D2056" t="s">
        <v>427</v>
      </c>
      <c r="E2056" t="s">
        <v>429</v>
      </c>
      <c r="F2056" t="s">
        <v>428</v>
      </c>
      <c r="G2056" t="s">
        <v>424</v>
      </c>
      <c r="H2056" t="s">
        <v>430</v>
      </c>
      <c r="I2056" t="s">
        <v>425</v>
      </c>
      <c r="J2056" t="s">
        <v>426</v>
      </c>
      <c r="N2056">
        <v>0</v>
      </c>
    </row>
    <row r="2057" spans="1:14" ht="15" customHeight="1" x14ac:dyDescent="0.25">
      <c r="A2057" s="82">
        <v>44332</v>
      </c>
      <c r="B2057" t="s">
        <v>427</v>
      </c>
      <c r="C2057" t="s">
        <v>421</v>
      </c>
      <c r="D2057" t="s">
        <v>455</v>
      </c>
      <c r="E2057" t="s">
        <v>429</v>
      </c>
      <c r="F2057" t="s">
        <v>428</v>
      </c>
      <c r="G2057" t="s">
        <v>424</v>
      </c>
      <c r="H2057" t="s">
        <v>430</v>
      </c>
      <c r="I2057" t="s">
        <v>425</v>
      </c>
      <c r="J2057" t="s">
        <v>426</v>
      </c>
      <c r="N2057">
        <v>0</v>
      </c>
    </row>
    <row r="2058" spans="1:14" ht="15" customHeight="1" x14ac:dyDescent="0.25">
      <c r="A2058" s="82">
        <v>44333</v>
      </c>
      <c r="B2058" t="s">
        <v>455</v>
      </c>
      <c r="C2058" t="s">
        <v>427</v>
      </c>
      <c r="D2058" t="s">
        <v>421</v>
      </c>
      <c r="E2058" t="s">
        <v>429</v>
      </c>
      <c r="F2058" t="s">
        <v>428</v>
      </c>
      <c r="G2058" t="s">
        <v>424</v>
      </c>
      <c r="H2058" t="s">
        <v>430</v>
      </c>
      <c r="I2058" t="s">
        <v>425</v>
      </c>
      <c r="J2058" t="s">
        <v>426</v>
      </c>
      <c r="N2058">
        <v>0</v>
      </c>
    </row>
    <row r="2059" spans="1:14" ht="15" customHeight="1" x14ac:dyDescent="0.25">
      <c r="A2059" s="82">
        <v>44334</v>
      </c>
      <c r="B2059" t="s">
        <v>421</v>
      </c>
      <c r="C2059" t="s">
        <v>455</v>
      </c>
      <c r="D2059" t="s">
        <v>427</v>
      </c>
      <c r="E2059" t="s">
        <v>429</v>
      </c>
      <c r="F2059" t="s">
        <v>428</v>
      </c>
      <c r="G2059" t="s">
        <v>424</v>
      </c>
      <c r="H2059" t="s">
        <v>430</v>
      </c>
      <c r="I2059" t="s">
        <v>425</v>
      </c>
      <c r="J2059" t="s">
        <v>426</v>
      </c>
      <c r="N2059">
        <v>0</v>
      </c>
    </row>
    <row r="2060" spans="1:14" ht="15" customHeight="1" x14ac:dyDescent="0.25">
      <c r="A2060" s="82">
        <v>44335</v>
      </c>
      <c r="B2060" t="s">
        <v>421</v>
      </c>
      <c r="C2060" t="s">
        <v>427</v>
      </c>
      <c r="D2060" t="s">
        <v>455</v>
      </c>
      <c r="E2060" t="s">
        <v>429</v>
      </c>
      <c r="F2060" t="s">
        <v>428</v>
      </c>
      <c r="G2060" t="s">
        <v>424</v>
      </c>
      <c r="H2060" t="s">
        <v>430</v>
      </c>
      <c r="I2060" t="s">
        <v>425</v>
      </c>
      <c r="J2060" t="s">
        <v>426</v>
      </c>
      <c r="N2060">
        <v>0</v>
      </c>
    </row>
    <row r="2061" spans="1:14" ht="15" customHeight="1" x14ac:dyDescent="0.25">
      <c r="A2061" s="82">
        <v>44336</v>
      </c>
      <c r="B2061" t="s">
        <v>427</v>
      </c>
      <c r="C2061" t="s">
        <v>455</v>
      </c>
      <c r="D2061" t="s">
        <v>421</v>
      </c>
      <c r="E2061" t="s">
        <v>429</v>
      </c>
      <c r="F2061" t="s">
        <v>428</v>
      </c>
      <c r="G2061" t="s">
        <v>424</v>
      </c>
      <c r="H2061" t="s">
        <v>430</v>
      </c>
      <c r="I2061" t="s">
        <v>425</v>
      </c>
      <c r="J2061" t="s">
        <v>426</v>
      </c>
      <c r="N2061">
        <v>0</v>
      </c>
    </row>
    <row r="2062" spans="1:14" ht="15" customHeight="1" x14ac:dyDescent="0.25">
      <c r="A2062" s="82">
        <v>44337</v>
      </c>
      <c r="B2062" t="s">
        <v>455</v>
      </c>
      <c r="C2062" t="s">
        <v>424</v>
      </c>
      <c r="D2062" t="s">
        <v>429</v>
      </c>
      <c r="E2062" t="s">
        <v>426</v>
      </c>
      <c r="F2062" t="s">
        <v>425</v>
      </c>
      <c r="G2062" t="s">
        <v>424</v>
      </c>
      <c r="H2062" t="s">
        <v>421</v>
      </c>
      <c r="I2062" t="s">
        <v>425</v>
      </c>
      <c r="J2062" t="s">
        <v>427</v>
      </c>
      <c r="N2062">
        <v>0</v>
      </c>
    </row>
    <row r="2063" spans="1:14" ht="15" customHeight="1" x14ac:dyDescent="0.25">
      <c r="A2063" s="82">
        <v>44338</v>
      </c>
      <c r="B2063" t="s">
        <v>428</v>
      </c>
      <c r="C2063" t="s">
        <v>424</v>
      </c>
      <c r="D2063" t="s">
        <v>429</v>
      </c>
      <c r="E2063" t="s">
        <v>426</v>
      </c>
      <c r="F2063" t="s">
        <v>425</v>
      </c>
      <c r="G2063" t="s">
        <v>430</v>
      </c>
      <c r="H2063" t="s">
        <v>427</v>
      </c>
      <c r="I2063" t="s">
        <v>421</v>
      </c>
      <c r="J2063" t="s">
        <v>455</v>
      </c>
      <c r="N2063">
        <v>0</v>
      </c>
    </row>
    <row r="2064" spans="1:14" ht="15" customHeight="1" x14ac:dyDescent="0.25">
      <c r="A2064" s="82">
        <v>44339</v>
      </c>
      <c r="B2064" t="s">
        <v>428</v>
      </c>
      <c r="C2064" t="s">
        <v>424</v>
      </c>
      <c r="D2064" t="s">
        <v>429</v>
      </c>
      <c r="E2064" t="s">
        <v>426</v>
      </c>
      <c r="F2064" t="s">
        <v>425</v>
      </c>
      <c r="G2064" t="s">
        <v>430</v>
      </c>
      <c r="H2064" t="s">
        <v>455</v>
      </c>
      <c r="I2064" t="s">
        <v>421</v>
      </c>
      <c r="J2064" t="s">
        <v>427</v>
      </c>
      <c r="N2064">
        <v>0</v>
      </c>
    </row>
    <row r="2065" spans="1:14" ht="15" customHeight="1" x14ac:dyDescent="0.25">
      <c r="A2065" s="82">
        <v>44340</v>
      </c>
      <c r="B2065" t="s">
        <v>428</v>
      </c>
      <c r="C2065" t="s">
        <v>424</v>
      </c>
      <c r="D2065" t="s">
        <v>429</v>
      </c>
      <c r="E2065" t="s">
        <v>426</v>
      </c>
      <c r="F2065" t="s">
        <v>425</v>
      </c>
      <c r="G2065" t="s">
        <v>430</v>
      </c>
      <c r="H2065" t="s">
        <v>421</v>
      </c>
      <c r="I2065" t="s">
        <v>427</v>
      </c>
      <c r="J2065" t="s">
        <v>455</v>
      </c>
      <c r="N2065">
        <v>0</v>
      </c>
    </row>
    <row r="2066" spans="1:14" ht="15" customHeight="1" x14ac:dyDescent="0.25">
      <c r="A2066" s="82">
        <v>44341</v>
      </c>
      <c r="B2066" t="s">
        <v>428</v>
      </c>
      <c r="C2066" t="s">
        <v>424</v>
      </c>
      <c r="D2066" t="s">
        <v>429</v>
      </c>
      <c r="E2066" t="s">
        <v>426</v>
      </c>
      <c r="F2066" t="s">
        <v>425</v>
      </c>
      <c r="G2066" t="s">
        <v>430</v>
      </c>
      <c r="H2066" t="s">
        <v>427</v>
      </c>
      <c r="I2066" t="s">
        <v>455</v>
      </c>
      <c r="J2066" t="s">
        <v>421</v>
      </c>
      <c r="N2066">
        <v>0</v>
      </c>
    </row>
    <row r="2067" spans="1:14" ht="15" customHeight="1" x14ac:dyDescent="0.25">
      <c r="A2067" s="82">
        <v>44342</v>
      </c>
      <c r="B2067" t="s">
        <v>428</v>
      </c>
      <c r="C2067" t="s">
        <v>424</v>
      </c>
      <c r="D2067" t="s">
        <v>429</v>
      </c>
      <c r="E2067" t="s">
        <v>426</v>
      </c>
      <c r="F2067" t="s">
        <v>425</v>
      </c>
      <c r="G2067" t="s">
        <v>430</v>
      </c>
      <c r="H2067" t="s">
        <v>455</v>
      </c>
      <c r="I2067" t="s">
        <v>427</v>
      </c>
      <c r="J2067" t="s">
        <v>421</v>
      </c>
      <c r="N2067">
        <v>0</v>
      </c>
    </row>
    <row r="2068" spans="1:14" ht="15" customHeight="1" x14ac:dyDescent="0.25">
      <c r="A2068" s="82">
        <v>44343</v>
      </c>
      <c r="B2068" t="s">
        <v>428</v>
      </c>
      <c r="C2068" t="s">
        <v>424</v>
      </c>
      <c r="D2068" t="s">
        <v>429</v>
      </c>
      <c r="E2068" t="s">
        <v>426</v>
      </c>
      <c r="F2068" t="s">
        <v>425</v>
      </c>
      <c r="G2068" t="s">
        <v>430</v>
      </c>
      <c r="H2068" t="s">
        <v>421</v>
      </c>
      <c r="I2068" t="s">
        <v>455</v>
      </c>
      <c r="J2068" t="s">
        <v>427</v>
      </c>
      <c r="N2068">
        <v>0</v>
      </c>
    </row>
    <row r="2069" spans="1:14" ht="15" customHeight="1" x14ac:dyDescent="0.25">
      <c r="A2069" s="82">
        <v>44344</v>
      </c>
      <c r="B2069" t="s">
        <v>425</v>
      </c>
      <c r="C2069" t="s">
        <v>424</v>
      </c>
      <c r="D2069" t="s">
        <v>426</v>
      </c>
      <c r="E2069" t="s">
        <v>427</v>
      </c>
      <c r="F2069" t="s">
        <v>425</v>
      </c>
      <c r="G2069" t="s">
        <v>421</v>
      </c>
      <c r="H2069" t="s">
        <v>429</v>
      </c>
      <c r="I2069" t="s">
        <v>424</v>
      </c>
      <c r="J2069" t="s">
        <v>455</v>
      </c>
      <c r="N2069">
        <v>0</v>
      </c>
    </row>
    <row r="2070" spans="1:14" ht="15" customHeight="1" x14ac:dyDescent="0.25">
      <c r="A2070" s="82">
        <v>44345</v>
      </c>
      <c r="B2070" t="s">
        <v>425</v>
      </c>
      <c r="C2070" t="s">
        <v>430</v>
      </c>
      <c r="D2070" t="s">
        <v>426</v>
      </c>
      <c r="E2070" t="s">
        <v>455</v>
      </c>
      <c r="F2070" t="s">
        <v>421</v>
      </c>
      <c r="G2070" t="s">
        <v>427</v>
      </c>
      <c r="H2070" t="s">
        <v>429</v>
      </c>
      <c r="I2070" t="s">
        <v>424</v>
      </c>
      <c r="J2070" t="s">
        <v>428</v>
      </c>
      <c r="N2070">
        <v>0</v>
      </c>
    </row>
    <row r="2071" spans="1:14" ht="15" customHeight="1" x14ac:dyDescent="0.25">
      <c r="A2071" s="82">
        <v>44346</v>
      </c>
      <c r="B2071" t="s">
        <v>425</v>
      </c>
      <c r="C2071" t="s">
        <v>430</v>
      </c>
      <c r="D2071" t="s">
        <v>426</v>
      </c>
      <c r="E2071" t="s">
        <v>427</v>
      </c>
      <c r="F2071" t="s">
        <v>421</v>
      </c>
      <c r="G2071" t="s">
        <v>455</v>
      </c>
      <c r="H2071" t="s">
        <v>429</v>
      </c>
      <c r="I2071" t="s">
        <v>424</v>
      </c>
      <c r="J2071" t="s">
        <v>428</v>
      </c>
      <c r="N2071">
        <v>0</v>
      </c>
    </row>
    <row r="2072" spans="1:14" ht="15" customHeight="1" x14ac:dyDescent="0.25">
      <c r="A2072" s="82">
        <v>44347</v>
      </c>
      <c r="B2072" t="s">
        <v>425</v>
      </c>
      <c r="C2072" t="s">
        <v>430</v>
      </c>
      <c r="D2072" t="s">
        <v>426</v>
      </c>
      <c r="E2072" t="s">
        <v>455</v>
      </c>
      <c r="F2072" t="s">
        <v>427</v>
      </c>
      <c r="G2072" t="s">
        <v>421</v>
      </c>
      <c r="H2072" t="s">
        <v>429</v>
      </c>
      <c r="I2072" t="s">
        <v>424</v>
      </c>
      <c r="J2072" t="s">
        <v>428</v>
      </c>
      <c r="N2072">
        <v>0</v>
      </c>
    </row>
    <row r="2073" spans="1:14" ht="15" customHeight="1" x14ac:dyDescent="0.25">
      <c r="A2073" s="82">
        <v>44348</v>
      </c>
      <c r="B2073" t="s">
        <v>425</v>
      </c>
      <c r="C2073" t="s">
        <v>430</v>
      </c>
      <c r="D2073" t="s">
        <v>426</v>
      </c>
      <c r="E2073" t="s">
        <v>421</v>
      </c>
      <c r="F2073" t="s">
        <v>455</v>
      </c>
      <c r="G2073" t="s">
        <v>427</v>
      </c>
      <c r="H2073" t="s">
        <v>429</v>
      </c>
      <c r="I2073" t="s">
        <v>424</v>
      </c>
      <c r="J2073" t="s">
        <v>428</v>
      </c>
      <c r="N2073">
        <v>0</v>
      </c>
    </row>
    <row r="2074" spans="1:14" ht="15" customHeight="1" x14ac:dyDescent="0.25">
      <c r="A2074" s="82">
        <v>44349</v>
      </c>
      <c r="B2074" t="s">
        <v>425</v>
      </c>
      <c r="C2074" t="s">
        <v>430</v>
      </c>
      <c r="D2074" t="s">
        <v>426</v>
      </c>
      <c r="E2074" t="s">
        <v>421</v>
      </c>
      <c r="F2074" t="s">
        <v>427</v>
      </c>
      <c r="G2074" t="s">
        <v>455</v>
      </c>
      <c r="H2074" t="s">
        <v>429</v>
      </c>
      <c r="I2074" t="s">
        <v>424</v>
      </c>
      <c r="J2074" t="s">
        <v>428</v>
      </c>
      <c r="N2074">
        <v>0</v>
      </c>
    </row>
    <row r="2075" spans="1:14" ht="15" customHeight="1" x14ac:dyDescent="0.25">
      <c r="A2075" s="82">
        <v>44350</v>
      </c>
      <c r="B2075" t="s">
        <v>425</v>
      </c>
      <c r="C2075" t="s">
        <v>430</v>
      </c>
      <c r="D2075" t="s">
        <v>426</v>
      </c>
      <c r="E2075" t="s">
        <v>427</v>
      </c>
      <c r="F2075" t="s">
        <v>455</v>
      </c>
      <c r="G2075" t="s">
        <v>421</v>
      </c>
      <c r="H2075" t="s">
        <v>429</v>
      </c>
      <c r="I2075" t="s">
        <v>424</v>
      </c>
      <c r="J2075" t="s">
        <v>428</v>
      </c>
      <c r="N2075">
        <v>0</v>
      </c>
    </row>
    <row r="2076" spans="1:14" ht="15" customHeight="1" x14ac:dyDescent="0.25">
      <c r="A2076" s="82">
        <v>44351</v>
      </c>
      <c r="B2076" t="s">
        <v>425</v>
      </c>
      <c r="C2076" t="s">
        <v>421</v>
      </c>
      <c r="D2076" t="s">
        <v>427</v>
      </c>
      <c r="E2076" t="s">
        <v>455</v>
      </c>
      <c r="F2076" t="s">
        <v>424</v>
      </c>
      <c r="G2076" t="s">
        <v>514</v>
      </c>
      <c r="H2076" t="s">
        <v>426</v>
      </c>
      <c r="I2076" t="s">
        <v>424</v>
      </c>
      <c r="J2076" t="s">
        <v>425</v>
      </c>
      <c r="N2076">
        <v>0</v>
      </c>
    </row>
    <row r="2077" spans="1:14" ht="15" customHeight="1" x14ac:dyDescent="0.25">
      <c r="A2077" s="82">
        <v>44352</v>
      </c>
      <c r="B2077" t="s">
        <v>421</v>
      </c>
      <c r="C2077" t="s">
        <v>427</v>
      </c>
      <c r="D2077" t="s">
        <v>455</v>
      </c>
      <c r="E2077" t="s">
        <v>428</v>
      </c>
      <c r="F2077" t="s">
        <v>424</v>
      </c>
      <c r="G2077" t="s">
        <v>514</v>
      </c>
      <c r="H2077" t="s">
        <v>426</v>
      </c>
      <c r="I2077" t="s">
        <v>430</v>
      </c>
      <c r="J2077" t="s">
        <v>425</v>
      </c>
      <c r="N2077">
        <v>0</v>
      </c>
    </row>
    <row r="2078" spans="1:14" ht="15" customHeight="1" x14ac:dyDescent="0.25">
      <c r="A2078" s="82">
        <v>44353</v>
      </c>
      <c r="B2078" t="s">
        <v>421</v>
      </c>
      <c r="C2078" t="s">
        <v>455</v>
      </c>
      <c r="D2078" t="s">
        <v>427</v>
      </c>
      <c r="E2078" t="s">
        <v>428</v>
      </c>
      <c r="F2078" t="s">
        <v>424</v>
      </c>
      <c r="G2078" t="s">
        <v>514</v>
      </c>
      <c r="H2078" t="s">
        <v>426</v>
      </c>
      <c r="I2078" t="s">
        <v>430</v>
      </c>
      <c r="J2078" t="s">
        <v>425</v>
      </c>
      <c r="N2078">
        <v>0</v>
      </c>
    </row>
    <row r="2079" spans="1:14" ht="15" customHeight="1" x14ac:dyDescent="0.25">
      <c r="A2079" s="82">
        <v>44354</v>
      </c>
      <c r="B2079" t="s">
        <v>427</v>
      </c>
      <c r="C2079" t="s">
        <v>421</v>
      </c>
      <c r="D2079" t="s">
        <v>455</v>
      </c>
      <c r="E2079" t="s">
        <v>428</v>
      </c>
      <c r="F2079" t="s">
        <v>424</v>
      </c>
      <c r="G2079" t="s">
        <v>514</v>
      </c>
      <c r="H2079" t="s">
        <v>426</v>
      </c>
      <c r="I2079" t="s">
        <v>430</v>
      </c>
      <c r="J2079" t="s">
        <v>425</v>
      </c>
      <c r="N2079">
        <v>0</v>
      </c>
    </row>
    <row r="2080" spans="1:14" ht="15" customHeight="1" x14ac:dyDescent="0.25">
      <c r="A2080" s="82">
        <v>44355</v>
      </c>
      <c r="B2080" t="s">
        <v>455</v>
      </c>
      <c r="C2080" t="s">
        <v>427</v>
      </c>
      <c r="D2080" t="s">
        <v>421</v>
      </c>
      <c r="E2080" t="s">
        <v>428</v>
      </c>
      <c r="F2080" t="s">
        <v>424</v>
      </c>
      <c r="G2080" t="s">
        <v>514</v>
      </c>
      <c r="H2080" t="s">
        <v>426</v>
      </c>
      <c r="I2080" t="s">
        <v>430</v>
      </c>
      <c r="J2080" t="s">
        <v>425</v>
      </c>
      <c r="N2080">
        <v>0</v>
      </c>
    </row>
    <row r="2081" spans="1:14" ht="15" customHeight="1" x14ac:dyDescent="0.25">
      <c r="A2081" s="82">
        <v>44356</v>
      </c>
      <c r="B2081" t="s">
        <v>427</v>
      </c>
      <c r="C2081" t="s">
        <v>455</v>
      </c>
      <c r="D2081" t="s">
        <v>421</v>
      </c>
      <c r="E2081" t="s">
        <v>428</v>
      </c>
      <c r="F2081" t="s">
        <v>424</v>
      </c>
      <c r="G2081" t="s">
        <v>514</v>
      </c>
      <c r="H2081" t="s">
        <v>426</v>
      </c>
      <c r="I2081" t="s">
        <v>430</v>
      </c>
      <c r="J2081" t="s">
        <v>425</v>
      </c>
      <c r="N2081">
        <v>0</v>
      </c>
    </row>
    <row r="2082" spans="1:14" ht="15" customHeight="1" x14ac:dyDescent="0.25">
      <c r="A2082" s="82">
        <v>44357</v>
      </c>
      <c r="B2082" t="s">
        <v>455</v>
      </c>
      <c r="C2082" t="s">
        <v>517</v>
      </c>
      <c r="D2082" t="s">
        <v>427</v>
      </c>
      <c r="E2082" t="s">
        <v>428</v>
      </c>
      <c r="F2082" t="s">
        <v>424</v>
      </c>
      <c r="G2082" t="s">
        <v>514</v>
      </c>
      <c r="H2082" t="s">
        <v>426</v>
      </c>
      <c r="I2082" t="s">
        <v>430</v>
      </c>
      <c r="J2082" t="s">
        <v>425</v>
      </c>
      <c r="N2082">
        <v>0</v>
      </c>
    </row>
    <row r="2083" spans="1:14" ht="15" customHeight="1" x14ac:dyDescent="0.25">
      <c r="A2083" s="82">
        <v>44358</v>
      </c>
      <c r="B2083" t="s">
        <v>424</v>
      </c>
      <c r="C2083" t="s">
        <v>514</v>
      </c>
      <c r="D2083" t="s">
        <v>455</v>
      </c>
      <c r="E2083" t="s">
        <v>425</v>
      </c>
      <c r="F2083" t="s">
        <v>424</v>
      </c>
      <c r="G2083" t="s">
        <v>426</v>
      </c>
      <c r="H2083" t="s">
        <v>427</v>
      </c>
      <c r="I2083" t="s">
        <v>421</v>
      </c>
      <c r="J2083" t="s">
        <v>425</v>
      </c>
      <c r="N2083">
        <v>0</v>
      </c>
    </row>
    <row r="2084" spans="1:14" ht="15" customHeight="1" x14ac:dyDescent="0.25">
      <c r="A2084" s="82">
        <v>44359</v>
      </c>
      <c r="B2084" t="s">
        <v>424</v>
      </c>
      <c r="C2084" t="s">
        <v>514</v>
      </c>
      <c r="D2084" t="s">
        <v>428</v>
      </c>
      <c r="E2084" t="s">
        <v>425</v>
      </c>
      <c r="F2084" t="s">
        <v>430</v>
      </c>
      <c r="G2084" t="s">
        <v>426</v>
      </c>
      <c r="H2084" t="s">
        <v>455</v>
      </c>
      <c r="I2084" t="s">
        <v>427</v>
      </c>
      <c r="J2084" t="s">
        <v>421</v>
      </c>
      <c r="N2084">
        <v>0</v>
      </c>
    </row>
    <row r="2085" spans="1:14" ht="15" customHeight="1" x14ac:dyDescent="0.25">
      <c r="A2085" s="82">
        <v>44360</v>
      </c>
      <c r="B2085" t="s">
        <v>424</v>
      </c>
      <c r="C2085" t="s">
        <v>514</v>
      </c>
      <c r="D2085" t="s">
        <v>428</v>
      </c>
      <c r="E2085" t="s">
        <v>425</v>
      </c>
      <c r="F2085" t="s">
        <v>430</v>
      </c>
      <c r="G2085" t="s">
        <v>426</v>
      </c>
      <c r="H2085" t="s">
        <v>427</v>
      </c>
      <c r="I2085" t="s">
        <v>455</v>
      </c>
      <c r="J2085" t="s">
        <v>421</v>
      </c>
      <c r="N2085">
        <v>0</v>
      </c>
    </row>
    <row r="2086" spans="1:14" ht="15" customHeight="1" x14ac:dyDescent="0.25">
      <c r="A2086" s="82">
        <v>44361</v>
      </c>
      <c r="B2086" t="s">
        <v>424</v>
      </c>
      <c r="C2086" t="s">
        <v>514</v>
      </c>
      <c r="D2086" t="s">
        <v>428</v>
      </c>
      <c r="E2086" t="s">
        <v>425</v>
      </c>
      <c r="F2086" t="s">
        <v>430</v>
      </c>
      <c r="G2086" t="s">
        <v>426</v>
      </c>
      <c r="H2086" t="s">
        <v>455</v>
      </c>
      <c r="I2086" t="s">
        <v>421</v>
      </c>
      <c r="J2086" t="s">
        <v>427</v>
      </c>
      <c r="N2086">
        <v>0</v>
      </c>
    </row>
    <row r="2087" spans="1:14" ht="15" customHeight="1" x14ac:dyDescent="0.25">
      <c r="A2087" s="82">
        <v>44362</v>
      </c>
      <c r="B2087" t="s">
        <v>424</v>
      </c>
      <c r="C2087" t="s">
        <v>514</v>
      </c>
      <c r="D2087" t="s">
        <v>428</v>
      </c>
      <c r="E2087" t="s">
        <v>425</v>
      </c>
      <c r="F2087" t="s">
        <v>430</v>
      </c>
      <c r="G2087" t="s">
        <v>426</v>
      </c>
      <c r="H2087" t="s">
        <v>421</v>
      </c>
      <c r="I2087" t="s">
        <v>427</v>
      </c>
      <c r="J2087" t="s">
        <v>455</v>
      </c>
      <c r="N2087">
        <v>0</v>
      </c>
    </row>
    <row r="2088" spans="1:14" ht="15" customHeight="1" x14ac:dyDescent="0.25">
      <c r="A2088" s="82">
        <v>44363</v>
      </c>
      <c r="B2088" t="s">
        <v>424</v>
      </c>
      <c r="C2088" t="s">
        <v>514</v>
      </c>
      <c r="D2088" t="s">
        <v>428</v>
      </c>
      <c r="E2088" t="s">
        <v>425</v>
      </c>
      <c r="F2088" t="s">
        <v>430</v>
      </c>
      <c r="G2088" t="s">
        <v>426</v>
      </c>
      <c r="H2088" t="s">
        <v>421</v>
      </c>
      <c r="I2088" t="s">
        <v>455</v>
      </c>
      <c r="J2088" t="s">
        <v>427</v>
      </c>
      <c r="N2088">
        <v>0</v>
      </c>
    </row>
    <row r="2089" spans="1:14" ht="15" customHeight="1" x14ac:dyDescent="0.25">
      <c r="A2089" s="82">
        <v>44364</v>
      </c>
      <c r="B2089" t="s">
        <v>424</v>
      </c>
      <c r="C2089" t="s">
        <v>514</v>
      </c>
      <c r="D2089" t="s">
        <v>428</v>
      </c>
      <c r="E2089" t="s">
        <v>425</v>
      </c>
      <c r="F2089" t="s">
        <v>430</v>
      </c>
      <c r="G2089" t="s">
        <v>426</v>
      </c>
      <c r="H2089" t="s">
        <v>427</v>
      </c>
      <c r="I2089" t="s">
        <v>517</v>
      </c>
      <c r="J2089" t="s">
        <v>455</v>
      </c>
      <c r="N2089">
        <v>0</v>
      </c>
    </row>
    <row r="2090" spans="1:14" ht="15" customHeight="1" x14ac:dyDescent="0.25">
      <c r="A2090" s="82">
        <v>44365</v>
      </c>
      <c r="B2090" t="s">
        <v>424</v>
      </c>
      <c r="C2090" t="s">
        <v>426</v>
      </c>
      <c r="D2090" t="s">
        <v>425</v>
      </c>
      <c r="E2090" t="s">
        <v>425</v>
      </c>
      <c r="F2090" t="s">
        <v>421</v>
      </c>
      <c r="G2090" t="s">
        <v>427</v>
      </c>
      <c r="H2090" t="s">
        <v>455</v>
      </c>
      <c r="I2090" t="s">
        <v>514</v>
      </c>
      <c r="J2090" t="s">
        <v>424</v>
      </c>
      <c r="N2090">
        <v>0</v>
      </c>
    </row>
    <row r="2091" spans="1:14" ht="15" customHeight="1" x14ac:dyDescent="0.25">
      <c r="A2091" s="82">
        <v>44366</v>
      </c>
      <c r="B2091" t="s">
        <v>430</v>
      </c>
      <c r="C2091" t="s">
        <v>426</v>
      </c>
      <c r="D2091" t="s">
        <v>425</v>
      </c>
      <c r="E2091" t="s">
        <v>421</v>
      </c>
      <c r="F2091" t="s">
        <v>427</v>
      </c>
      <c r="G2091" t="s">
        <v>455</v>
      </c>
      <c r="H2091" t="s">
        <v>428</v>
      </c>
      <c r="I2091" t="s">
        <v>514</v>
      </c>
      <c r="J2091" t="s">
        <v>424</v>
      </c>
      <c r="N2091">
        <v>0</v>
      </c>
    </row>
    <row r="2092" spans="1:14" ht="15" customHeight="1" x14ac:dyDescent="0.25">
      <c r="A2092" s="82">
        <v>44367</v>
      </c>
      <c r="B2092" t="s">
        <v>430</v>
      </c>
      <c r="C2092" t="s">
        <v>426</v>
      </c>
      <c r="D2092" t="s">
        <v>425</v>
      </c>
      <c r="E2092" t="s">
        <v>421</v>
      </c>
      <c r="F2092" t="s">
        <v>455</v>
      </c>
      <c r="G2092" t="s">
        <v>427</v>
      </c>
      <c r="H2092" t="s">
        <v>428</v>
      </c>
      <c r="I2092" t="s">
        <v>514</v>
      </c>
      <c r="J2092" t="s">
        <v>424</v>
      </c>
      <c r="N2092">
        <v>0</v>
      </c>
    </row>
    <row r="2093" spans="1:14" ht="15" customHeight="1" x14ac:dyDescent="0.25">
      <c r="A2093" s="82">
        <v>44368</v>
      </c>
      <c r="B2093" t="s">
        <v>430</v>
      </c>
      <c r="C2093" t="s">
        <v>426</v>
      </c>
      <c r="D2093" t="s">
        <v>425</v>
      </c>
      <c r="E2093" t="s">
        <v>427</v>
      </c>
      <c r="F2093" t="s">
        <v>421</v>
      </c>
      <c r="G2093" t="s">
        <v>455</v>
      </c>
      <c r="H2093" t="s">
        <v>428</v>
      </c>
      <c r="I2093" t="s">
        <v>514</v>
      </c>
      <c r="J2093" t="s">
        <v>424</v>
      </c>
      <c r="N2093">
        <v>0</v>
      </c>
    </row>
    <row r="2094" spans="1:14" ht="15" customHeight="1" x14ac:dyDescent="0.25">
      <c r="A2094" s="82">
        <v>44369</v>
      </c>
      <c r="B2094" t="s">
        <v>430</v>
      </c>
      <c r="C2094" t="s">
        <v>426</v>
      </c>
      <c r="D2094" t="s">
        <v>425</v>
      </c>
      <c r="E2094" t="s">
        <v>455</v>
      </c>
      <c r="F2094" t="s">
        <v>427</v>
      </c>
      <c r="G2094" t="s">
        <v>421</v>
      </c>
      <c r="H2094" t="s">
        <v>428</v>
      </c>
      <c r="I2094" t="s">
        <v>514</v>
      </c>
      <c r="J2094" t="s">
        <v>424</v>
      </c>
      <c r="N2094">
        <v>0</v>
      </c>
    </row>
    <row r="2095" spans="1:14" ht="15" customHeight="1" x14ac:dyDescent="0.25">
      <c r="A2095" s="82">
        <v>44370</v>
      </c>
      <c r="B2095" t="s">
        <v>430</v>
      </c>
      <c r="C2095" t="s">
        <v>426</v>
      </c>
      <c r="D2095" t="s">
        <v>425</v>
      </c>
      <c r="E2095" t="s">
        <v>427</v>
      </c>
      <c r="F2095" t="s">
        <v>455</v>
      </c>
      <c r="G2095" t="s">
        <v>421</v>
      </c>
      <c r="H2095" t="s">
        <v>428</v>
      </c>
      <c r="I2095" t="s">
        <v>514</v>
      </c>
      <c r="J2095" t="s">
        <v>424</v>
      </c>
      <c r="N2095">
        <v>0</v>
      </c>
    </row>
    <row r="2096" spans="1:14" ht="15" customHeight="1" x14ac:dyDescent="0.25">
      <c r="A2096" s="82">
        <v>44371</v>
      </c>
      <c r="B2096" t="s">
        <v>430</v>
      </c>
      <c r="C2096" t="s">
        <v>426</v>
      </c>
      <c r="D2096" t="s">
        <v>425</v>
      </c>
      <c r="E2096" t="s">
        <v>455</v>
      </c>
      <c r="F2096" t="s">
        <v>517</v>
      </c>
      <c r="G2096" t="s">
        <v>427</v>
      </c>
      <c r="H2096" t="s">
        <v>428</v>
      </c>
      <c r="I2096" t="s">
        <v>514</v>
      </c>
      <c r="J2096" t="s">
        <v>424</v>
      </c>
      <c r="N2096">
        <v>0</v>
      </c>
    </row>
    <row r="2097" spans="1:14" ht="15" customHeight="1" x14ac:dyDescent="0.25">
      <c r="A2097" s="82">
        <v>44372</v>
      </c>
      <c r="B2097" t="s">
        <v>421</v>
      </c>
      <c r="C2097" t="s">
        <v>427</v>
      </c>
      <c r="D2097" t="s">
        <v>425</v>
      </c>
      <c r="E2097" t="s">
        <v>424</v>
      </c>
      <c r="F2097" t="s">
        <v>514</v>
      </c>
      <c r="G2097" t="s">
        <v>455</v>
      </c>
      <c r="H2097" t="s">
        <v>425</v>
      </c>
      <c r="I2097" t="s">
        <v>426</v>
      </c>
      <c r="J2097" t="s">
        <v>424</v>
      </c>
      <c r="N2097">
        <v>0</v>
      </c>
    </row>
    <row r="2098" spans="1:14" ht="15" customHeight="1" x14ac:dyDescent="0.25">
      <c r="A2098" s="82">
        <v>44373</v>
      </c>
      <c r="B2098" t="s">
        <v>427</v>
      </c>
      <c r="C2098" t="s">
        <v>455</v>
      </c>
      <c r="D2098" t="s">
        <v>421</v>
      </c>
      <c r="E2098" t="s">
        <v>424</v>
      </c>
      <c r="F2098" t="s">
        <v>514</v>
      </c>
      <c r="G2098" t="s">
        <v>428</v>
      </c>
      <c r="H2098" t="s">
        <v>425</v>
      </c>
      <c r="I2098" t="s">
        <v>426</v>
      </c>
      <c r="J2098" t="s">
        <v>430</v>
      </c>
      <c r="N2098">
        <v>0</v>
      </c>
    </row>
    <row r="2099" spans="1:14" ht="15" customHeight="1" x14ac:dyDescent="0.25">
      <c r="A2099" s="82">
        <v>44374</v>
      </c>
      <c r="B2099" t="s">
        <v>455</v>
      </c>
      <c r="C2099" t="s">
        <v>427</v>
      </c>
      <c r="D2099" t="s">
        <v>421</v>
      </c>
      <c r="E2099" t="s">
        <v>424</v>
      </c>
      <c r="F2099" t="s">
        <v>514</v>
      </c>
      <c r="G2099" t="s">
        <v>428</v>
      </c>
      <c r="H2099" t="s">
        <v>425</v>
      </c>
      <c r="I2099" t="s">
        <v>426</v>
      </c>
      <c r="J2099" t="s">
        <v>430</v>
      </c>
      <c r="N2099">
        <v>0</v>
      </c>
    </row>
    <row r="2100" spans="1:14" ht="15" customHeight="1" x14ac:dyDescent="0.25">
      <c r="A2100" s="82">
        <v>44375</v>
      </c>
      <c r="B2100" t="s">
        <v>421</v>
      </c>
      <c r="C2100" t="s">
        <v>455</v>
      </c>
      <c r="D2100" t="s">
        <v>427</v>
      </c>
      <c r="E2100" t="s">
        <v>424</v>
      </c>
      <c r="F2100" t="s">
        <v>514</v>
      </c>
      <c r="G2100" t="s">
        <v>428</v>
      </c>
      <c r="H2100" t="s">
        <v>425</v>
      </c>
      <c r="I2100" t="s">
        <v>426</v>
      </c>
      <c r="J2100" t="s">
        <v>430</v>
      </c>
      <c r="N2100">
        <v>0</v>
      </c>
    </row>
    <row r="2101" spans="1:14" ht="15" customHeight="1" x14ac:dyDescent="0.25">
      <c r="A2101" s="82">
        <v>44376</v>
      </c>
      <c r="B2101" t="s">
        <v>427</v>
      </c>
      <c r="C2101" t="s">
        <v>421</v>
      </c>
      <c r="D2101" t="s">
        <v>455</v>
      </c>
      <c r="E2101" t="s">
        <v>424</v>
      </c>
      <c r="F2101" t="s">
        <v>514</v>
      </c>
      <c r="G2101" t="s">
        <v>428</v>
      </c>
      <c r="H2101" t="s">
        <v>425</v>
      </c>
      <c r="I2101" t="s">
        <v>426</v>
      </c>
      <c r="J2101" t="s">
        <v>430</v>
      </c>
      <c r="N2101">
        <v>0</v>
      </c>
    </row>
    <row r="2102" spans="1:14" ht="15" customHeight="1" x14ac:dyDescent="0.25">
      <c r="A2102" s="82">
        <v>44377</v>
      </c>
      <c r="B2102" t="s">
        <v>455</v>
      </c>
      <c r="C2102" t="s">
        <v>421</v>
      </c>
      <c r="D2102" t="s">
        <v>427</v>
      </c>
      <c r="E2102" t="s">
        <v>424</v>
      </c>
      <c r="F2102" t="s">
        <v>514</v>
      </c>
      <c r="G2102" t="s">
        <v>428</v>
      </c>
      <c r="H2102" t="s">
        <v>425</v>
      </c>
      <c r="I2102" t="s">
        <v>426</v>
      </c>
      <c r="J2102" t="s">
        <v>430</v>
      </c>
      <c r="N2102">
        <v>0</v>
      </c>
    </row>
    <row r="2103" spans="1:14" ht="15" customHeight="1" x14ac:dyDescent="0.25">
      <c r="A2103" s="82">
        <v>44378</v>
      </c>
      <c r="B2103" t="s">
        <v>517</v>
      </c>
      <c r="C2103" t="s">
        <v>427</v>
      </c>
      <c r="D2103" t="s">
        <v>455</v>
      </c>
      <c r="E2103" t="s">
        <v>424</v>
      </c>
      <c r="F2103" t="s">
        <v>514</v>
      </c>
      <c r="G2103" t="s">
        <v>428</v>
      </c>
      <c r="H2103" t="s">
        <v>425</v>
      </c>
      <c r="I2103" t="s">
        <v>426</v>
      </c>
      <c r="J2103" t="s">
        <v>430</v>
      </c>
      <c r="N2103">
        <v>0</v>
      </c>
    </row>
    <row r="2104" spans="1:14" ht="15" customHeight="1" x14ac:dyDescent="0.25">
      <c r="A2104" s="82">
        <v>44379</v>
      </c>
      <c r="B2104" t="s">
        <v>514</v>
      </c>
      <c r="C2104" t="s">
        <v>455</v>
      </c>
      <c r="D2104" t="s">
        <v>424</v>
      </c>
      <c r="E2104" t="s">
        <v>424</v>
      </c>
      <c r="F2104" t="s">
        <v>426</v>
      </c>
      <c r="G2104" t="s">
        <v>425</v>
      </c>
      <c r="H2104" t="s">
        <v>425</v>
      </c>
      <c r="I2104" t="s">
        <v>427</v>
      </c>
      <c r="J2104" t="s">
        <v>421</v>
      </c>
      <c r="N2104">
        <v>0</v>
      </c>
    </row>
    <row r="2105" spans="1:14" ht="15" customHeight="1" x14ac:dyDescent="0.25">
      <c r="A2105" s="82">
        <v>44380</v>
      </c>
      <c r="B2105" t="s">
        <v>514</v>
      </c>
      <c r="C2105" t="s">
        <v>428</v>
      </c>
      <c r="D2105" t="s">
        <v>424</v>
      </c>
      <c r="E2105" t="s">
        <v>430</v>
      </c>
      <c r="F2105" t="s">
        <v>426</v>
      </c>
      <c r="G2105" t="s">
        <v>425</v>
      </c>
      <c r="H2105" t="s">
        <v>421</v>
      </c>
      <c r="I2105" t="s">
        <v>455</v>
      </c>
      <c r="J2105" t="s">
        <v>427</v>
      </c>
      <c r="N2105">
        <v>0</v>
      </c>
    </row>
    <row r="2106" spans="1:14" ht="15" customHeight="1" x14ac:dyDescent="0.25">
      <c r="A2106" s="82">
        <v>44381</v>
      </c>
      <c r="B2106" t="s">
        <v>514</v>
      </c>
      <c r="C2106" t="s">
        <v>428</v>
      </c>
      <c r="D2106" t="s">
        <v>424</v>
      </c>
      <c r="E2106" t="s">
        <v>430</v>
      </c>
      <c r="F2106" t="s">
        <v>426</v>
      </c>
      <c r="G2106" t="s">
        <v>425</v>
      </c>
      <c r="H2106" t="s">
        <v>421</v>
      </c>
      <c r="I2106" t="s">
        <v>427</v>
      </c>
      <c r="J2106" t="s">
        <v>455</v>
      </c>
      <c r="N2106">
        <v>0</v>
      </c>
    </row>
    <row r="2107" spans="1:14" ht="15" customHeight="1" x14ac:dyDescent="0.25">
      <c r="A2107" s="82">
        <v>44382</v>
      </c>
      <c r="B2107" t="s">
        <v>514</v>
      </c>
      <c r="C2107" t="s">
        <v>428</v>
      </c>
      <c r="D2107" t="s">
        <v>424</v>
      </c>
      <c r="E2107" t="s">
        <v>430</v>
      </c>
      <c r="F2107" t="s">
        <v>426</v>
      </c>
      <c r="G2107" t="s">
        <v>425</v>
      </c>
      <c r="H2107" t="s">
        <v>427</v>
      </c>
      <c r="I2107" t="s">
        <v>455</v>
      </c>
      <c r="J2107" t="s">
        <v>421</v>
      </c>
      <c r="N2107">
        <v>0</v>
      </c>
    </row>
    <row r="2108" spans="1:14" ht="15" customHeight="1" x14ac:dyDescent="0.25">
      <c r="A2108" s="82">
        <v>44383</v>
      </c>
      <c r="B2108" t="s">
        <v>514</v>
      </c>
      <c r="C2108" t="s">
        <v>428</v>
      </c>
      <c r="D2108" t="s">
        <v>424</v>
      </c>
      <c r="E2108" t="s">
        <v>430</v>
      </c>
      <c r="F2108" t="s">
        <v>426</v>
      </c>
      <c r="G2108" t="s">
        <v>425</v>
      </c>
      <c r="H2108" t="s">
        <v>455</v>
      </c>
      <c r="I2108" t="s">
        <v>421</v>
      </c>
      <c r="J2108" t="s">
        <v>427</v>
      </c>
      <c r="N2108">
        <v>0</v>
      </c>
    </row>
    <row r="2109" spans="1:14" ht="15" customHeight="1" x14ac:dyDescent="0.25">
      <c r="A2109" s="82">
        <v>44384</v>
      </c>
      <c r="B2109" t="s">
        <v>514</v>
      </c>
      <c r="C2109" t="s">
        <v>428</v>
      </c>
      <c r="D2109" t="s">
        <v>424</v>
      </c>
      <c r="E2109" t="s">
        <v>430</v>
      </c>
      <c r="F2109" t="s">
        <v>426</v>
      </c>
      <c r="G2109" t="s">
        <v>425</v>
      </c>
      <c r="H2109" t="s">
        <v>427</v>
      </c>
      <c r="I2109" t="s">
        <v>421</v>
      </c>
      <c r="J2109" t="s">
        <v>455</v>
      </c>
      <c r="N2109">
        <v>0</v>
      </c>
    </row>
    <row r="2110" spans="1:14" ht="15" customHeight="1" x14ac:dyDescent="0.25">
      <c r="A2110" s="82">
        <v>44385</v>
      </c>
      <c r="B2110" t="s">
        <v>514</v>
      </c>
      <c r="C2110" t="s">
        <v>428</v>
      </c>
      <c r="D2110" t="s">
        <v>424</v>
      </c>
      <c r="E2110" t="s">
        <v>430</v>
      </c>
      <c r="F2110" t="s">
        <v>426</v>
      </c>
      <c r="G2110" t="s">
        <v>425</v>
      </c>
      <c r="H2110" t="s">
        <v>455</v>
      </c>
      <c r="I2110" t="s">
        <v>427</v>
      </c>
      <c r="J2110" t="s">
        <v>517</v>
      </c>
      <c r="N2110">
        <v>0</v>
      </c>
    </row>
    <row r="2111" spans="1:14" ht="15" customHeight="1" x14ac:dyDescent="0.25">
      <c r="A2111" s="82">
        <v>44386</v>
      </c>
      <c r="B2111" t="s">
        <v>426</v>
      </c>
      <c r="C2111" t="s">
        <v>425</v>
      </c>
      <c r="D2111" t="s">
        <v>424</v>
      </c>
      <c r="E2111" t="s">
        <v>421</v>
      </c>
      <c r="F2111" t="s">
        <v>427</v>
      </c>
      <c r="G2111" t="s">
        <v>425</v>
      </c>
      <c r="H2111" t="s">
        <v>516</v>
      </c>
      <c r="I2111" t="s">
        <v>455</v>
      </c>
      <c r="J2111" t="s">
        <v>514</v>
      </c>
      <c r="N2111">
        <v>0</v>
      </c>
    </row>
    <row r="2112" spans="1:14" ht="15" customHeight="1" x14ac:dyDescent="0.25">
      <c r="A2112" s="82">
        <v>44387</v>
      </c>
      <c r="B2112" t="s">
        <v>426</v>
      </c>
      <c r="C2112" t="s">
        <v>425</v>
      </c>
      <c r="D2112" t="s">
        <v>430</v>
      </c>
      <c r="E2112" t="s">
        <v>427</v>
      </c>
      <c r="F2112" t="s">
        <v>455</v>
      </c>
      <c r="G2112" t="s">
        <v>421</v>
      </c>
      <c r="H2112" t="s">
        <v>516</v>
      </c>
      <c r="I2112" t="s">
        <v>428</v>
      </c>
      <c r="J2112" t="s">
        <v>514</v>
      </c>
      <c r="N2112">
        <v>0</v>
      </c>
    </row>
    <row r="2113" spans="1:14" ht="15" customHeight="1" x14ac:dyDescent="0.25">
      <c r="A2113" s="82">
        <v>44388</v>
      </c>
      <c r="B2113" t="s">
        <v>426</v>
      </c>
      <c r="C2113" t="s">
        <v>425</v>
      </c>
      <c r="D2113" t="s">
        <v>430</v>
      </c>
      <c r="E2113" t="s">
        <v>455</v>
      </c>
      <c r="F2113" t="s">
        <v>427</v>
      </c>
      <c r="G2113" t="s">
        <v>421</v>
      </c>
      <c r="H2113" t="s">
        <v>516</v>
      </c>
      <c r="I2113" t="s">
        <v>428</v>
      </c>
      <c r="J2113" t="s">
        <v>514</v>
      </c>
      <c r="N2113">
        <v>0</v>
      </c>
    </row>
    <row r="2114" spans="1:14" ht="15" customHeight="1" x14ac:dyDescent="0.25">
      <c r="A2114" s="82">
        <v>44389</v>
      </c>
      <c r="B2114" t="s">
        <v>426</v>
      </c>
      <c r="C2114" t="s">
        <v>425</v>
      </c>
      <c r="D2114" t="s">
        <v>430</v>
      </c>
      <c r="E2114" t="s">
        <v>421</v>
      </c>
      <c r="F2114" t="s">
        <v>455</v>
      </c>
      <c r="G2114" t="s">
        <v>427</v>
      </c>
      <c r="H2114" t="s">
        <v>516</v>
      </c>
      <c r="I2114" t="s">
        <v>428</v>
      </c>
      <c r="J2114" t="s">
        <v>514</v>
      </c>
      <c r="N2114">
        <v>0</v>
      </c>
    </row>
    <row r="2115" spans="1:14" ht="15" customHeight="1" x14ac:dyDescent="0.25">
      <c r="A2115" s="82">
        <v>44390</v>
      </c>
      <c r="B2115" t="s">
        <v>426</v>
      </c>
      <c r="C2115" t="s">
        <v>425</v>
      </c>
      <c r="D2115" t="s">
        <v>430</v>
      </c>
      <c r="E2115" t="s">
        <v>427</v>
      </c>
      <c r="F2115" t="s">
        <v>421</v>
      </c>
      <c r="G2115" t="s">
        <v>455</v>
      </c>
      <c r="H2115" t="s">
        <v>516</v>
      </c>
      <c r="I2115" t="s">
        <v>428</v>
      </c>
      <c r="J2115" t="s">
        <v>514</v>
      </c>
      <c r="N2115">
        <v>0</v>
      </c>
    </row>
    <row r="2116" spans="1:14" ht="15" customHeight="1" x14ac:dyDescent="0.25">
      <c r="A2116" s="82">
        <v>44391</v>
      </c>
      <c r="B2116" t="s">
        <v>426</v>
      </c>
      <c r="C2116" t="s">
        <v>425</v>
      </c>
      <c r="D2116" t="s">
        <v>430</v>
      </c>
      <c r="E2116" t="s">
        <v>455</v>
      </c>
      <c r="F2116" t="s">
        <v>421</v>
      </c>
      <c r="G2116" t="s">
        <v>427</v>
      </c>
      <c r="H2116" t="s">
        <v>516</v>
      </c>
      <c r="I2116" t="s">
        <v>428</v>
      </c>
      <c r="J2116" t="s">
        <v>514</v>
      </c>
      <c r="N2116">
        <v>0</v>
      </c>
    </row>
    <row r="2117" spans="1:14" ht="15" customHeight="1" x14ac:dyDescent="0.25">
      <c r="A2117" s="82">
        <v>44392</v>
      </c>
      <c r="B2117" t="s">
        <v>426</v>
      </c>
      <c r="C2117" t="s">
        <v>425</v>
      </c>
      <c r="D2117" t="s">
        <v>430</v>
      </c>
      <c r="E2117" t="s">
        <v>517</v>
      </c>
      <c r="F2117" t="s">
        <v>427</v>
      </c>
      <c r="G2117" t="s">
        <v>455</v>
      </c>
      <c r="H2117" t="s">
        <v>516</v>
      </c>
      <c r="I2117" t="s">
        <v>428</v>
      </c>
      <c r="J2117" t="s">
        <v>514</v>
      </c>
      <c r="N2117">
        <v>0</v>
      </c>
    </row>
    <row r="2118" spans="1:14" ht="15" customHeight="1" x14ac:dyDescent="0.25">
      <c r="A2118" s="82">
        <v>44393</v>
      </c>
      <c r="B2118" t="s">
        <v>427</v>
      </c>
      <c r="C2118" t="s">
        <v>425</v>
      </c>
      <c r="D2118" t="s">
        <v>421</v>
      </c>
      <c r="E2118" t="s">
        <v>514</v>
      </c>
      <c r="F2118" t="s">
        <v>455</v>
      </c>
      <c r="G2118" t="s">
        <v>516</v>
      </c>
      <c r="H2118" t="s">
        <v>516</v>
      </c>
      <c r="I2118" t="s">
        <v>425</v>
      </c>
      <c r="J2118" t="s">
        <v>426</v>
      </c>
      <c r="N2118">
        <v>0</v>
      </c>
    </row>
    <row r="2119" spans="1:14" ht="15" customHeight="1" x14ac:dyDescent="0.25">
      <c r="A2119" s="82">
        <v>44394</v>
      </c>
      <c r="B2119" t="s">
        <v>455</v>
      </c>
      <c r="C2119" t="s">
        <v>421</v>
      </c>
      <c r="D2119" t="s">
        <v>427</v>
      </c>
      <c r="E2119" t="s">
        <v>514</v>
      </c>
      <c r="F2119" t="s">
        <v>428</v>
      </c>
      <c r="G2119" t="s">
        <v>516</v>
      </c>
      <c r="H2119" t="s">
        <v>430</v>
      </c>
      <c r="I2119" t="s">
        <v>425</v>
      </c>
      <c r="J2119" t="s">
        <v>426</v>
      </c>
      <c r="N2119">
        <v>0</v>
      </c>
    </row>
    <row r="2120" spans="1:14" ht="15" customHeight="1" x14ac:dyDescent="0.25">
      <c r="A2120" s="82">
        <v>44395</v>
      </c>
      <c r="B2120" t="s">
        <v>427</v>
      </c>
      <c r="C2120" t="s">
        <v>421</v>
      </c>
      <c r="D2120" t="s">
        <v>455</v>
      </c>
      <c r="E2120" t="s">
        <v>514</v>
      </c>
      <c r="F2120" t="s">
        <v>428</v>
      </c>
      <c r="G2120" t="s">
        <v>516</v>
      </c>
      <c r="H2120" t="s">
        <v>430</v>
      </c>
      <c r="I2120" t="s">
        <v>425</v>
      </c>
      <c r="J2120" t="s">
        <v>426</v>
      </c>
      <c r="N2120">
        <v>0</v>
      </c>
    </row>
    <row r="2121" spans="1:14" ht="15" customHeight="1" x14ac:dyDescent="0.25">
      <c r="A2121" s="82">
        <v>44396</v>
      </c>
      <c r="B2121" t="s">
        <v>455</v>
      </c>
      <c r="C2121" t="s">
        <v>427</v>
      </c>
      <c r="D2121" t="s">
        <v>421</v>
      </c>
      <c r="E2121" t="s">
        <v>514</v>
      </c>
      <c r="F2121" t="s">
        <v>428</v>
      </c>
      <c r="G2121" t="s">
        <v>516</v>
      </c>
      <c r="H2121" t="s">
        <v>430</v>
      </c>
      <c r="I2121" t="s">
        <v>425</v>
      </c>
      <c r="J2121" t="s">
        <v>426</v>
      </c>
      <c r="N2121">
        <v>0</v>
      </c>
    </row>
    <row r="2122" spans="1:14" ht="15" customHeight="1" x14ac:dyDescent="0.25">
      <c r="A2122" s="82">
        <v>44397</v>
      </c>
      <c r="B2122" t="s">
        <v>421</v>
      </c>
      <c r="C2122" t="s">
        <v>455</v>
      </c>
      <c r="D2122" t="s">
        <v>427</v>
      </c>
      <c r="E2122" t="s">
        <v>514</v>
      </c>
      <c r="F2122" t="s">
        <v>428</v>
      </c>
      <c r="G2122" t="s">
        <v>516</v>
      </c>
      <c r="H2122" t="s">
        <v>430</v>
      </c>
      <c r="I2122" t="s">
        <v>425</v>
      </c>
      <c r="J2122" t="s">
        <v>426</v>
      </c>
      <c r="N2122">
        <v>0</v>
      </c>
    </row>
    <row r="2123" spans="1:14" ht="15" customHeight="1" x14ac:dyDescent="0.25">
      <c r="A2123" s="82">
        <v>44398</v>
      </c>
      <c r="B2123" t="s">
        <v>421</v>
      </c>
      <c r="C2123" t="s">
        <v>427</v>
      </c>
      <c r="D2123" t="s">
        <v>455</v>
      </c>
      <c r="E2123" t="s">
        <v>514</v>
      </c>
      <c r="F2123" t="s">
        <v>428</v>
      </c>
      <c r="G2123" t="s">
        <v>516</v>
      </c>
      <c r="H2123" t="s">
        <v>430</v>
      </c>
      <c r="I2123" t="s">
        <v>425</v>
      </c>
      <c r="J2123" t="s">
        <v>426</v>
      </c>
      <c r="N2123">
        <v>0</v>
      </c>
    </row>
    <row r="2124" spans="1:14" ht="15" customHeight="1" x14ac:dyDescent="0.25">
      <c r="A2124" s="82">
        <v>44399</v>
      </c>
      <c r="B2124" t="s">
        <v>427</v>
      </c>
      <c r="C2124" t="s">
        <v>455</v>
      </c>
      <c r="D2124" t="s">
        <v>517</v>
      </c>
      <c r="E2124" t="s">
        <v>514</v>
      </c>
      <c r="F2124" t="s">
        <v>428</v>
      </c>
      <c r="G2124" t="s">
        <v>516</v>
      </c>
      <c r="H2124" t="s">
        <v>430</v>
      </c>
      <c r="I2124" t="s">
        <v>425</v>
      </c>
      <c r="J2124" t="s">
        <v>426</v>
      </c>
      <c r="N2124">
        <v>0</v>
      </c>
    </row>
    <row r="2125" spans="1:14" ht="15" customHeight="1" x14ac:dyDescent="0.25">
      <c r="A2125" s="82">
        <v>44400</v>
      </c>
      <c r="B2125" t="s">
        <v>455</v>
      </c>
      <c r="C2125" t="s">
        <v>516</v>
      </c>
      <c r="D2125" t="s">
        <v>514</v>
      </c>
      <c r="E2125" t="s">
        <v>426</v>
      </c>
      <c r="F2125" t="s">
        <v>425</v>
      </c>
      <c r="G2125" t="s">
        <v>516</v>
      </c>
      <c r="H2125" t="s">
        <v>421</v>
      </c>
      <c r="I2125" t="s">
        <v>425</v>
      </c>
      <c r="J2125" t="s">
        <v>427</v>
      </c>
      <c r="N2125">
        <v>0</v>
      </c>
    </row>
    <row r="2126" spans="1:14" ht="15" customHeight="1" x14ac:dyDescent="0.25">
      <c r="A2126" s="82">
        <v>44401</v>
      </c>
      <c r="B2126" t="s">
        <v>428</v>
      </c>
      <c r="C2126" t="s">
        <v>516</v>
      </c>
      <c r="D2126" t="s">
        <v>514</v>
      </c>
      <c r="E2126" t="s">
        <v>426</v>
      </c>
      <c r="F2126" t="s">
        <v>425</v>
      </c>
      <c r="G2126" t="s">
        <v>430</v>
      </c>
      <c r="H2126" t="s">
        <v>427</v>
      </c>
      <c r="I2126" t="s">
        <v>421</v>
      </c>
      <c r="J2126" t="s">
        <v>455</v>
      </c>
      <c r="N2126">
        <v>0</v>
      </c>
    </row>
    <row r="2127" spans="1:14" ht="15" customHeight="1" x14ac:dyDescent="0.25">
      <c r="A2127" s="82">
        <v>44402</v>
      </c>
      <c r="B2127" t="s">
        <v>428</v>
      </c>
      <c r="C2127" t="s">
        <v>516</v>
      </c>
      <c r="D2127" t="s">
        <v>514</v>
      </c>
      <c r="E2127" t="s">
        <v>426</v>
      </c>
      <c r="F2127" t="s">
        <v>425</v>
      </c>
      <c r="G2127" t="s">
        <v>430</v>
      </c>
      <c r="H2127" t="s">
        <v>455</v>
      </c>
      <c r="I2127" t="s">
        <v>421</v>
      </c>
      <c r="J2127" t="s">
        <v>427</v>
      </c>
      <c r="N2127">
        <v>0</v>
      </c>
    </row>
    <row r="2128" spans="1:14" ht="15" customHeight="1" x14ac:dyDescent="0.25">
      <c r="A2128" s="82">
        <v>44403</v>
      </c>
      <c r="B2128" t="s">
        <v>428</v>
      </c>
      <c r="C2128" t="s">
        <v>516</v>
      </c>
      <c r="D2128" t="s">
        <v>514</v>
      </c>
      <c r="E2128" t="s">
        <v>426</v>
      </c>
      <c r="F2128" t="s">
        <v>425</v>
      </c>
      <c r="G2128" t="s">
        <v>430</v>
      </c>
      <c r="H2128" t="s">
        <v>421</v>
      </c>
      <c r="I2128" t="s">
        <v>427</v>
      </c>
      <c r="J2128" t="s">
        <v>455</v>
      </c>
      <c r="N2128">
        <v>0</v>
      </c>
    </row>
    <row r="2129" spans="1:14" ht="15" customHeight="1" x14ac:dyDescent="0.25">
      <c r="A2129" s="82">
        <v>44404</v>
      </c>
      <c r="B2129" t="s">
        <v>428</v>
      </c>
      <c r="C2129" t="s">
        <v>516</v>
      </c>
      <c r="D2129" t="s">
        <v>514</v>
      </c>
      <c r="E2129" t="s">
        <v>426</v>
      </c>
      <c r="F2129" t="s">
        <v>425</v>
      </c>
      <c r="G2129" t="s">
        <v>430</v>
      </c>
      <c r="H2129" t="s">
        <v>427</v>
      </c>
      <c r="I2129" t="s">
        <v>455</v>
      </c>
      <c r="J2129" t="s">
        <v>421</v>
      </c>
      <c r="N2129">
        <v>0</v>
      </c>
    </row>
    <row r="2130" spans="1:14" ht="15" customHeight="1" x14ac:dyDescent="0.25">
      <c r="A2130" s="82">
        <v>44405</v>
      </c>
      <c r="B2130" t="s">
        <v>428</v>
      </c>
      <c r="C2130" t="s">
        <v>516</v>
      </c>
      <c r="D2130" t="s">
        <v>514</v>
      </c>
      <c r="E2130" t="s">
        <v>426</v>
      </c>
      <c r="F2130" t="s">
        <v>425</v>
      </c>
      <c r="G2130" t="s">
        <v>430</v>
      </c>
      <c r="H2130" t="s">
        <v>455</v>
      </c>
      <c r="I2130" t="s">
        <v>427</v>
      </c>
      <c r="J2130" t="s">
        <v>421</v>
      </c>
      <c r="N2130">
        <v>0</v>
      </c>
    </row>
    <row r="2131" spans="1:14" ht="15" customHeight="1" x14ac:dyDescent="0.25">
      <c r="A2131" s="82">
        <v>44406</v>
      </c>
      <c r="B2131" t="s">
        <v>428</v>
      </c>
      <c r="C2131" t="s">
        <v>516</v>
      </c>
      <c r="D2131" t="s">
        <v>514</v>
      </c>
      <c r="E2131" t="s">
        <v>426</v>
      </c>
      <c r="F2131" t="s">
        <v>425</v>
      </c>
      <c r="G2131" t="s">
        <v>430</v>
      </c>
      <c r="H2131" t="s">
        <v>517</v>
      </c>
      <c r="I2131" t="s">
        <v>455</v>
      </c>
      <c r="J2131" t="s">
        <v>427</v>
      </c>
      <c r="N2131">
        <v>0</v>
      </c>
    </row>
    <row r="2132" spans="1:14" ht="15" customHeight="1" x14ac:dyDescent="0.25">
      <c r="A2132" s="82">
        <v>44407</v>
      </c>
      <c r="B2132" t="s">
        <v>425</v>
      </c>
      <c r="C2132" t="s">
        <v>516</v>
      </c>
      <c r="D2132" t="s">
        <v>426</v>
      </c>
      <c r="E2132" t="s">
        <v>427</v>
      </c>
      <c r="F2132" t="s">
        <v>425</v>
      </c>
      <c r="G2132" t="s">
        <v>421</v>
      </c>
      <c r="H2132" t="s">
        <v>514</v>
      </c>
      <c r="I2132" t="s">
        <v>516</v>
      </c>
      <c r="J2132" t="s">
        <v>455</v>
      </c>
      <c r="N2132">
        <v>0</v>
      </c>
    </row>
    <row r="2133" spans="1:14" ht="15" customHeight="1" x14ac:dyDescent="0.25">
      <c r="A2133" s="82">
        <v>44408</v>
      </c>
      <c r="B2133" t="s">
        <v>425</v>
      </c>
      <c r="C2133" t="s">
        <v>430</v>
      </c>
      <c r="D2133" t="s">
        <v>426</v>
      </c>
      <c r="E2133" t="s">
        <v>455</v>
      </c>
      <c r="F2133" t="s">
        <v>421</v>
      </c>
      <c r="G2133" t="s">
        <v>427</v>
      </c>
      <c r="H2133" t="s">
        <v>514</v>
      </c>
      <c r="I2133" t="s">
        <v>516</v>
      </c>
      <c r="J2133" t="s">
        <v>428</v>
      </c>
      <c r="N2133">
        <v>0</v>
      </c>
    </row>
    <row r="2134" spans="1:14" ht="15" customHeight="1" x14ac:dyDescent="0.25">
      <c r="A2134" s="82">
        <v>44409</v>
      </c>
      <c r="B2134" t="s">
        <v>425</v>
      </c>
      <c r="C2134" t="s">
        <v>430</v>
      </c>
      <c r="D2134" t="s">
        <v>426</v>
      </c>
      <c r="E2134" t="s">
        <v>427</v>
      </c>
      <c r="F2134" t="s">
        <v>421</v>
      </c>
      <c r="G2134" t="s">
        <v>455</v>
      </c>
      <c r="H2134" t="s">
        <v>514</v>
      </c>
      <c r="I2134" t="s">
        <v>516</v>
      </c>
      <c r="J2134" t="s">
        <v>428</v>
      </c>
      <c r="N2134">
        <v>0</v>
      </c>
    </row>
    <row r="2135" spans="1:14" ht="15" customHeight="1" x14ac:dyDescent="0.25">
      <c r="A2135" s="82">
        <v>44410</v>
      </c>
      <c r="B2135" t="s">
        <v>425</v>
      </c>
      <c r="C2135" t="s">
        <v>430</v>
      </c>
      <c r="D2135" t="s">
        <v>426</v>
      </c>
      <c r="E2135" t="s">
        <v>455</v>
      </c>
      <c r="F2135" t="s">
        <v>427</v>
      </c>
      <c r="G2135" t="s">
        <v>421</v>
      </c>
      <c r="H2135" t="s">
        <v>514</v>
      </c>
      <c r="I2135" t="s">
        <v>516</v>
      </c>
      <c r="J2135" t="s">
        <v>428</v>
      </c>
      <c r="N2135">
        <v>0</v>
      </c>
    </row>
    <row r="2136" spans="1:14" ht="15" customHeight="1" x14ac:dyDescent="0.25">
      <c r="A2136" s="82">
        <v>44411</v>
      </c>
      <c r="B2136" t="s">
        <v>425</v>
      </c>
      <c r="C2136" t="s">
        <v>430</v>
      </c>
      <c r="D2136" t="s">
        <v>426</v>
      </c>
      <c r="E2136" t="s">
        <v>421</v>
      </c>
      <c r="F2136" t="s">
        <v>455</v>
      </c>
      <c r="G2136" t="s">
        <v>427</v>
      </c>
      <c r="H2136" t="s">
        <v>514</v>
      </c>
      <c r="I2136" t="s">
        <v>516</v>
      </c>
      <c r="J2136" t="s">
        <v>428</v>
      </c>
      <c r="N2136">
        <v>0</v>
      </c>
    </row>
    <row r="2137" spans="1:14" ht="15" customHeight="1" x14ac:dyDescent="0.25">
      <c r="A2137" s="82">
        <v>44412</v>
      </c>
      <c r="B2137" t="s">
        <v>425</v>
      </c>
      <c r="C2137" t="s">
        <v>430</v>
      </c>
      <c r="D2137" t="s">
        <v>426</v>
      </c>
      <c r="E2137" t="s">
        <v>421</v>
      </c>
      <c r="F2137" t="s">
        <v>427</v>
      </c>
      <c r="G2137" t="s">
        <v>455</v>
      </c>
      <c r="H2137" t="s">
        <v>514</v>
      </c>
      <c r="I2137" t="s">
        <v>516</v>
      </c>
      <c r="J2137" t="s">
        <v>428</v>
      </c>
      <c r="N2137">
        <v>0</v>
      </c>
    </row>
    <row r="2138" spans="1:14" ht="15" customHeight="1" x14ac:dyDescent="0.25">
      <c r="A2138" s="82">
        <v>44413</v>
      </c>
      <c r="B2138" t="s">
        <v>425</v>
      </c>
      <c r="C2138" t="s">
        <v>430</v>
      </c>
      <c r="D2138" t="s">
        <v>426</v>
      </c>
      <c r="E2138" t="s">
        <v>427</v>
      </c>
      <c r="F2138" t="s">
        <v>455</v>
      </c>
      <c r="G2138" t="s">
        <v>517</v>
      </c>
      <c r="H2138" t="s">
        <v>514</v>
      </c>
      <c r="I2138" t="s">
        <v>516</v>
      </c>
      <c r="J2138" t="s">
        <v>428</v>
      </c>
      <c r="N2138">
        <v>0</v>
      </c>
    </row>
    <row r="2139" spans="1:14" ht="15" customHeight="1" x14ac:dyDescent="0.25">
      <c r="A2139" s="82">
        <v>44414</v>
      </c>
      <c r="B2139" t="s">
        <v>425</v>
      </c>
      <c r="C2139" t="s">
        <v>421</v>
      </c>
      <c r="D2139" t="s">
        <v>427</v>
      </c>
      <c r="E2139" t="s">
        <v>455</v>
      </c>
      <c r="F2139" t="s">
        <v>516</v>
      </c>
      <c r="G2139" t="s">
        <v>514</v>
      </c>
      <c r="H2139" t="s">
        <v>426</v>
      </c>
      <c r="I2139" t="s">
        <v>516</v>
      </c>
      <c r="J2139" t="s">
        <v>425</v>
      </c>
      <c r="N2139">
        <v>0</v>
      </c>
    </row>
    <row r="2140" spans="1:14" ht="15" customHeight="1" x14ac:dyDescent="0.25">
      <c r="A2140" s="82">
        <v>44415</v>
      </c>
      <c r="B2140" t="s">
        <v>421</v>
      </c>
      <c r="C2140" t="s">
        <v>427</v>
      </c>
      <c r="D2140" t="s">
        <v>455</v>
      </c>
      <c r="E2140" t="s">
        <v>428</v>
      </c>
      <c r="F2140" t="s">
        <v>516</v>
      </c>
      <c r="G2140" t="s">
        <v>514</v>
      </c>
      <c r="H2140" t="s">
        <v>426</v>
      </c>
      <c r="I2140" t="s">
        <v>430</v>
      </c>
      <c r="J2140" t="s">
        <v>425</v>
      </c>
      <c r="N2140">
        <v>0</v>
      </c>
    </row>
    <row r="2141" spans="1:14" ht="15" customHeight="1" x14ac:dyDescent="0.25">
      <c r="A2141" s="82">
        <v>44416</v>
      </c>
      <c r="B2141" t="s">
        <v>421</v>
      </c>
      <c r="C2141" t="s">
        <v>455</v>
      </c>
      <c r="D2141" t="s">
        <v>427</v>
      </c>
      <c r="E2141" t="s">
        <v>428</v>
      </c>
      <c r="F2141" t="s">
        <v>516</v>
      </c>
      <c r="G2141" t="s">
        <v>514</v>
      </c>
      <c r="H2141" t="s">
        <v>426</v>
      </c>
      <c r="I2141" t="s">
        <v>430</v>
      </c>
      <c r="J2141" t="s">
        <v>425</v>
      </c>
      <c r="N2141">
        <v>0</v>
      </c>
    </row>
    <row r="2142" spans="1:14" ht="15" customHeight="1" x14ac:dyDescent="0.25">
      <c r="A2142" s="82">
        <v>44417</v>
      </c>
      <c r="B2142" t="s">
        <v>427</v>
      </c>
      <c r="C2142" t="s">
        <v>421</v>
      </c>
      <c r="D2142" t="s">
        <v>455</v>
      </c>
      <c r="E2142" t="s">
        <v>428</v>
      </c>
      <c r="F2142" t="s">
        <v>516</v>
      </c>
      <c r="G2142" t="s">
        <v>514</v>
      </c>
      <c r="H2142" t="s">
        <v>426</v>
      </c>
      <c r="I2142" t="s">
        <v>430</v>
      </c>
      <c r="J2142" t="s">
        <v>425</v>
      </c>
      <c r="N2142">
        <v>0</v>
      </c>
    </row>
    <row r="2143" spans="1:14" ht="15" customHeight="1" x14ac:dyDescent="0.25">
      <c r="A2143" s="82">
        <v>44418</v>
      </c>
      <c r="B2143" t="s">
        <v>455</v>
      </c>
      <c r="C2143" t="s">
        <v>427</v>
      </c>
      <c r="D2143" t="s">
        <v>421</v>
      </c>
      <c r="E2143" t="s">
        <v>428</v>
      </c>
      <c r="F2143" t="s">
        <v>516</v>
      </c>
      <c r="G2143" t="s">
        <v>514</v>
      </c>
      <c r="H2143" t="s">
        <v>426</v>
      </c>
      <c r="I2143" t="s">
        <v>430</v>
      </c>
      <c r="J2143" t="s">
        <v>425</v>
      </c>
      <c r="N2143">
        <v>0</v>
      </c>
    </row>
    <row r="2144" spans="1:14" ht="15" customHeight="1" x14ac:dyDescent="0.25">
      <c r="A2144" s="82">
        <v>44419</v>
      </c>
      <c r="B2144" t="s">
        <v>427</v>
      </c>
      <c r="C2144" t="s">
        <v>455</v>
      </c>
      <c r="D2144" t="s">
        <v>421</v>
      </c>
      <c r="E2144" t="s">
        <v>428</v>
      </c>
      <c r="F2144" t="s">
        <v>516</v>
      </c>
      <c r="G2144" t="s">
        <v>514</v>
      </c>
      <c r="H2144" t="s">
        <v>426</v>
      </c>
      <c r="I2144" t="s">
        <v>430</v>
      </c>
      <c r="J2144" t="s">
        <v>425</v>
      </c>
      <c r="N2144">
        <v>0</v>
      </c>
    </row>
    <row r="2145" spans="1:14" ht="15" customHeight="1" x14ac:dyDescent="0.25">
      <c r="A2145" s="82">
        <v>44420</v>
      </c>
      <c r="B2145" t="s">
        <v>455</v>
      </c>
      <c r="C2145" t="s">
        <v>517</v>
      </c>
      <c r="D2145" t="s">
        <v>427</v>
      </c>
      <c r="E2145" t="s">
        <v>428</v>
      </c>
      <c r="F2145" t="s">
        <v>516</v>
      </c>
      <c r="G2145" t="s">
        <v>514</v>
      </c>
      <c r="H2145" t="s">
        <v>426</v>
      </c>
      <c r="I2145" t="s">
        <v>430</v>
      </c>
      <c r="J2145" t="s">
        <v>425</v>
      </c>
      <c r="N2145">
        <v>0</v>
      </c>
    </row>
    <row r="2146" spans="1:14" ht="15" customHeight="1" x14ac:dyDescent="0.25">
      <c r="A2146" s="82">
        <v>44421</v>
      </c>
      <c r="B2146" t="s">
        <v>516</v>
      </c>
      <c r="C2146" t="s">
        <v>514</v>
      </c>
      <c r="D2146" t="s">
        <v>455</v>
      </c>
      <c r="E2146" t="s">
        <v>425</v>
      </c>
      <c r="F2146" t="s">
        <v>516</v>
      </c>
      <c r="G2146" t="s">
        <v>426</v>
      </c>
      <c r="H2146" t="s">
        <v>427</v>
      </c>
      <c r="I2146" t="s">
        <v>421</v>
      </c>
      <c r="J2146" t="s">
        <v>425</v>
      </c>
      <c r="N2146">
        <v>0</v>
      </c>
    </row>
    <row r="2147" spans="1:14" ht="15" customHeight="1" x14ac:dyDescent="0.25">
      <c r="A2147" s="82">
        <v>44422</v>
      </c>
      <c r="B2147" t="s">
        <v>516</v>
      </c>
      <c r="C2147" t="s">
        <v>514</v>
      </c>
      <c r="D2147" t="s">
        <v>428</v>
      </c>
      <c r="E2147" t="s">
        <v>425</v>
      </c>
      <c r="F2147" t="s">
        <v>430</v>
      </c>
      <c r="G2147" t="s">
        <v>426</v>
      </c>
      <c r="H2147" t="s">
        <v>455</v>
      </c>
      <c r="I2147" t="s">
        <v>427</v>
      </c>
      <c r="J2147" t="s">
        <v>421</v>
      </c>
      <c r="N2147">
        <v>0</v>
      </c>
    </row>
    <row r="2148" spans="1:14" ht="15" customHeight="1" x14ac:dyDescent="0.25">
      <c r="A2148" s="82">
        <v>44423</v>
      </c>
      <c r="B2148" t="s">
        <v>516</v>
      </c>
      <c r="C2148" t="s">
        <v>514</v>
      </c>
      <c r="D2148" t="s">
        <v>428</v>
      </c>
      <c r="E2148" t="s">
        <v>425</v>
      </c>
      <c r="F2148" t="s">
        <v>430</v>
      </c>
      <c r="G2148" t="s">
        <v>426</v>
      </c>
      <c r="H2148" t="s">
        <v>427</v>
      </c>
      <c r="I2148" t="s">
        <v>455</v>
      </c>
      <c r="J2148" t="s">
        <v>421</v>
      </c>
      <c r="N2148">
        <v>0</v>
      </c>
    </row>
    <row r="2149" spans="1:14" ht="15" customHeight="1" x14ac:dyDescent="0.25">
      <c r="A2149" s="82">
        <v>44424</v>
      </c>
      <c r="B2149" t="s">
        <v>516</v>
      </c>
      <c r="C2149" t="s">
        <v>514</v>
      </c>
      <c r="D2149" t="s">
        <v>428</v>
      </c>
      <c r="E2149" t="s">
        <v>425</v>
      </c>
      <c r="F2149" t="s">
        <v>430</v>
      </c>
      <c r="G2149" t="s">
        <v>426</v>
      </c>
      <c r="H2149" t="s">
        <v>455</v>
      </c>
      <c r="I2149" t="s">
        <v>421</v>
      </c>
      <c r="J2149" t="s">
        <v>427</v>
      </c>
      <c r="N2149">
        <v>0</v>
      </c>
    </row>
    <row r="2150" spans="1:14" ht="15" customHeight="1" x14ac:dyDescent="0.25">
      <c r="A2150" s="82">
        <v>44425</v>
      </c>
      <c r="B2150" t="s">
        <v>516</v>
      </c>
      <c r="C2150" t="s">
        <v>514</v>
      </c>
      <c r="D2150" t="s">
        <v>428</v>
      </c>
      <c r="E2150" t="s">
        <v>425</v>
      </c>
      <c r="F2150" t="s">
        <v>430</v>
      </c>
      <c r="G2150" t="s">
        <v>426</v>
      </c>
      <c r="H2150" t="s">
        <v>421</v>
      </c>
      <c r="I2150" t="s">
        <v>427</v>
      </c>
      <c r="J2150" t="s">
        <v>455</v>
      </c>
      <c r="N2150">
        <v>0</v>
      </c>
    </row>
    <row r="2151" spans="1:14" ht="15" customHeight="1" x14ac:dyDescent="0.25">
      <c r="A2151" s="82">
        <v>44426</v>
      </c>
      <c r="B2151" t="s">
        <v>516</v>
      </c>
      <c r="C2151" t="s">
        <v>514</v>
      </c>
      <c r="D2151" t="s">
        <v>428</v>
      </c>
      <c r="E2151" t="s">
        <v>425</v>
      </c>
      <c r="F2151" t="s">
        <v>430</v>
      </c>
      <c r="G2151" t="s">
        <v>426</v>
      </c>
      <c r="H2151" t="s">
        <v>421</v>
      </c>
      <c r="I2151" t="s">
        <v>455</v>
      </c>
      <c r="J2151" t="s">
        <v>427</v>
      </c>
      <c r="N2151">
        <v>0</v>
      </c>
    </row>
    <row r="2152" spans="1:14" ht="15" customHeight="1" x14ac:dyDescent="0.25">
      <c r="A2152" s="82">
        <v>44427</v>
      </c>
      <c r="B2152" t="s">
        <v>516</v>
      </c>
      <c r="C2152" t="s">
        <v>514</v>
      </c>
      <c r="D2152" t="s">
        <v>428</v>
      </c>
      <c r="E2152" t="s">
        <v>425</v>
      </c>
      <c r="F2152" t="s">
        <v>430</v>
      </c>
      <c r="G2152" t="s">
        <v>426</v>
      </c>
      <c r="H2152" t="s">
        <v>427</v>
      </c>
      <c r="I2152" t="s">
        <v>517</v>
      </c>
      <c r="J2152" t="s">
        <v>455</v>
      </c>
      <c r="N2152">
        <v>0</v>
      </c>
    </row>
    <row r="2153" spans="1:14" ht="15" customHeight="1" x14ac:dyDescent="0.25">
      <c r="A2153" s="82">
        <v>44428</v>
      </c>
      <c r="B2153" t="s">
        <v>516</v>
      </c>
      <c r="C2153" t="s">
        <v>426</v>
      </c>
      <c r="D2153" t="s">
        <v>425</v>
      </c>
      <c r="E2153" t="s">
        <v>425</v>
      </c>
      <c r="F2153" t="s">
        <v>421</v>
      </c>
      <c r="G2153" t="s">
        <v>427</v>
      </c>
      <c r="H2153" t="s">
        <v>455</v>
      </c>
      <c r="I2153" t="s">
        <v>514</v>
      </c>
      <c r="J2153" t="s">
        <v>516</v>
      </c>
      <c r="N2153">
        <v>0</v>
      </c>
    </row>
    <row r="2154" spans="1:14" ht="15" customHeight="1" x14ac:dyDescent="0.25">
      <c r="A2154" s="82">
        <v>44429</v>
      </c>
      <c r="B2154" t="s">
        <v>430</v>
      </c>
      <c r="C2154" t="s">
        <v>426</v>
      </c>
      <c r="D2154" t="s">
        <v>425</v>
      </c>
      <c r="E2154" t="s">
        <v>421</v>
      </c>
      <c r="F2154" t="s">
        <v>427</v>
      </c>
      <c r="G2154" t="s">
        <v>455</v>
      </c>
      <c r="H2154" t="s">
        <v>428</v>
      </c>
      <c r="I2154" t="s">
        <v>514</v>
      </c>
      <c r="J2154" t="s">
        <v>516</v>
      </c>
      <c r="N2154">
        <v>0</v>
      </c>
    </row>
    <row r="2155" spans="1:14" ht="15" customHeight="1" x14ac:dyDescent="0.25">
      <c r="A2155" s="82">
        <v>44430</v>
      </c>
      <c r="B2155" t="s">
        <v>430</v>
      </c>
      <c r="C2155" t="s">
        <v>426</v>
      </c>
      <c r="D2155" t="s">
        <v>425</v>
      </c>
      <c r="E2155" t="s">
        <v>421</v>
      </c>
      <c r="F2155" t="s">
        <v>455</v>
      </c>
      <c r="G2155" t="s">
        <v>427</v>
      </c>
      <c r="H2155" t="s">
        <v>428</v>
      </c>
      <c r="I2155" t="s">
        <v>514</v>
      </c>
      <c r="J2155" t="s">
        <v>516</v>
      </c>
      <c r="N2155">
        <v>0</v>
      </c>
    </row>
    <row r="2156" spans="1:14" ht="15" customHeight="1" x14ac:dyDescent="0.25">
      <c r="A2156" s="82">
        <v>44431</v>
      </c>
      <c r="B2156" t="s">
        <v>430</v>
      </c>
      <c r="C2156" t="s">
        <v>426</v>
      </c>
      <c r="D2156" t="s">
        <v>425</v>
      </c>
      <c r="E2156" t="s">
        <v>427</v>
      </c>
      <c r="F2156" t="s">
        <v>421</v>
      </c>
      <c r="G2156" t="s">
        <v>455</v>
      </c>
      <c r="H2156" t="s">
        <v>428</v>
      </c>
      <c r="I2156" t="s">
        <v>514</v>
      </c>
      <c r="J2156" t="s">
        <v>516</v>
      </c>
      <c r="N2156">
        <v>0</v>
      </c>
    </row>
    <row r="2157" spans="1:14" ht="15" customHeight="1" x14ac:dyDescent="0.25">
      <c r="A2157" s="82">
        <v>44432</v>
      </c>
      <c r="B2157" t="s">
        <v>430</v>
      </c>
      <c r="C2157" t="s">
        <v>426</v>
      </c>
      <c r="D2157" t="s">
        <v>425</v>
      </c>
      <c r="E2157" t="s">
        <v>455</v>
      </c>
      <c r="F2157" t="s">
        <v>427</v>
      </c>
      <c r="G2157" t="s">
        <v>421</v>
      </c>
      <c r="H2157" t="s">
        <v>428</v>
      </c>
      <c r="I2157" t="s">
        <v>514</v>
      </c>
      <c r="J2157" t="s">
        <v>516</v>
      </c>
      <c r="N2157">
        <v>0</v>
      </c>
    </row>
    <row r="2158" spans="1:14" ht="15" customHeight="1" x14ac:dyDescent="0.25">
      <c r="A2158" s="82">
        <v>44433</v>
      </c>
      <c r="B2158" t="s">
        <v>430</v>
      </c>
      <c r="C2158" t="s">
        <v>426</v>
      </c>
      <c r="D2158" t="s">
        <v>425</v>
      </c>
      <c r="E2158" t="s">
        <v>427</v>
      </c>
      <c r="F2158" t="s">
        <v>455</v>
      </c>
      <c r="G2158" t="s">
        <v>421</v>
      </c>
      <c r="H2158" t="s">
        <v>428</v>
      </c>
      <c r="I2158" t="s">
        <v>514</v>
      </c>
      <c r="J2158" t="s">
        <v>516</v>
      </c>
      <c r="N2158">
        <v>0</v>
      </c>
    </row>
    <row r="2159" spans="1:14" ht="15" customHeight="1" x14ac:dyDescent="0.25">
      <c r="A2159" s="82">
        <v>44434</v>
      </c>
      <c r="B2159" t="s">
        <v>430</v>
      </c>
      <c r="C2159" t="s">
        <v>426</v>
      </c>
      <c r="D2159" t="s">
        <v>425</v>
      </c>
      <c r="E2159" t="s">
        <v>455</v>
      </c>
      <c r="F2159" t="s">
        <v>517</v>
      </c>
      <c r="G2159" t="s">
        <v>427</v>
      </c>
      <c r="H2159" t="s">
        <v>428</v>
      </c>
      <c r="I2159" t="s">
        <v>514</v>
      </c>
      <c r="J2159" t="s">
        <v>516</v>
      </c>
      <c r="N2159">
        <v>0</v>
      </c>
    </row>
    <row r="2160" spans="1:14" ht="15" customHeight="1" x14ac:dyDescent="0.25">
      <c r="A2160" s="82">
        <v>44435</v>
      </c>
      <c r="B2160" t="s">
        <v>421</v>
      </c>
      <c r="C2160" t="s">
        <v>427</v>
      </c>
      <c r="D2160" t="s">
        <v>425</v>
      </c>
      <c r="E2160" t="s">
        <v>424</v>
      </c>
      <c r="F2160" t="s">
        <v>514</v>
      </c>
      <c r="G2160" t="s">
        <v>455</v>
      </c>
      <c r="H2160" t="s">
        <v>425</v>
      </c>
      <c r="I2160" t="s">
        <v>426</v>
      </c>
      <c r="J2160" t="s">
        <v>516</v>
      </c>
      <c r="N2160">
        <v>0</v>
      </c>
    </row>
    <row r="2161" spans="1:14" ht="15" customHeight="1" x14ac:dyDescent="0.25">
      <c r="A2161" s="82">
        <v>44436</v>
      </c>
      <c r="B2161" t="s">
        <v>427</v>
      </c>
      <c r="C2161" t="s">
        <v>455</v>
      </c>
      <c r="D2161" t="s">
        <v>421</v>
      </c>
      <c r="E2161" t="s">
        <v>424</v>
      </c>
      <c r="F2161" t="s">
        <v>514</v>
      </c>
      <c r="G2161" t="s">
        <v>428</v>
      </c>
      <c r="H2161" t="s">
        <v>425</v>
      </c>
      <c r="I2161" t="s">
        <v>426</v>
      </c>
      <c r="J2161" t="s">
        <v>430</v>
      </c>
      <c r="N2161">
        <v>0</v>
      </c>
    </row>
    <row r="2162" spans="1:14" ht="15" customHeight="1" x14ac:dyDescent="0.25">
      <c r="A2162" s="82">
        <v>44437</v>
      </c>
      <c r="B2162" t="s">
        <v>455</v>
      </c>
      <c r="C2162" t="s">
        <v>427</v>
      </c>
      <c r="D2162" t="s">
        <v>421</v>
      </c>
      <c r="E2162" t="s">
        <v>424</v>
      </c>
      <c r="F2162" t="s">
        <v>514</v>
      </c>
      <c r="G2162" t="s">
        <v>428</v>
      </c>
      <c r="H2162" t="s">
        <v>425</v>
      </c>
      <c r="I2162" t="s">
        <v>426</v>
      </c>
      <c r="J2162" t="s">
        <v>430</v>
      </c>
      <c r="N2162">
        <v>0</v>
      </c>
    </row>
    <row r="2163" spans="1:14" ht="15" customHeight="1" x14ac:dyDescent="0.25">
      <c r="A2163" s="82">
        <v>44438</v>
      </c>
      <c r="B2163" t="s">
        <v>421</v>
      </c>
      <c r="C2163" t="s">
        <v>455</v>
      </c>
      <c r="D2163" t="s">
        <v>427</v>
      </c>
      <c r="E2163" t="s">
        <v>424</v>
      </c>
      <c r="F2163" t="s">
        <v>514</v>
      </c>
      <c r="G2163" t="s">
        <v>428</v>
      </c>
      <c r="H2163" t="s">
        <v>425</v>
      </c>
      <c r="I2163" t="s">
        <v>426</v>
      </c>
      <c r="J2163" t="s">
        <v>430</v>
      </c>
      <c r="N2163">
        <v>0</v>
      </c>
    </row>
    <row r="2164" spans="1:14" ht="15" customHeight="1" x14ac:dyDescent="0.25">
      <c r="A2164" s="82">
        <v>44439</v>
      </c>
      <c r="B2164" t="s">
        <v>427</v>
      </c>
      <c r="C2164" t="s">
        <v>421</v>
      </c>
      <c r="D2164" t="s">
        <v>455</v>
      </c>
      <c r="E2164" t="s">
        <v>424</v>
      </c>
      <c r="F2164" t="s">
        <v>514</v>
      </c>
      <c r="G2164" t="s">
        <v>428</v>
      </c>
      <c r="H2164" t="s">
        <v>425</v>
      </c>
      <c r="I2164" t="s">
        <v>426</v>
      </c>
      <c r="J2164" t="s">
        <v>430</v>
      </c>
      <c r="N2164">
        <v>0</v>
      </c>
    </row>
    <row r="2165" spans="1:14" ht="15" customHeight="1" x14ac:dyDescent="0.25">
      <c r="A2165" s="82">
        <v>44440</v>
      </c>
      <c r="B2165" t="s">
        <v>455</v>
      </c>
      <c r="C2165" t="s">
        <v>421</v>
      </c>
      <c r="D2165" t="s">
        <v>427</v>
      </c>
      <c r="E2165" t="s">
        <v>424</v>
      </c>
      <c r="F2165" t="s">
        <v>514</v>
      </c>
      <c r="G2165" t="s">
        <v>428</v>
      </c>
      <c r="H2165" t="s">
        <v>425</v>
      </c>
      <c r="I2165" t="s">
        <v>426</v>
      </c>
      <c r="J2165" t="s">
        <v>430</v>
      </c>
      <c r="N2165">
        <v>0</v>
      </c>
    </row>
    <row r="2166" spans="1:14" ht="15" customHeight="1" x14ac:dyDescent="0.25">
      <c r="A2166" s="82">
        <v>44441</v>
      </c>
      <c r="B2166" t="s">
        <v>517</v>
      </c>
      <c r="C2166" t="s">
        <v>427</v>
      </c>
      <c r="D2166" t="s">
        <v>455</v>
      </c>
      <c r="E2166" t="s">
        <v>424</v>
      </c>
      <c r="F2166" t="s">
        <v>514</v>
      </c>
      <c r="G2166" t="s">
        <v>428</v>
      </c>
      <c r="H2166" t="s">
        <v>425</v>
      </c>
      <c r="I2166" t="s">
        <v>426</v>
      </c>
      <c r="J2166" t="s">
        <v>430</v>
      </c>
      <c r="N2166">
        <v>0</v>
      </c>
    </row>
    <row r="2167" spans="1:14" ht="15" customHeight="1" x14ac:dyDescent="0.25">
      <c r="A2167" s="82">
        <v>44442</v>
      </c>
      <c r="B2167" t="s">
        <v>514</v>
      </c>
      <c r="C2167" t="s">
        <v>455</v>
      </c>
      <c r="D2167" t="s">
        <v>424</v>
      </c>
      <c r="E2167" t="s">
        <v>424</v>
      </c>
      <c r="F2167" t="s">
        <v>426</v>
      </c>
      <c r="G2167" t="s">
        <v>425</v>
      </c>
      <c r="H2167" t="s">
        <v>425</v>
      </c>
      <c r="I2167" t="s">
        <v>427</v>
      </c>
      <c r="J2167" t="s">
        <v>421</v>
      </c>
      <c r="N2167">
        <v>0</v>
      </c>
    </row>
    <row r="2168" spans="1:14" ht="15" customHeight="1" x14ac:dyDescent="0.25">
      <c r="A2168" s="82">
        <v>44443</v>
      </c>
      <c r="B2168" t="s">
        <v>514</v>
      </c>
      <c r="C2168" t="s">
        <v>428</v>
      </c>
      <c r="D2168" t="s">
        <v>424</v>
      </c>
      <c r="E2168" t="s">
        <v>430</v>
      </c>
      <c r="F2168" t="s">
        <v>426</v>
      </c>
      <c r="G2168" t="s">
        <v>425</v>
      </c>
      <c r="H2168" t="s">
        <v>421</v>
      </c>
      <c r="I2168" t="s">
        <v>455</v>
      </c>
      <c r="J2168" t="s">
        <v>427</v>
      </c>
      <c r="N2168">
        <v>0</v>
      </c>
    </row>
    <row r="2169" spans="1:14" ht="15" customHeight="1" x14ac:dyDescent="0.25">
      <c r="A2169" s="82">
        <v>44444</v>
      </c>
      <c r="B2169" t="s">
        <v>514</v>
      </c>
      <c r="C2169" t="s">
        <v>428</v>
      </c>
      <c r="D2169" t="s">
        <v>424</v>
      </c>
      <c r="E2169" t="s">
        <v>430</v>
      </c>
      <c r="F2169" t="s">
        <v>426</v>
      </c>
      <c r="G2169" t="s">
        <v>425</v>
      </c>
      <c r="H2169" t="s">
        <v>421</v>
      </c>
      <c r="I2169" t="s">
        <v>427</v>
      </c>
      <c r="J2169" t="s">
        <v>455</v>
      </c>
      <c r="N2169">
        <v>0</v>
      </c>
    </row>
    <row r="2170" spans="1:14" ht="15" customHeight="1" x14ac:dyDescent="0.25">
      <c r="A2170" s="82">
        <v>44445</v>
      </c>
      <c r="B2170" t="s">
        <v>514</v>
      </c>
      <c r="C2170" t="s">
        <v>428</v>
      </c>
      <c r="D2170" t="s">
        <v>424</v>
      </c>
      <c r="E2170" t="s">
        <v>430</v>
      </c>
      <c r="F2170" t="s">
        <v>426</v>
      </c>
      <c r="G2170" t="s">
        <v>425</v>
      </c>
      <c r="H2170" t="s">
        <v>427</v>
      </c>
      <c r="I2170" t="s">
        <v>455</v>
      </c>
      <c r="J2170" t="s">
        <v>421</v>
      </c>
      <c r="N2170">
        <v>0</v>
      </c>
    </row>
    <row r="2171" spans="1:14" ht="15" customHeight="1" x14ac:dyDescent="0.25">
      <c r="A2171" s="82">
        <v>44446</v>
      </c>
      <c r="B2171" t="s">
        <v>514</v>
      </c>
      <c r="C2171" t="s">
        <v>428</v>
      </c>
      <c r="D2171" t="s">
        <v>424</v>
      </c>
      <c r="E2171" t="s">
        <v>430</v>
      </c>
      <c r="F2171" t="s">
        <v>426</v>
      </c>
      <c r="G2171" t="s">
        <v>425</v>
      </c>
      <c r="H2171" t="s">
        <v>455</v>
      </c>
      <c r="I2171" t="s">
        <v>421</v>
      </c>
      <c r="J2171" t="s">
        <v>427</v>
      </c>
      <c r="N2171">
        <v>0</v>
      </c>
    </row>
    <row r="2172" spans="1:14" ht="15" customHeight="1" x14ac:dyDescent="0.25">
      <c r="A2172" s="82">
        <v>44447</v>
      </c>
      <c r="B2172" t="s">
        <v>514</v>
      </c>
      <c r="C2172" t="s">
        <v>428</v>
      </c>
      <c r="D2172" t="s">
        <v>424</v>
      </c>
      <c r="E2172" t="s">
        <v>430</v>
      </c>
      <c r="F2172" t="s">
        <v>426</v>
      </c>
      <c r="G2172" t="s">
        <v>425</v>
      </c>
      <c r="H2172" t="s">
        <v>427</v>
      </c>
      <c r="I2172" t="s">
        <v>421</v>
      </c>
      <c r="J2172" t="s">
        <v>455</v>
      </c>
      <c r="N2172">
        <v>0</v>
      </c>
    </row>
    <row r="2173" spans="1:14" ht="15" customHeight="1" x14ac:dyDescent="0.25">
      <c r="A2173" s="82">
        <v>44448</v>
      </c>
      <c r="B2173" t="s">
        <v>514</v>
      </c>
      <c r="C2173" t="s">
        <v>428</v>
      </c>
      <c r="D2173" t="s">
        <v>424</v>
      </c>
      <c r="E2173" t="s">
        <v>430</v>
      </c>
      <c r="F2173" t="s">
        <v>426</v>
      </c>
      <c r="G2173" t="s">
        <v>425</v>
      </c>
      <c r="H2173" t="s">
        <v>455</v>
      </c>
      <c r="I2173" t="s">
        <v>427</v>
      </c>
      <c r="J2173" t="s">
        <v>517</v>
      </c>
      <c r="N2173">
        <v>0</v>
      </c>
    </row>
    <row r="2174" spans="1:14" ht="15" customHeight="1" x14ac:dyDescent="0.25">
      <c r="A2174" s="82">
        <v>44449</v>
      </c>
      <c r="B2174" t="s">
        <v>426</v>
      </c>
      <c r="C2174" t="s">
        <v>425</v>
      </c>
      <c r="D2174" t="s">
        <v>424</v>
      </c>
      <c r="E2174" t="s">
        <v>421</v>
      </c>
      <c r="F2174" t="s">
        <v>427</v>
      </c>
      <c r="G2174" t="s">
        <v>425</v>
      </c>
      <c r="H2174" t="s">
        <v>424</v>
      </c>
      <c r="I2174" t="s">
        <v>455</v>
      </c>
      <c r="J2174" t="s">
        <v>514</v>
      </c>
      <c r="N2174">
        <v>0</v>
      </c>
    </row>
    <row r="2175" spans="1:14" ht="15" customHeight="1" x14ac:dyDescent="0.25">
      <c r="A2175" s="82">
        <v>44450</v>
      </c>
      <c r="B2175" t="s">
        <v>426</v>
      </c>
      <c r="C2175" t="s">
        <v>425</v>
      </c>
      <c r="D2175" t="s">
        <v>430</v>
      </c>
      <c r="E2175" t="s">
        <v>427</v>
      </c>
      <c r="F2175" t="s">
        <v>455</v>
      </c>
      <c r="G2175" t="s">
        <v>421</v>
      </c>
      <c r="H2175" t="s">
        <v>424</v>
      </c>
      <c r="I2175" t="s">
        <v>428</v>
      </c>
      <c r="J2175" t="s">
        <v>514</v>
      </c>
      <c r="N2175">
        <v>0</v>
      </c>
    </row>
    <row r="2176" spans="1:14" ht="15" customHeight="1" x14ac:dyDescent="0.25">
      <c r="A2176" s="82">
        <v>44451</v>
      </c>
      <c r="B2176" t="s">
        <v>426</v>
      </c>
      <c r="C2176" t="s">
        <v>425</v>
      </c>
      <c r="D2176" t="s">
        <v>430</v>
      </c>
      <c r="E2176" t="s">
        <v>455</v>
      </c>
      <c r="F2176" t="s">
        <v>427</v>
      </c>
      <c r="G2176" t="s">
        <v>421</v>
      </c>
      <c r="H2176" t="s">
        <v>424</v>
      </c>
      <c r="I2176" t="s">
        <v>428</v>
      </c>
      <c r="J2176" t="s">
        <v>514</v>
      </c>
      <c r="N2176">
        <v>0</v>
      </c>
    </row>
    <row r="2177" spans="1:14" ht="15" customHeight="1" x14ac:dyDescent="0.25">
      <c r="A2177" s="82">
        <v>44452</v>
      </c>
      <c r="B2177" t="s">
        <v>426</v>
      </c>
      <c r="C2177" t="s">
        <v>425</v>
      </c>
      <c r="D2177" t="s">
        <v>430</v>
      </c>
      <c r="E2177" t="s">
        <v>421</v>
      </c>
      <c r="F2177" t="s">
        <v>455</v>
      </c>
      <c r="G2177" t="s">
        <v>427</v>
      </c>
      <c r="H2177" t="s">
        <v>424</v>
      </c>
      <c r="I2177" t="s">
        <v>428</v>
      </c>
      <c r="J2177" t="s">
        <v>514</v>
      </c>
      <c r="N2177">
        <v>0</v>
      </c>
    </row>
    <row r="2178" spans="1:14" ht="15" customHeight="1" x14ac:dyDescent="0.25">
      <c r="A2178" s="82">
        <v>44453</v>
      </c>
      <c r="B2178" t="s">
        <v>426</v>
      </c>
      <c r="C2178" t="s">
        <v>425</v>
      </c>
      <c r="D2178" t="s">
        <v>430</v>
      </c>
      <c r="E2178" t="s">
        <v>427</v>
      </c>
      <c r="F2178" t="s">
        <v>421</v>
      </c>
      <c r="G2178" t="s">
        <v>455</v>
      </c>
      <c r="H2178" t="s">
        <v>424</v>
      </c>
      <c r="I2178" t="s">
        <v>428</v>
      </c>
      <c r="J2178" t="s">
        <v>514</v>
      </c>
      <c r="N2178">
        <v>0</v>
      </c>
    </row>
    <row r="2179" spans="1:14" ht="15" customHeight="1" x14ac:dyDescent="0.25">
      <c r="A2179" s="82">
        <v>44454</v>
      </c>
      <c r="B2179" t="s">
        <v>426</v>
      </c>
      <c r="C2179" t="s">
        <v>425</v>
      </c>
      <c r="D2179" t="s">
        <v>430</v>
      </c>
      <c r="E2179" t="s">
        <v>455</v>
      </c>
      <c r="F2179" t="s">
        <v>421</v>
      </c>
      <c r="G2179" t="s">
        <v>427</v>
      </c>
      <c r="H2179" t="s">
        <v>424</v>
      </c>
      <c r="I2179" t="s">
        <v>428</v>
      </c>
      <c r="J2179" t="s">
        <v>514</v>
      </c>
      <c r="N2179">
        <v>0</v>
      </c>
    </row>
    <row r="2180" spans="1:14" ht="15" customHeight="1" x14ac:dyDescent="0.25">
      <c r="A2180" s="82">
        <v>44455</v>
      </c>
      <c r="B2180" t="s">
        <v>426</v>
      </c>
      <c r="C2180" t="s">
        <v>425</v>
      </c>
      <c r="D2180" t="s">
        <v>430</v>
      </c>
      <c r="E2180" t="s">
        <v>421</v>
      </c>
      <c r="F2180" t="s">
        <v>427</v>
      </c>
      <c r="G2180" t="s">
        <v>455</v>
      </c>
      <c r="H2180" t="s">
        <v>424</v>
      </c>
      <c r="I2180" t="s">
        <v>428</v>
      </c>
      <c r="J2180" t="s">
        <v>514</v>
      </c>
      <c r="N2180">
        <v>0</v>
      </c>
    </row>
    <row r="2181" spans="1:14" ht="15" customHeight="1" x14ac:dyDescent="0.25">
      <c r="A2181" s="82">
        <v>44456</v>
      </c>
      <c r="B2181" t="s">
        <v>427</v>
      </c>
      <c r="C2181" t="s">
        <v>425</v>
      </c>
      <c r="D2181" t="s">
        <v>421</v>
      </c>
      <c r="E2181" t="s">
        <v>429</v>
      </c>
      <c r="F2181" t="s">
        <v>455</v>
      </c>
      <c r="G2181" t="s">
        <v>424</v>
      </c>
      <c r="H2181" t="s">
        <v>424</v>
      </c>
      <c r="I2181" t="s">
        <v>425</v>
      </c>
      <c r="J2181" t="s">
        <v>426</v>
      </c>
      <c r="N2181">
        <v>0</v>
      </c>
    </row>
    <row r="2182" spans="1:14" ht="15" customHeight="1" x14ac:dyDescent="0.25">
      <c r="A2182" s="82">
        <v>44457</v>
      </c>
      <c r="B2182" t="s">
        <v>455</v>
      </c>
      <c r="C2182" t="s">
        <v>421</v>
      </c>
      <c r="D2182" t="s">
        <v>427</v>
      </c>
      <c r="E2182" t="s">
        <v>429</v>
      </c>
      <c r="F2182" t="s">
        <v>428</v>
      </c>
      <c r="G2182" t="s">
        <v>424</v>
      </c>
      <c r="H2182" t="s">
        <v>430</v>
      </c>
      <c r="I2182" t="s">
        <v>425</v>
      </c>
      <c r="J2182" t="s">
        <v>426</v>
      </c>
      <c r="N2182">
        <v>0</v>
      </c>
    </row>
    <row r="2183" spans="1:14" ht="15" customHeight="1" x14ac:dyDescent="0.25">
      <c r="A2183" s="82">
        <v>44458</v>
      </c>
      <c r="B2183" t="s">
        <v>427</v>
      </c>
      <c r="C2183" t="s">
        <v>421</v>
      </c>
      <c r="D2183" t="s">
        <v>455</v>
      </c>
      <c r="E2183" t="s">
        <v>429</v>
      </c>
      <c r="F2183" t="s">
        <v>428</v>
      </c>
      <c r="G2183" t="s">
        <v>424</v>
      </c>
      <c r="H2183" t="s">
        <v>430</v>
      </c>
      <c r="I2183" t="s">
        <v>425</v>
      </c>
      <c r="J2183" t="s">
        <v>426</v>
      </c>
      <c r="N2183">
        <v>0</v>
      </c>
    </row>
    <row r="2184" spans="1:14" ht="15" customHeight="1" x14ac:dyDescent="0.25">
      <c r="A2184" s="82">
        <v>44459</v>
      </c>
      <c r="B2184" t="s">
        <v>455</v>
      </c>
      <c r="C2184" t="s">
        <v>427</v>
      </c>
      <c r="D2184" t="s">
        <v>421</v>
      </c>
      <c r="E2184" t="s">
        <v>429</v>
      </c>
      <c r="F2184" t="s">
        <v>428</v>
      </c>
      <c r="G2184" t="s">
        <v>424</v>
      </c>
      <c r="H2184" t="s">
        <v>430</v>
      </c>
      <c r="I2184" t="s">
        <v>425</v>
      </c>
      <c r="J2184" t="s">
        <v>426</v>
      </c>
      <c r="N2184">
        <v>0</v>
      </c>
    </row>
    <row r="2185" spans="1:14" ht="15" customHeight="1" x14ac:dyDescent="0.25">
      <c r="A2185" s="82">
        <v>44460</v>
      </c>
      <c r="B2185" t="s">
        <v>421</v>
      </c>
      <c r="C2185" t="s">
        <v>455</v>
      </c>
      <c r="D2185" t="s">
        <v>427</v>
      </c>
      <c r="E2185" t="s">
        <v>429</v>
      </c>
      <c r="F2185" t="s">
        <v>428</v>
      </c>
      <c r="G2185" t="s">
        <v>424</v>
      </c>
      <c r="H2185" t="s">
        <v>430</v>
      </c>
      <c r="I2185" t="s">
        <v>425</v>
      </c>
      <c r="J2185" t="s">
        <v>426</v>
      </c>
      <c r="N2185">
        <v>0</v>
      </c>
    </row>
    <row r="2186" spans="1:14" ht="15" customHeight="1" x14ac:dyDescent="0.25">
      <c r="A2186" s="82">
        <v>44461</v>
      </c>
      <c r="B2186" t="s">
        <v>421</v>
      </c>
      <c r="C2186" t="s">
        <v>427</v>
      </c>
      <c r="D2186" t="s">
        <v>455</v>
      </c>
      <c r="E2186" t="s">
        <v>429</v>
      </c>
      <c r="F2186" t="s">
        <v>428</v>
      </c>
      <c r="G2186" t="s">
        <v>424</v>
      </c>
      <c r="H2186" t="s">
        <v>430</v>
      </c>
      <c r="I2186" t="s">
        <v>425</v>
      </c>
      <c r="J2186" t="s">
        <v>426</v>
      </c>
      <c r="N2186">
        <v>0</v>
      </c>
    </row>
    <row r="2187" spans="1:14" ht="15" customHeight="1" x14ac:dyDescent="0.25">
      <c r="A2187" s="82">
        <v>44462</v>
      </c>
      <c r="B2187" t="s">
        <v>427</v>
      </c>
      <c r="C2187" t="s">
        <v>455</v>
      </c>
      <c r="D2187" t="s">
        <v>421</v>
      </c>
      <c r="E2187" t="s">
        <v>429</v>
      </c>
      <c r="F2187" t="s">
        <v>428</v>
      </c>
      <c r="G2187" t="s">
        <v>424</v>
      </c>
      <c r="H2187" t="s">
        <v>430</v>
      </c>
      <c r="I2187" t="s">
        <v>425</v>
      </c>
      <c r="J2187" t="s">
        <v>426</v>
      </c>
      <c r="N2187">
        <v>0</v>
      </c>
    </row>
    <row r="2188" spans="1:14" ht="15" customHeight="1" x14ac:dyDescent="0.25">
      <c r="A2188" s="82">
        <v>44463</v>
      </c>
      <c r="B2188" t="s">
        <v>455</v>
      </c>
      <c r="C2188" t="s">
        <v>424</v>
      </c>
      <c r="D2188" t="s">
        <v>429</v>
      </c>
      <c r="E2188" t="s">
        <v>426</v>
      </c>
      <c r="F2188" t="s">
        <v>425</v>
      </c>
      <c r="G2188" t="s">
        <v>424</v>
      </c>
      <c r="H2188" t="s">
        <v>421</v>
      </c>
      <c r="I2188" t="s">
        <v>425</v>
      </c>
      <c r="J2188" t="s">
        <v>427</v>
      </c>
      <c r="N2188">
        <v>0</v>
      </c>
    </row>
    <row r="2189" spans="1:14" ht="15" customHeight="1" x14ac:dyDescent="0.25">
      <c r="A2189" s="82">
        <v>44464</v>
      </c>
      <c r="B2189" t="s">
        <v>428</v>
      </c>
      <c r="C2189" t="s">
        <v>424</v>
      </c>
      <c r="D2189" t="s">
        <v>429</v>
      </c>
      <c r="E2189" t="s">
        <v>426</v>
      </c>
      <c r="F2189" t="s">
        <v>425</v>
      </c>
      <c r="G2189" t="s">
        <v>430</v>
      </c>
      <c r="H2189" t="s">
        <v>427</v>
      </c>
      <c r="I2189" t="s">
        <v>421</v>
      </c>
      <c r="J2189" t="s">
        <v>455</v>
      </c>
      <c r="N2189">
        <v>0</v>
      </c>
    </row>
    <row r="2190" spans="1:14" ht="15" customHeight="1" x14ac:dyDescent="0.25">
      <c r="A2190" s="82">
        <v>44465</v>
      </c>
      <c r="B2190" t="s">
        <v>428</v>
      </c>
      <c r="C2190" t="s">
        <v>424</v>
      </c>
      <c r="D2190" t="s">
        <v>429</v>
      </c>
      <c r="E2190" t="s">
        <v>426</v>
      </c>
      <c r="F2190" t="s">
        <v>425</v>
      </c>
      <c r="G2190" t="s">
        <v>430</v>
      </c>
      <c r="H2190" t="s">
        <v>455</v>
      </c>
      <c r="I2190" t="s">
        <v>421</v>
      </c>
      <c r="J2190" t="s">
        <v>427</v>
      </c>
      <c r="N2190">
        <v>0</v>
      </c>
    </row>
    <row r="2191" spans="1:14" ht="15" customHeight="1" x14ac:dyDescent="0.25">
      <c r="A2191" s="82">
        <v>44466</v>
      </c>
      <c r="B2191" t="s">
        <v>428</v>
      </c>
      <c r="C2191" t="s">
        <v>424</v>
      </c>
      <c r="D2191" t="s">
        <v>429</v>
      </c>
      <c r="E2191" t="s">
        <v>426</v>
      </c>
      <c r="F2191" t="s">
        <v>425</v>
      </c>
      <c r="G2191" t="s">
        <v>430</v>
      </c>
      <c r="H2191" t="s">
        <v>421</v>
      </c>
      <c r="I2191" t="s">
        <v>427</v>
      </c>
      <c r="J2191" t="s">
        <v>455</v>
      </c>
      <c r="N2191">
        <v>0</v>
      </c>
    </row>
    <row r="2192" spans="1:14" ht="15" customHeight="1" x14ac:dyDescent="0.25">
      <c r="A2192" s="82">
        <v>44467</v>
      </c>
      <c r="B2192" t="s">
        <v>428</v>
      </c>
      <c r="C2192" t="s">
        <v>424</v>
      </c>
      <c r="D2192" t="s">
        <v>429</v>
      </c>
      <c r="E2192" t="s">
        <v>426</v>
      </c>
      <c r="F2192" t="s">
        <v>425</v>
      </c>
      <c r="G2192" t="s">
        <v>430</v>
      </c>
      <c r="H2192" t="s">
        <v>427</v>
      </c>
      <c r="I2192" t="s">
        <v>455</v>
      </c>
      <c r="J2192" t="s">
        <v>421</v>
      </c>
      <c r="N2192">
        <v>0</v>
      </c>
    </row>
    <row r="2193" spans="1:14" ht="15" customHeight="1" x14ac:dyDescent="0.25">
      <c r="A2193" s="82">
        <v>44468</v>
      </c>
      <c r="B2193" t="s">
        <v>428</v>
      </c>
      <c r="C2193" t="s">
        <v>424</v>
      </c>
      <c r="D2193" t="s">
        <v>429</v>
      </c>
      <c r="E2193" t="s">
        <v>426</v>
      </c>
      <c r="F2193" t="s">
        <v>425</v>
      </c>
      <c r="G2193" t="s">
        <v>430</v>
      </c>
      <c r="H2193" t="s">
        <v>455</v>
      </c>
      <c r="I2193" t="s">
        <v>427</v>
      </c>
      <c r="J2193" t="s">
        <v>421</v>
      </c>
      <c r="N2193">
        <v>0</v>
      </c>
    </row>
    <row r="2194" spans="1:14" ht="15" customHeight="1" x14ac:dyDescent="0.25">
      <c r="A2194" s="82">
        <v>44469</v>
      </c>
      <c r="B2194" t="s">
        <v>428</v>
      </c>
      <c r="C2194" t="s">
        <v>424</v>
      </c>
      <c r="D2194" t="s">
        <v>429</v>
      </c>
      <c r="E2194" t="s">
        <v>426</v>
      </c>
      <c r="F2194" t="s">
        <v>425</v>
      </c>
      <c r="G2194" t="s">
        <v>430</v>
      </c>
      <c r="H2194" t="s">
        <v>421</v>
      </c>
      <c r="I2194" t="s">
        <v>455</v>
      </c>
      <c r="J2194" t="s">
        <v>427</v>
      </c>
      <c r="N2194">
        <v>0</v>
      </c>
    </row>
    <row r="2195" spans="1:14" ht="15" customHeight="1" x14ac:dyDescent="0.25">
      <c r="A2195" s="82">
        <v>44470</v>
      </c>
      <c r="B2195" t="s">
        <v>425</v>
      </c>
      <c r="C2195" t="s">
        <v>424</v>
      </c>
      <c r="D2195" t="s">
        <v>426</v>
      </c>
      <c r="E2195" t="s">
        <v>427</v>
      </c>
      <c r="F2195" t="s">
        <v>425</v>
      </c>
      <c r="G2195" t="s">
        <v>421</v>
      </c>
      <c r="H2195" t="s">
        <v>429</v>
      </c>
      <c r="I2195" t="s">
        <v>424</v>
      </c>
      <c r="J2195" t="s">
        <v>455</v>
      </c>
      <c r="N2195">
        <v>0</v>
      </c>
    </row>
    <row r="2196" spans="1:14" ht="15" customHeight="1" x14ac:dyDescent="0.25">
      <c r="A2196" s="82">
        <v>44471</v>
      </c>
      <c r="B2196" t="s">
        <v>425</v>
      </c>
      <c r="C2196" t="s">
        <v>430</v>
      </c>
      <c r="D2196" t="s">
        <v>426</v>
      </c>
      <c r="E2196" t="s">
        <v>455</v>
      </c>
      <c r="F2196" t="s">
        <v>421</v>
      </c>
      <c r="G2196" t="s">
        <v>427</v>
      </c>
      <c r="H2196" t="s">
        <v>429</v>
      </c>
      <c r="I2196" t="s">
        <v>424</v>
      </c>
      <c r="J2196" t="s">
        <v>428</v>
      </c>
      <c r="N2196">
        <v>0</v>
      </c>
    </row>
    <row r="2197" spans="1:14" ht="15" customHeight="1" x14ac:dyDescent="0.25">
      <c r="A2197" s="82">
        <v>44472</v>
      </c>
      <c r="B2197" t="s">
        <v>425</v>
      </c>
      <c r="C2197" t="s">
        <v>430</v>
      </c>
      <c r="D2197" t="s">
        <v>426</v>
      </c>
      <c r="E2197" t="s">
        <v>427</v>
      </c>
      <c r="F2197" t="s">
        <v>421</v>
      </c>
      <c r="G2197" t="s">
        <v>455</v>
      </c>
      <c r="H2197" t="s">
        <v>429</v>
      </c>
      <c r="I2197" t="s">
        <v>424</v>
      </c>
      <c r="J2197" t="s">
        <v>428</v>
      </c>
      <c r="N2197">
        <v>0</v>
      </c>
    </row>
    <row r="2198" spans="1:14" ht="15" customHeight="1" x14ac:dyDescent="0.25">
      <c r="A2198" s="82">
        <v>44473</v>
      </c>
      <c r="B2198" t="s">
        <v>425</v>
      </c>
      <c r="C2198" t="s">
        <v>430</v>
      </c>
      <c r="D2198" t="s">
        <v>426</v>
      </c>
      <c r="E2198" t="s">
        <v>455</v>
      </c>
      <c r="F2198" t="s">
        <v>427</v>
      </c>
      <c r="G2198" t="s">
        <v>421</v>
      </c>
      <c r="H2198" t="s">
        <v>429</v>
      </c>
      <c r="I2198" t="s">
        <v>424</v>
      </c>
      <c r="J2198" t="s">
        <v>428</v>
      </c>
      <c r="N2198">
        <v>0</v>
      </c>
    </row>
    <row r="2199" spans="1:14" ht="15" customHeight="1" x14ac:dyDescent="0.25">
      <c r="A2199" s="82">
        <v>44474</v>
      </c>
      <c r="B2199" t="s">
        <v>425</v>
      </c>
      <c r="C2199" t="s">
        <v>430</v>
      </c>
      <c r="D2199" t="s">
        <v>426</v>
      </c>
      <c r="E2199" t="s">
        <v>421</v>
      </c>
      <c r="F2199" t="s">
        <v>455</v>
      </c>
      <c r="G2199" t="s">
        <v>427</v>
      </c>
      <c r="H2199" t="s">
        <v>429</v>
      </c>
      <c r="I2199" t="s">
        <v>424</v>
      </c>
      <c r="J2199" t="s">
        <v>428</v>
      </c>
      <c r="N2199">
        <v>0</v>
      </c>
    </row>
    <row r="2200" spans="1:14" ht="15" customHeight="1" x14ac:dyDescent="0.25">
      <c r="A2200" s="82">
        <v>44475</v>
      </c>
      <c r="B2200" t="s">
        <v>425</v>
      </c>
      <c r="C2200" t="s">
        <v>430</v>
      </c>
      <c r="D2200" t="s">
        <v>426</v>
      </c>
      <c r="E2200" t="s">
        <v>421</v>
      </c>
      <c r="F2200" t="s">
        <v>427</v>
      </c>
      <c r="G2200" t="s">
        <v>455</v>
      </c>
      <c r="H2200" t="s">
        <v>429</v>
      </c>
      <c r="I2200" t="s">
        <v>424</v>
      </c>
      <c r="J2200" t="s">
        <v>428</v>
      </c>
      <c r="N2200">
        <v>0</v>
      </c>
    </row>
    <row r="2201" spans="1:14" ht="15" customHeight="1" x14ac:dyDescent="0.25">
      <c r="A2201" s="82">
        <v>44476</v>
      </c>
      <c r="B2201" t="s">
        <v>425</v>
      </c>
      <c r="C2201" t="s">
        <v>430</v>
      </c>
      <c r="D2201" t="s">
        <v>426</v>
      </c>
      <c r="E2201" t="s">
        <v>427</v>
      </c>
      <c r="F2201" t="s">
        <v>455</v>
      </c>
      <c r="G2201" t="s">
        <v>421</v>
      </c>
      <c r="H2201" t="s">
        <v>429</v>
      </c>
      <c r="I2201" t="s">
        <v>424</v>
      </c>
      <c r="J2201" t="s">
        <v>428</v>
      </c>
      <c r="N2201">
        <v>0</v>
      </c>
    </row>
    <row r="2202" spans="1:14" ht="15" customHeight="1" x14ac:dyDescent="0.25">
      <c r="A2202" s="82">
        <v>44477</v>
      </c>
      <c r="B2202" t="s">
        <v>425</v>
      </c>
      <c r="C2202" t="s">
        <v>421</v>
      </c>
      <c r="D2202" t="s">
        <v>427</v>
      </c>
      <c r="E2202" t="s">
        <v>455</v>
      </c>
      <c r="F2202" t="s">
        <v>424</v>
      </c>
      <c r="G2202" t="s">
        <v>429</v>
      </c>
      <c r="H2202" t="s">
        <v>426</v>
      </c>
      <c r="I2202" t="s">
        <v>424</v>
      </c>
      <c r="J2202" t="s">
        <v>425</v>
      </c>
      <c r="N2202">
        <v>0</v>
      </c>
    </row>
    <row r="2203" spans="1:14" ht="15" customHeight="1" x14ac:dyDescent="0.25">
      <c r="A2203" s="82">
        <v>44478</v>
      </c>
      <c r="B2203" t="s">
        <v>421</v>
      </c>
      <c r="C2203" t="s">
        <v>427</v>
      </c>
      <c r="D2203" t="s">
        <v>455</v>
      </c>
      <c r="E2203" t="s">
        <v>428</v>
      </c>
      <c r="F2203" t="s">
        <v>424</v>
      </c>
      <c r="G2203" t="s">
        <v>429</v>
      </c>
      <c r="H2203" t="s">
        <v>426</v>
      </c>
      <c r="I2203" t="s">
        <v>430</v>
      </c>
      <c r="J2203" t="s">
        <v>425</v>
      </c>
      <c r="N2203">
        <v>0</v>
      </c>
    </row>
    <row r="2204" spans="1:14" ht="15" customHeight="1" x14ac:dyDescent="0.25">
      <c r="A2204" s="82">
        <v>44479</v>
      </c>
      <c r="B2204" t="s">
        <v>421</v>
      </c>
      <c r="C2204" t="s">
        <v>455</v>
      </c>
      <c r="D2204" t="s">
        <v>427</v>
      </c>
      <c r="E2204" t="s">
        <v>428</v>
      </c>
      <c r="F2204" t="s">
        <v>424</v>
      </c>
      <c r="G2204" t="s">
        <v>429</v>
      </c>
      <c r="H2204" t="s">
        <v>426</v>
      </c>
      <c r="I2204" t="s">
        <v>430</v>
      </c>
      <c r="J2204" t="s">
        <v>425</v>
      </c>
      <c r="N2204">
        <v>0</v>
      </c>
    </row>
    <row r="2205" spans="1:14" ht="15" customHeight="1" x14ac:dyDescent="0.25">
      <c r="A2205" s="82">
        <v>44480</v>
      </c>
      <c r="B2205" t="s">
        <v>427</v>
      </c>
      <c r="C2205" t="s">
        <v>421</v>
      </c>
      <c r="D2205" t="s">
        <v>455</v>
      </c>
      <c r="E2205" t="s">
        <v>428</v>
      </c>
      <c r="F2205" t="s">
        <v>424</v>
      </c>
      <c r="G2205" t="s">
        <v>429</v>
      </c>
      <c r="H2205" t="s">
        <v>426</v>
      </c>
      <c r="I2205" t="s">
        <v>430</v>
      </c>
      <c r="J2205" t="s">
        <v>425</v>
      </c>
      <c r="N2205">
        <v>0</v>
      </c>
    </row>
    <row r="2206" spans="1:14" ht="15" customHeight="1" x14ac:dyDescent="0.25">
      <c r="A2206" s="82">
        <v>44481</v>
      </c>
      <c r="B2206" t="s">
        <v>455</v>
      </c>
      <c r="C2206" t="s">
        <v>427</v>
      </c>
      <c r="D2206" t="s">
        <v>421</v>
      </c>
      <c r="E2206" t="s">
        <v>428</v>
      </c>
      <c r="F2206" t="s">
        <v>424</v>
      </c>
      <c r="G2206" t="s">
        <v>429</v>
      </c>
      <c r="H2206" t="s">
        <v>426</v>
      </c>
      <c r="I2206" t="s">
        <v>430</v>
      </c>
      <c r="J2206" t="s">
        <v>425</v>
      </c>
      <c r="N2206">
        <v>0</v>
      </c>
    </row>
    <row r="2207" spans="1:14" ht="15" customHeight="1" x14ac:dyDescent="0.25">
      <c r="A2207" s="82">
        <v>44482</v>
      </c>
      <c r="B2207" t="s">
        <v>427</v>
      </c>
      <c r="C2207" t="s">
        <v>455</v>
      </c>
      <c r="D2207" t="s">
        <v>421</v>
      </c>
      <c r="E2207" t="s">
        <v>428</v>
      </c>
      <c r="F2207" t="s">
        <v>424</v>
      </c>
      <c r="G2207" t="s">
        <v>429</v>
      </c>
      <c r="H2207" t="s">
        <v>426</v>
      </c>
      <c r="I2207" t="s">
        <v>430</v>
      </c>
      <c r="J2207" t="s">
        <v>425</v>
      </c>
      <c r="N2207">
        <v>0</v>
      </c>
    </row>
    <row r="2208" spans="1:14" ht="15" customHeight="1" x14ac:dyDescent="0.25">
      <c r="A2208" s="82">
        <v>44483</v>
      </c>
      <c r="B2208" t="s">
        <v>455</v>
      </c>
      <c r="C2208" t="s">
        <v>421</v>
      </c>
      <c r="D2208" t="s">
        <v>427</v>
      </c>
      <c r="E2208" t="s">
        <v>428</v>
      </c>
      <c r="F2208" t="s">
        <v>424</v>
      </c>
      <c r="G2208" t="s">
        <v>429</v>
      </c>
      <c r="H2208" t="s">
        <v>426</v>
      </c>
      <c r="I2208" t="s">
        <v>430</v>
      </c>
      <c r="J2208" t="s">
        <v>425</v>
      </c>
      <c r="N2208">
        <v>0</v>
      </c>
    </row>
    <row r="2209" spans="1:14" ht="15" customHeight="1" x14ac:dyDescent="0.25">
      <c r="A2209" s="82">
        <v>44484</v>
      </c>
      <c r="B2209" t="s">
        <v>424</v>
      </c>
      <c r="C2209" t="s">
        <v>429</v>
      </c>
      <c r="D2209" t="s">
        <v>455</v>
      </c>
      <c r="E2209" t="s">
        <v>425</v>
      </c>
      <c r="F2209" t="s">
        <v>424</v>
      </c>
      <c r="G2209" t="s">
        <v>426</v>
      </c>
      <c r="H2209" t="s">
        <v>427</v>
      </c>
      <c r="I2209" t="s">
        <v>421</v>
      </c>
      <c r="J2209" t="s">
        <v>425</v>
      </c>
      <c r="N2209">
        <v>0</v>
      </c>
    </row>
    <row r="2210" spans="1:14" ht="15" customHeight="1" x14ac:dyDescent="0.25">
      <c r="A2210" s="82">
        <v>44485</v>
      </c>
      <c r="B2210" t="s">
        <v>424</v>
      </c>
      <c r="C2210" t="s">
        <v>429</v>
      </c>
      <c r="D2210" t="s">
        <v>428</v>
      </c>
      <c r="E2210" t="s">
        <v>425</v>
      </c>
      <c r="F2210" t="s">
        <v>430</v>
      </c>
      <c r="G2210" t="s">
        <v>426</v>
      </c>
      <c r="H2210" t="s">
        <v>455</v>
      </c>
      <c r="I2210" t="s">
        <v>427</v>
      </c>
      <c r="J2210" t="s">
        <v>421</v>
      </c>
      <c r="N2210">
        <v>0</v>
      </c>
    </row>
    <row r="2211" spans="1:14" ht="15" customHeight="1" x14ac:dyDescent="0.25">
      <c r="A2211" s="82">
        <v>44486</v>
      </c>
      <c r="B2211" t="s">
        <v>424</v>
      </c>
      <c r="C2211" t="s">
        <v>429</v>
      </c>
      <c r="D2211" t="s">
        <v>428</v>
      </c>
      <c r="E2211" t="s">
        <v>425</v>
      </c>
      <c r="F2211" t="s">
        <v>430</v>
      </c>
      <c r="G2211" t="s">
        <v>426</v>
      </c>
      <c r="H2211" t="s">
        <v>427</v>
      </c>
      <c r="I2211" t="s">
        <v>455</v>
      </c>
      <c r="J2211" t="s">
        <v>421</v>
      </c>
      <c r="N2211">
        <v>0</v>
      </c>
    </row>
    <row r="2212" spans="1:14" ht="15" customHeight="1" x14ac:dyDescent="0.25">
      <c r="A2212" s="82">
        <v>44487</v>
      </c>
      <c r="B2212" t="s">
        <v>424</v>
      </c>
      <c r="C2212" t="s">
        <v>429</v>
      </c>
      <c r="D2212" t="s">
        <v>428</v>
      </c>
      <c r="E2212" t="s">
        <v>425</v>
      </c>
      <c r="F2212" t="s">
        <v>430</v>
      </c>
      <c r="G2212" t="s">
        <v>426</v>
      </c>
      <c r="H2212" t="s">
        <v>455</v>
      </c>
      <c r="I2212" t="s">
        <v>421</v>
      </c>
      <c r="J2212" t="s">
        <v>427</v>
      </c>
      <c r="N2212">
        <v>0</v>
      </c>
    </row>
    <row r="2213" spans="1:14" ht="15" customHeight="1" x14ac:dyDescent="0.25">
      <c r="A2213" s="82">
        <v>44488</v>
      </c>
      <c r="B2213" t="s">
        <v>424</v>
      </c>
      <c r="C2213" t="s">
        <v>429</v>
      </c>
      <c r="D2213" t="s">
        <v>428</v>
      </c>
      <c r="E2213" t="s">
        <v>425</v>
      </c>
      <c r="F2213" t="s">
        <v>430</v>
      </c>
      <c r="G2213" t="s">
        <v>426</v>
      </c>
      <c r="H2213" t="s">
        <v>421</v>
      </c>
      <c r="I2213" t="s">
        <v>427</v>
      </c>
      <c r="J2213" t="s">
        <v>455</v>
      </c>
      <c r="N2213">
        <v>0</v>
      </c>
    </row>
    <row r="2214" spans="1:14" ht="15" customHeight="1" x14ac:dyDescent="0.25">
      <c r="A2214" s="82">
        <v>44489</v>
      </c>
      <c r="B2214" t="s">
        <v>424</v>
      </c>
      <c r="C2214" t="s">
        <v>429</v>
      </c>
      <c r="D2214" t="s">
        <v>428</v>
      </c>
      <c r="E2214" t="s">
        <v>425</v>
      </c>
      <c r="F2214" t="s">
        <v>430</v>
      </c>
      <c r="G2214" t="s">
        <v>426</v>
      </c>
      <c r="H2214" t="s">
        <v>421</v>
      </c>
      <c r="I2214" t="s">
        <v>455</v>
      </c>
      <c r="J2214" t="s">
        <v>427</v>
      </c>
      <c r="N2214">
        <v>0</v>
      </c>
    </row>
    <row r="2215" spans="1:14" ht="15" customHeight="1" x14ac:dyDescent="0.25">
      <c r="A2215" s="82">
        <v>44490</v>
      </c>
      <c r="B2215" t="s">
        <v>424</v>
      </c>
      <c r="C2215" t="s">
        <v>429</v>
      </c>
      <c r="D2215" t="s">
        <v>428</v>
      </c>
      <c r="E2215" t="s">
        <v>425</v>
      </c>
      <c r="F2215" t="s">
        <v>430</v>
      </c>
      <c r="G2215" t="s">
        <v>426</v>
      </c>
      <c r="H2215" t="s">
        <v>427</v>
      </c>
      <c r="I2215" t="s">
        <v>421</v>
      </c>
      <c r="J2215" t="s">
        <v>455</v>
      </c>
      <c r="N2215">
        <v>0</v>
      </c>
    </row>
    <row r="2216" spans="1:14" ht="15" customHeight="1" x14ac:dyDescent="0.25">
      <c r="A2216" s="82">
        <v>44491</v>
      </c>
      <c r="B2216" t="s">
        <v>424</v>
      </c>
      <c r="C2216" t="s">
        <v>426</v>
      </c>
      <c r="D2216" t="s">
        <v>425</v>
      </c>
      <c r="E2216" t="s">
        <v>425</v>
      </c>
      <c r="F2216" t="s">
        <v>421</v>
      </c>
      <c r="G2216" t="s">
        <v>427</v>
      </c>
      <c r="H2216" t="s">
        <v>455</v>
      </c>
      <c r="I2216" t="s">
        <v>429</v>
      </c>
      <c r="J2216" t="s">
        <v>424</v>
      </c>
      <c r="N2216">
        <v>0</v>
      </c>
    </row>
    <row r="2217" spans="1:14" ht="15" customHeight="1" x14ac:dyDescent="0.25">
      <c r="A2217" s="82">
        <v>44492</v>
      </c>
      <c r="B2217" t="s">
        <v>430</v>
      </c>
      <c r="C2217" t="s">
        <v>426</v>
      </c>
      <c r="D2217" t="s">
        <v>425</v>
      </c>
      <c r="E2217" t="s">
        <v>421</v>
      </c>
      <c r="F2217" t="s">
        <v>427</v>
      </c>
      <c r="G2217" t="s">
        <v>455</v>
      </c>
      <c r="H2217" t="s">
        <v>428</v>
      </c>
      <c r="I2217" t="s">
        <v>429</v>
      </c>
      <c r="J2217" t="s">
        <v>424</v>
      </c>
      <c r="N2217">
        <v>0</v>
      </c>
    </row>
    <row r="2218" spans="1:14" ht="15" customHeight="1" x14ac:dyDescent="0.25">
      <c r="A2218" s="82">
        <v>44493</v>
      </c>
      <c r="B2218" t="s">
        <v>430</v>
      </c>
      <c r="C2218" t="s">
        <v>426</v>
      </c>
      <c r="D2218" t="s">
        <v>425</v>
      </c>
      <c r="E2218" t="s">
        <v>421</v>
      </c>
      <c r="F2218" t="s">
        <v>455</v>
      </c>
      <c r="G2218" t="s">
        <v>427</v>
      </c>
      <c r="H2218" t="s">
        <v>428</v>
      </c>
      <c r="I2218" t="s">
        <v>429</v>
      </c>
      <c r="J2218" t="s">
        <v>424</v>
      </c>
      <c r="N2218">
        <v>0</v>
      </c>
    </row>
    <row r="2219" spans="1:14" ht="15" customHeight="1" x14ac:dyDescent="0.25">
      <c r="A2219" s="82">
        <v>44494</v>
      </c>
      <c r="B2219" t="s">
        <v>430</v>
      </c>
      <c r="C2219" t="s">
        <v>426</v>
      </c>
      <c r="D2219" t="s">
        <v>425</v>
      </c>
      <c r="E2219" t="s">
        <v>427</v>
      </c>
      <c r="F2219" t="s">
        <v>421</v>
      </c>
      <c r="G2219" t="s">
        <v>455</v>
      </c>
      <c r="H2219" t="s">
        <v>428</v>
      </c>
      <c r="I2219" t="s">
        <v>429</v>
      </c>
      <c r="J2219" t="s">
        <v>424</v>
      </c>
      <c r="N2219">
        <v>0</v>
      </c>
    </row>
    <row r="2220" spans="1:14" ht="15" customHeight="1" x14ac:dyDescent="0.25">
      <c r="A2220" s="82">
        <v>44495</v>
      </c>
      <c r="B2220" t="s">
        <v>430</v>
      </c>
      <c r="C2220" t="s">
        <v>426</v>
      </c>
      <c r="D2220" t="s">
        <v>425</v>
      </c>
      <c r="E2220" t="s">
        <v>455</v>
      </c>
      <c r="F2220" t="s">
        <v>427</v>
      </c>
      <c r="G2220" t="s">
        <v>421</v>
      </c>
      <c r="H2220" t="s">
        <v>428</v>
      </c>
      <c r="I2220" t="s">
        <v>429</v>
      </c>
      <c r="J2220" t="s">
        <v>424</v>
      </c>
      <c r="N2220">
        <v>0</v>
      </c>
    </row>
    <row r="2221" spans="1:14" ht="15" customHeight="1" x14ac:dyDescent="0.25">
      <c r="A2221" s="82">
        <v>44496</v>
      </c>
      <c r="B2221" t="s">
        <v>430</v>
      </c>
      <c r="C2221" t="s">
        <v>426</v>
      </c>
      <c r="D2221" t="s">
        <v>425</v>
      </c>
      <c r="E2221" t="s">
        <v>427</v>
      </c>
      <c r="F2221" t="s">
        <v>455</v>
      </c>
      <c r="G2221" t="s">
        <v>421</v>
      </c>
      <c r="H2221" t="s">
        <v>428</v>
      </c>
      <c r="I2221" t="s">
        <v>429</v>
      </c>
      <c r="J2221" t="s">
        <v>424</v>
      </c>
      <c r="N2221">
        <v>0</v>
      </c>
    </row>
    <row r="2222" spans="1:14" ht="15" customHeight="1" x14ac:dyDescent="0.25">
      <c r="A2222" s="82">
        <v>44497</v>
      </c>
      <c r="B2222" t="s">
        <v>430</v>
      </c>
      <c r="C2222" t="s">
        <v>426</v>
      </c>
      <c r="D2222" t="s">
        <v>425</v>
      </c>
      <c r="E2222" t="s">
        <v>455</v>
      </c>
      <c r="F2222" t="s">
        <v>421</v>
      </c>
      <c r="G2222" t="s">
        <v>427</v>
      </c>
      <c r="H2222" t="s">
        <v>428</v>
      </c>
      <c r="I2222" t="s">
        <v>429</v>
      </c>
      <c r="J2222" t="s">
        <v>424</v>
      </c>
      <c r="N2222">
        <v>0</v>
      </c>
    </row>
    <row r="2223" spans="1:14" ht="15" customHeight="1" x14ac:dyDescent="0.25">
      <c r="A2223" s="82">
        <v>44498</v>
      </c>
      <c r="B2223" t="s">
        <v>421</v>
      </c>
      <c r="C2223" t="s">
        <v>427</v>
      </c>
      <c r="D2223" t="s">
        <v>425</v>
      </c>
      <c r="E2223" t="s">
        <v>424</v>
      </c>
      <c r="F2223" t="s">
        <v>429</v>
      </c>
      <c r="G2223" t="s">
        <v>455</v>
      </c>
      <c r="H2223" t="s">
        <v>425</v>
      </c>
      <c r="I2223" t="s">
        <v>426</v>
      </c>
      <c r="J2223" t="s">
        <v>424</v>
      </c>
      <c r="N2223">
        <v>0</v>
      </c>
    </row>
    <row r="2224" spans="1:14" ht="15" customHeight="1" x14ac:dyDescent="0.25">
      <c r="A2224" s="82">
        <v>44499</v>
      </c>
      <c r="B2224" t="s">
        <v>427</v>
      </c>
      <c r="C2224" t="s">
        <v>455</v>
      </c>
      <c r="D2224" t="s">
        <v>421</v>
      </c>
      <c r="E2224" t="s">
        <v>424</v>
      </c>
      <c r="F2224" t="s">
        <v>429</v>
      </c>
      <c r="G2224" t="s">
        <v>428</v>
      </c>
      <c r="H2224" t="s">
        <v>425</v>
      </c>
      <c r="I2224" t="s">
        <v>426</v>
      </c>
      <c r="J2224" t="s">
        <v>430</v>
      </c>
      <c r="N2224">
        <v>0</v>
      </c>
    </row>
    <row r="2225" spans="1:14" ht="15" customHeight="1" x14ac:dyDescent="0.25">
      <c r="A2225" s="82">
        <v>44500</v>
      </c>
      <c r="B2225" t="s">
        <v>455</v>
      </c>
      <c r="C2225" t="s">
        <v>427</v>
      </c>
      <c r="D2225" t="s">
        <v>421</v>
      </c>
      <c r="E2225" t="s">
        <v>424</v>
      </c>
      <c r="F2225" t="s">
        <v>429</v>
      </c>
      <c r="G2225" t="s">
        <v>428</v>
      </c>
      <c r="H2225" t="s">
        <v>425</v>
      </c>
      <c r="I2225" t="s">
        <v>426</v>
      </c>
      <c r="J2225" t="s">
        <v>430</v>
      </c>
      <c r="N2225">
        <v>0</v>
      </c>
    </row>
    <row r="2226" spans="1:14" ht="15" customHeight="1" x14ac:dyDescent="0.25">
      <c r="A2226" s="82">
        <v>44501</v>
      </c>
      <c r="B2226" t="s">
        <v>421</v>
      </c>
      <c r="C2226" t="s">
        <v>455</v>
      </c>
      <c r="D2226" t="s">
        <v>427</v>
      </c>
      <c r="E2226" t="s">
        <v>424</v>
      </c>
      <c r="F2226" t="s">
        <v>429</v>
      </c>
      <c r="G2226" t="s">
        <v>428</v>
      </c>
      <c r="H2226" t="s">
        <v>425</v>
      </c>
      <c r="I2226" t="s">
        <v>426</v>
      </c>
      <c r="J2226" t="s">
        <v>430</v>
      </c>
      <c r="N2226">
        <v>0</v>
      </c>
    </row>
    <row r="2227" spans="1:14" ht="15" customHeight="1" x14ac:dyDescent="0.25">
      <c r="A2227" s="82">
        <v>44502</v>
      </c>
      <c r="B2227" t="s">
        <v>427</v>
      </c>
      <c r="C2227" t="s">
        <v>421</v>
      </c>
      <c r="D2227" t="s">
        <v>455</v>
      </c>
      <c r="E2227" t="s">
        <v>424</v>
      </c>
      <c r="F2227" t="s">
        <v>429</v>
      </c>
      <c r="G2227" t="s">
        <v>428</v>
      </c>
      <c r="H2227" t="s">
        <v>425</v>
      </c>
      <c r="I2227" t="s">
        <v>426</v>
      </c>
      <c r="J2227" t="s">
        <v>430</v>
      </c>
      <c r="N2227">
        <v>0</v>
      </c>
    </row>
    <row r="2228" spans="1:14" ht="15" customHeight="1" x14ac:dyDescent="0.25">
      <c r="A2228" s="82">
        <v>44503</v>
      </c>
      <c r="B2228" t="s">
        <v>455</v>
      </c>
      <c r="C2228" t="s">
        <v>421</v>
      </c>
      <c r="D2228" t="s">
        <v>427</v>
      </c>
      <c r="E2228" t="s">
        <v>424</v>
      </c>
      <c r="F2228" t="s">
        <v>429</v>
      </c>
      <c r="G2228" t="s">
        <v>428</v>
      </c>
      <c r="H2228" t="s">
        <v>425</v>
      </c>
      <c r="I2228" t="s">
        <v>426</v>
      </c>
      <c r="J2228" t="s">
        <v>430</v>
      </c>
      <c r="N2228">
        <v>0</v>
      </c>
    </row>
    <row r="2229" spans="1:14" ht="15" customHeight="1" x14ac:dyDescent="0.25">
      <c r="A2229" s="82">
        <v>44504</v>
      </c>
      <c r="B2229" t="s">
        <v>421</v>
      </c>
      <c r="C2229" t="s">
        <v>427</v>
      </c>
      <c r="D2229" t="s">
        <v>455</v>
      </c>
      <c r="E2229" t="s">
        <v>424</v>
      </c>
      <c r="F2229" t="s">
        <v>429</v>
      </c>
      <c r="G2229" t="s">
        <v>428</v>
      </c>
      <c r="H2229" t="s">
        <v>425</v>
      </c>
      <c r="I2229" t="s">
        <v>426</v>
      </c>
      <c r="J2229" t="s">
        <v>430</v>
      </c>
      <c r="N2229">
        <v>0</v>
      </c>
    </row>
    <row r="2230" spans="1:14" ht="15" customHeight="1" x14ac:dyDescent="0.25">
      <c r="A2230" s="82">
        <v>44505</v>
      </c>
      <c r="B2230" t="s">
        <v>429</v>
      </c>
      <c r="C2230" t="s">
        <v>455</v>
      </c>
      <c r="D2230" t="s">
        <v>424</v>
      </c>
      <c r="E2230" t="s">
        <v>424</v>
      </c>
      <c r="F2230" t="s">
        <v>426</v>
      </c>
      <c r="G2230" t="s">
        <v>425</v>
      </c>
      <c r="H2230" t="s">
        <v>425</v>
      </c>
      <c r="I2230" t="s">
        <v>427</v>
      </c>
      <c r="J2230" t="s">
        <v>421</v>
      </c>
      <c r="N2230">
        <v>0</v>
      </c>
    </row>
    <row r="2231" spans="1:14" ht="15" customHeight="1" x14ac:dyDescent="0.25">
      <c r="A2231" s="82">
        <v>44506</v>
      </c>
      <c r="B2231" t="s">
        <v>429</v>
      </c>
      <c r="C2231" t="s">
        <v>428</v>
      </c>
      <c r="D2231" t="s">
        <v>424</v>
      </c>
      <c r="E2231" t="s">
        <v>430</v>
      </c>
      <c r="F2231" t="s">
        <v>426</v>
      </c>
      <c r="G2231" t="s">
        <v>425</v>
      </c>
      <c r="H2231" t="s">
        <v>421</v>
      </c>
      <c r="I2231" t="s">
        <v>455</v>
      </c>
      <c r="J2231" t="s">
        <v>427</v>
      </c>
      <c r="N2231">
        <v>0</v>
      </c>
    </row>
    <row r="2232" spans="1:14" ht="15" customHeight="1" x14ac:dyDescent="0.25">
      <c r="A2232" s="82">
        <v>44507</v>
      </c>
      <c r="B2232" t="s">
        <v>429</v>
      </c>
      <c r="C2232" t="s">
        <v>428</v>
      </c>
      <c r="D2232" t="s">
        <v>424</v>
      </c>
      <c r="E2232" t="s">
        <v>430</v>
      </c>
      <c r="F2232" t="s">
        <v>426</v>
      </c>
      <c r="G2232" t="s">
        <v>425</v>
      </c>
      <c r="H2232" t="s">
        <v>421</v>
      </c>
      <c r="I2232" t="s">
        <v>427</v>
      </c>
      <c r="J2232" t="s">
        <v>455</v>
      </c>
      <c r="N2232">
        <v>0</v>
      </c>
    </row>
    <row r="2233" spans="1:14" ht="15" customHeight="1" x14ac:dyDescent="0.25">
      <c r="A2233" s="82">
        <v>44508</v>
      </c>
      <c r="B2233" t="s">
        <v>429</v>
      </c>
      <c r="C2233" t="s">
        <v>428</v>
      </c>
      <c r="D2233" t="s">
        <v>424</v>
      </c>
      <c r="E2233" t="s">
        <v>430</v>
      </c>
      <c r="F2233" t="s">
        <v>426</v>
      </c>
      <c r="G2233" t="s">
        <v>425</v>
      </c>
      <c r="H2233" t="s">
        <v>427</v>
      </c>
      <c r="I2233" t="s">
        <v>455</v>
      </c>
      <c r="J2233" t="s">
        <v>421</v>
      </c>
      <c r="N2233">
        <v>0</v>
      </c>
    </row>
    <row r="2234" spans="1:14" ht="15" customHeight="1" x14ac:dyDescent="0.25">
      <c r="A2234" s="82">
        <v>44509</v>
      </c>
      <c r="B2234" t="s">
        <v>429</v>
      </c>
      <c r="C2234" t="s">
        <v>428</v>
      </c>
      <c r="D2234" t="s">
        <v>424</v>
      </c>
      <c r="E2234" t="s">
        <v>430</v>
      </c>
      <c r="F2234" t="s">
        <v>426</v>
      </c>
      <c r="G2234" t="s">
        <v>425</v>
      </c>
      <c r="H2234" t="s">
        <v>455</v>
      </c>
      <c r="I2234" t="s">
        <v>421</v>
      </c>
      <c r="J2234" t="s">
        <v>427</v>
      </c>
      <c r="N2234">
        <v>0</v>
      </c>
    </row>
    <row r="2235" spans="1:14" ht="15" customHeight="1" x14ac:dyDescent="0.25">
      <c r="A2235" s="82">
        <v>44510</v>
      </c>
      <c r="B2235" t="s">
        <v>429</v>
      </c>
      <c r="C2235" t="s">
        <v>428</v>
      </c>
      <c r="D2235" t="s">
        <v>424</v>
      </c>
      <c r="E2235" t="s">
        <v>430</v>
      </c>
      <c r="F2235" t="s">
        <v>426</v>
      </c>
      <c r="G2235" t="s">
        <v>425</v>
      </c>
      <c r="H2235" t="s">
        <v>427</v>
      </c>
      <c r="I2235" t="s">
        <v>421</v>
      </c>
      <c r="J2235" t="s">
        <v>455</v>
      </c>
      <c r="N2235">
        <v>0</v>
      </c>
    </row>
    <row r="2236" spans="1:14" ht="15" customHeight="1" x14ac:dyDescent="0.25">
      <c r="A2236" s="82">
        <v>44511</v>
      </c>
      <c r="B2236" t="s">
        <v>429</v>
      </c>
      <c r="C2236" t="s">
        <v>428</v>
      </c>
      <c r="D2236" t="s">
        <v>424</v>
      </c>
      <c r="E2236" t="s">
        <v>430</v>
      </c>
      <c r="F2236" t="s">
        <v>426</v>
      </c>
      <c r="G2236" t="s">
        <v>425</v>
      </c>
      <c r="H2236" t="s">
        <v>455</v>
      </c>
      <c r="I2236" t="s">
        <v>427</v>
      </c>
      <c r="J2236" t="s">
        <v>421</v>
      </c>
      <c r="N2236">
        <v>0</v>
      </c>
    </row>
    <row r="2237" spans="1:14" ht="15" customHeight="1" x14ac:dyDescent="0.25">
      <c r="A2237" s="82">
        <v>44512</v>
      </c>
      <c r="B2237" t="s">
        <v>426</v>
      </c>
      <c r="C2237" t="s">
        <v>425</v>
      </c>
      <c r="D2237" t="s">
        <v>424</v>
      </c>
      <c r="E2237" t="s">
        <v>421</v>
      </c>
      <c r="F2237" t="s">
        <v>427</v>
      </c>
      <c r="G2237" t="s">
        <v>425</v>
      </c>
      <c r="H2237" t="s">
        <v>424</v>
      </c>
      <c r="I2237" t="s">
        <v>455</v>
      </c>
      <c r="J2237" t="s">
        <v>429</v>
      </c>
      <c r="N2237">
        <v>0</v>
      </c>
    </row>
    <row r="2238" spans="1:14" ht="15" customHeight="1" x14ac:dyDescent="0.25">
      <c r="A2238" s="82">
        <v>44513</v>
      </c>
      <c r="B2238" t="s">
        <v>426</v>
      </c>
      <c r="C2238" t="s">
        <v>425</v>
      </c>
      <c r="D2238" t="s">
        <v>430</v>
      </c>
      <c r="E2238" t="s">
        <v>427</v>
      </c>
      <c r="F2238" t="s">
        <v>455</v>
      </c>
      <c r="G2238" t="s">
        <v>421</v>
      </c>
      <c r="H2238" t="s">
        <v>424</v>
      </c>
      <c r="I2238" t="s">
        <v>428</v>
      </c>
      <c r="J2238" t="s">
        <v>429</v>
      </c>
      <c r="N2238">
        <v>0</v>
      </c>
    </row>
    <row r="2239" spans="1:14" ht="15" customHeight="1" x14ac:dyDescent="0.25">
      <c r="A2239" s="82">
        <v>44514</v>
      </c>
      <c r="B2239" t="s">
        <v>426</v>
      </c>
      <c r="C2239" t="s">
        <v>425</v>
      </c>
      <c r="D2239" t="s">
        <v>430</v>
      </c>
      <c r="E2239" t="s">
        <v>455</v>
      </c>
      <c r="F2239" t="s">
        <v>427</v>
      </c>
      <c r="G2239" t="s">
        <v>421</v>
      </c>
      <c r="H2239" t="s">
        <v>424</v>
      </c>
      <c r="I2239" t="s">
        <v>428</v>
      </c>
      <c r="J2239" t="s">
        <v>429</v>
      </c>
      <c r="N2239">
        <v>0</v>
      </c>
    </row>
    <row r="2240" spans="1:14" ht="15" customHeight="1" x14ac:dyDescent="0.25">
      <c r="A2240" s="82">
        <v>44515</v>
      </c>
      <c r="B2240" t="s">
        <v>426</v>
      </c>
      <c r="C2240" t="s">
        <v>425</v>
      </c>
      <c r="D2240" t="s">
        <v>430</v>
      </c>
      <c r="E2240" t="s">
        <v>421</v>
      </c>
      <c r="F2240" t="s">
        <v>455</v>
      </c>
      <c r="G2240" t="s">
        <v>427</v>
      </c>
      <c r="H2240" t="s">
        <v>424</v>
      </c>
      <c r="I2240" t="s">
        <v>428</v>
      </c>
      <c r="J2240" t="s">
        <v>429</v>
      </c>
      <c r="N2240">
        <v>0</v>
      </c>
    </row>
    <row r="2241" spans="1:14" ht="15" customHeight="1" x14ac:dyDescent="0.25">
      <c r="A2241" s="82">
        <v>44516</v>
      </c>
      <c r="B2241" t="s">
        <v>426</v>
      </c>
      <c r="C2241" t="s">
        <v>425</v>
      </c>
      <c r="D2241" t="s">
        <v>430</v>
      </c>
      <c r="E2241" t="s">
        <v>427</v>
      </c>
      <c r="F2241" t="s">
        <v>421</v>
      </c>
      <c r="G2241" t="s">
        <v>455</v>
      </c>
      <c r="H2241" t="s">
        <v>424</v>
      </c>
      <c r="I2241" t="s">
        <v>428</v>
      </c>
      <c r="J2241" t="s">
        <v>429</v>
      </c>
      <c r="N2241">
        <v>0</v>
      </c>
    </row>
    <row r="2242" spans="1:14" ht="15" customHeight="1" x14ac:dyDescent="0.25">
      <c r="A2242" s="82">
        <v>44517</v>
      </c>
      <c r="B2242" t="s">
        <v>426</v>
      </c>
      <c r="C2242" t="s">
        <v>425</v>
      </c>
      <c r="D2242" t="s">
        <v>430</v>
      </c>
      <c r="E2242" t="s">
        <v>455</v>
      </c>
      <c r="F2242" t="s">
        <v>421</v>
      </c>
      <c r="G2242" t="s">
        <v>427</v>
      </c>
      <c r="H2242" t="s">
        <v>424</v>
      </c>
      <c r="I2242" t="s">
        <v>428</v>
      </c>
      <c r="J2242" t="s">
        <v>429</v>
      </c>
      <c r="N2242">
        <v>0</v>
      </c>
    </row>
    <row r="2243" spans="1:14" ht="15" customHeight="1" x14ac:dyDescent="0.25">
      <c r="A2243" s="82">
        <v>44518</v>
      </c>
      <c r="B2243" t="s">
        <v>426</v>
      </c>
      <c r="C2243" t="s">
        <v>425</v>
      </c>
      <c r="D2243" t="s">
        <v>430</v>
      </c>
      <c r="E2243" t="s">
        <v>421</v>
      </c>
      <c r="F2243" t="s">
        <v>427</v>
      </c>
      <c r="G2243" t="s">
        <v>455</v>
      </c>
      <c r="H2243" t="s">
        <v>424</v>
      </c>
      <c r="I2243" t="s">
        <v>428</v>
      </c>
      <c r="J2243" t="s">
        <v>429</v>
      </c>
      <c r="N2243">
        <v>0</v>
      </c>
    </row>
    <row r="2244" spans="1:14" ht="15" customHeight="1" x14ac:dyDescent="0.25">
      <c r="A2244" s="82">
        <v>44519</v>
      </c>
      <c r="B2244" t="s">
        <v>427</v>
      </c>
      <c r="C2244" t="s">
        <v>425</v>
      </c>
      <c r="D2244" t="s">
        <v>421</v>
      </c>
      <c r="E2244" t="s">
        <v>429</v>
      </c>
      <c r="F2244" t="s">
        <v>455</v>
      </c>
      <c r="G2244" t="s">
        <v>424</v>
      </c>
      <c r="H2244" t="s">
        <v>424</v>
      </c>
      <c r="I2244" t="s">
        <v>425</v>
      </c>
      <c r="J2244" t="s">
        <v>426</v>
      </c>
      <c r="N2244">
        <v>0</v>
      </c>
    </row>
    <row r="2245" spans="1:14" ht="15" customHeight="1" x14ac:dyDescent="0.25">
      <c r="A2245" s="82">
        <v>44520</v>
      </c>
      <c r="B2245" t="s">
        <v>455</v>
      </c>
      <c r="C2245" t="s">
        <v>421</v>
      </c>
      <c r="D2245" t="s">
        <v>427</v>
      </c>
      <c r="E2245" t="s">
        <v>429</v>
      </c>
      <c r="F2245" t="s">
        <v>428</v>
      </c>
      <c r="G2245" t="s">
        <v>424</v>
      </c>
      <c r="H2245" t="s">
        <v>430</v>
      </c>
      <c r="I2245" t="s">
        <v>425</v>
      </c>
      <c r="J2245" t="s">
        <v>426</v>
      </c>
      <c r="N2245">
        <v>0</v>
      </c>
    </row>
    <row r="2246" spans="1:14" ht="15" customHeight="1" x14ac:dyDescent="0.25">
      <c r="A2246" s="82">
        <v>44521</v>
      </c>
      <c r="B2246" t="s">
        <v>427</v>
      </c>
      <c r="C2246" t="s">
        <v>421</v>
      </c>
      <c r="D2246" t="s">
        <v>455</v>
      </c>
      <c r="E2246" t="s">
        <v>429</v>
      </c>
      <c r="F2246" t="s">
        <v>428</v>
      </c>
      <c r="G2246" t="s">
        <v>424</v>
      </c>
      <c r="H2246" t="s">
        <v>430</v>
      </c>
      <c r="I2246" t="s">
        <v>425</v>
      </c>
      <c r="J2246" t="s">
        <v>426</v>
      </c>
      <c r="N2246">
        <v>0</v>
      </c>
    </row>
    <row r="2247" spans="1:14" ht="15" customHeight="1" x14ac:dyDescent="0.25">
      <c r="A2247" s="82">
        <v>44522</v>
      </c>
      <c r="B2247" t="s">
        <v>455</v>
      </c>
      <c r="C2247" t="s">
        <v>427</v>
      </c>
      <c r="D2247" t="s">
        <v>421</v>
      </c>
      <c r="E2247" t="s">
        <v>429</v>
      </c>
      <c r="F2247" t="s">
        <v>428</v>
      </c>
      <c r="G2247" t="s">
        <v>424</v>
      </c>
      <c r="H2247" t="s">
        <v>430</v>
      </c>
      <c r="I2247" t="s">
        <v>425</v>
      </c>
      <c r="J2247" t="s">
        <v>426</v>
      </c>
      <c r="N2247">
        <v>0</v>
      </c>
    </row>
    <row r="2248" spans="1:14" ht="15" customHeight="1" x14ac:dyDescent="0.25">
      <c r="A2248" s="82">
        <v>44523</v>
      </c>
      <c r="B2248" t="s">
        <v>421</v>
      </c>
      <c r="C2248" t="s">
        <v>455</v>
      </c>
      <c r="D2248" t="s">
        <v>427</v>
      </c>
      <c r="E2248" t="s">
        <v>429</v>
      </c>
      <c r="F2248" t="s">
        <v>428</v>
      </c>
      <c r="G2248" t="s">
        <v>424</v>
      </c>
      <c r="H2248" t="s">
        <v>430</v>
      </c>
      <c r="I2248" t="s">
        <v>425</v>
      </c>
      <c r="J2248" t="s">
        <v>426</v>
      </c>
      <c r="N2248">
        <v>0</v>
      </c>
    </row>
    <row r="2249" spans="1:14" ht="15" customHeight="1" x14ac:dyDescent="0.25">
      <c r="A2249" s="82">
        <v>44524</v>
      </c>
      <c r="B2249" t="s">
        <v>421</v>
      </c>
      <c r="C2249" t="s">
        <v>427</v>
      </c>
      <c r="D2249" t="s">
        <v>455</v>
      </c>
      <c r="E2249" t="s">
        <v>429</v>
      </c>
      <c r="F2249" t="s">
        <v>428</v>
      </c>
      <c r="G2249" t="s">
        <v>424</v>
      </c>
      <c r="H2249" t="s">
        <v>430</v>
      </c>
      <c r="I2249" t="s">
        <v>425</v>
      </c>
      <c r="J2249" t="s">
        <v>426</v>
      </c>
      <c r="N2249">
        <v>0</v>
      </c>
    </row>
    <row r="2250" spans="1:14" ht="15" customHeight="1" x14ac:dyDescent="0.25">
      <c r="A2250" s="82">
        <v>44525</v>
      </c>
      <c r="B2250" t="s">
        <v>427</v>
      </c>
      <c r="C2250" t="s">
        <v>455</v>
      </c>
      <c r="D2250" t="s">
        <v>421</v>
      </c>
      <c r="E2250" t="s">
        <v>429</v>
      </c>
      <c r="F2250" t="s">
        <v>428</v>
      </c>
      <c r="G2250" t="s">
        <v>424</v>
      </c>
      <c r="H2250" t="s">
        <v>430</v>
      </c>
      <c r="I2250" t="s">
        <v>425</v>
      </c>
      <c r="J2250" t="s">
        <v>426</v>
      </c>
      <c r="N2250">
        <v>0</v>
      </c>
    </row>
    <row r="2251" spans="1:14" ht="15" customHeight="1" x14ac:dyDescent="0.25">
      <c r="A2251" s="82">
        <v>44526</v>
      </c>
      <c r="B2251" t="s">
        <v>455</v>
      </c>
      <c r="C2251" t="s">
        <v>424</v>
      </c>
      <c r="D2251" t="s">
        <v>429</v>
      </c>
      <c r="E2251" t="s">
        <v>426</v>
      </c>
      <c r="F2251" t="s">
        <v>425</v>
      </c>
      <c r="G2251" t="s">
        <v>424</v>
      </c>
      <c r="H2251" t="s">
        <v>421</v>
      </c>
      <c r="I2251" t="s">
        <v>425</v>
      </c>
      <c r="J2251" t="s">
        <v>427</v>
      </c>
      <c r="N2251">
        <v>0</v>
      </c>
    </row>
    <row r="2252" spans="1:14" ht="15" customHeight="1" x14ac:dyDescent="0.25">
      <c r="A2252" s="82">
        <v>44527</v>
      </c>
      <c r="B2252" t="s">
        <v>428</v>
      </c>
      <c r="C2252" t="s">
        <v>424</v>
      </c>
      <c r="D2252" t="s">
        <v>429</v>
      </c>
      <c r="E2252" t="s">
        <v>426</v>
      </c>
      <c r="F2252" t="s">
        <v>425</v>
      </c>
      <c r="G2252" t="s">
        <v>430</v>
      </c>
      <c r="H2252" t="s">
        <v>427</v>
      </c>
      <c r="I2252" t="s">
        <v>421</v>
      </c>
      <c r="J2252" t="s">
        <v>455</v>
      </c>
      <c r="N2252">
        <v>0</v>
      </c>
    </row>
    <row r="2253" spans="1:14" ht="15" customHeight="1" x14ac:dyDescent="0.25">
      <c r="A2253" s="82">
        <v>44528</v>
      </c>
      <c r="B2253" t="s">
        <v>428</v>
      </c>
      <c r="C2253" t="s">
        <v>424</v>
      </c>
      <c r="D2253" t="s">
        <v>429</v>
      </c>
      <c r="E2253" t="s">
        <v>426</v>
      </c>
      <c r="F2253" t="s">
        <v>425</v>
      </c>
      <c r="G2253" t="s">
        <v>430</v>
      </c>
      <c r="H2253" t="s">
        <v>455</v>
      </c>
      <c r="I2253" t="s">
        <v>421</v>
      </c>
      <c r="J2253" t="s">
        <v>427</v>
      </c>
      <c r="N2253">
        <v>0</v>
      </c>
    </row>
    <row r="2254" spans="1:14" ht="15" customHeight="1" x14ac:dyDescent="0.25">
      <c r="A2254" s="82">
        <v>44529</v>
      </c>
      <c r="B2254" t="s">
        <v>428</v>
      </c>
      <c r="C2254" t="s">
        <v>424</v>
      </c>
      <c r="D2254" t="s">
        <v>429</v>
      </c>
      <c r="E2254" t="s">
        <v>426</v>
      </c>
      <c r="F2254" t="s">
        <v>425</v>
      </c>
      <c r="G2254" t="s">
        <v>430</v>
      </c>
      <c r="H2254" t="s">
        <v>421</v>
      </c>
      <c r="I2254" t="s">
        <v>427</v>
      </c>
      <c r="J2254" t="s">
        <v>455</v>
      </c>
      <c r="N2254">
        <v>0</v>
      </c>
    </row>
    <row r="2255" spans="1:14" ht="15" customHeight="1" x14ac:dyDescent="0.25">
      <c r="A2255" s="82">
        <v>44530</v>
      </c>
      <c r="B2255" t="s">
        <v>428</v>
      </c>
      <c r="C2255" t="s">
        <v>424</v>
      </c>
      <c r="D2255" t="s">
        <v>429</v>
      </c>
      <c r="E2255" t="s">
        <v>426</v>
      </c>
      <c r="F2255" t="s">
        <v>425</v>
      </c>
      <c r="G2255" t="s">
        <v>430</v>
      </c>
      <c r="H2255" t="s">
        <v>427</v>
      </c>
      <c r="I2255" t="s">
        <v>455</v>
      </c>
      <c r="J2255" t="s">
        <v>421</v>
      </c>
      <c r="N2255">
        <v>0</v>
      </c>
    </row>
    <row r="2256" spans="1:14" ht="15" customHeight="1" x14ac:dyDescent="0.25">
      <c r="A2256" s="82">
        <v>44531</v>
      </c>
      <c r="B2256" t="s">
        <v>428</v>
      </c>
      <c r="C2256" t="s">
        <v>424</v>
      </c>
      <c r="D2256" t="s">
        <v>429</v>
      </c>
      <c r="E2256" t="s">
        <v>426</v>
      </c>
      <c r="F2256" t="s">
        <v>425</v>
      </c>
      <c r="G2256" t="s">
        <v>430</v>
      </c>
      <c r="H2256" t="s">
        <v>455</v>
      </c>
      <c r="I2256" t="s">
        <v>427</v>
      </c>
      <c r="J2256" t="s">
        <v>421</v>
      </c>
      <c r="N2256">
        <v>0</v>
      </c>
    </row>
    <row r="2257" spans="1:14" ht="15" customHeight="1" x14ac:dyDescent="0.25">
      <c r="A2257" s="82">
        <v>44532</v>
      </c>
      <c r="B2257" t="s">
        <v>428</v>
      </c>
      <c r="C2257" t="s">
        <v>424</v>
      </c>
      <c r="D2257" t="s">
        <v>429</v>
      </c>
      <c r="E2257" t="s">
        <v>426</v>
      </c>
      <c r="F2257" t="s">
        <v>425</v>
      </c>
      <c r="G2257" t="s">
        <v>430</v>
      </c>
      <c r="H2257" t="s">
        <v>421</v>
      </c>
      <c r="I2257" t="s">
        <v>455</v>
      </c>
      <c r="J2257" t="s">
        <v>427</v>
      </c>
      <c r="N2257">
        <v>0</v>
      </c>
    </row>
    <row r="2258" spans="1:14" ht="15" customHeight="1" x14ac:dyDescent="0.25">
      <c r="A2258" s="82">
        <v>44533</v>
      </c>
      <c r="B2258" t="s">
        <v>425</v>
      </c>
      <c r="C2258" t="s">
        <v>424</v>
      </c>
      <c r="D2258" t="s">
        <v>426</v>
      </c>
      <c r="E2258" t="s">
        <v>427</v>
      </c>
      <c r="F2258" t="s">
        <v>425</v>
      </c>
      <c r="G2258" t="s">
        <v>421</v>
      </c>
      <c r="H2258" t="s">
        <v>429</v>
      </c>
      <c r="I2258" t="s">
        <v>424</v>
      </c>
      <c r="J2258" t="s">
        <v>455</v>
      </c>
      <c r="N2258">
        <v>0</v>
      </c>
    </row>
    <row r="2259" spans="1:14" ht="15" customHeight="1" x14ac:dyDescent="0.25">
      <c r="A2259" s="82">
        <v>44534</v>
      </c>
      <c r="B2259" t="s">
        <v>425</v>
      </c>
      <c r="C2259" t="s">
        <v>430</v>
      </c>
      <c r="D2259" t="s">
        <v>426</v>
      </c>
      <c r="E2259" t="s">
        <v>455</v>
      </c>
      <c r="F2259" t="s">
        <v>421</v>
      </c>
      <c r="G2259" t="s">
        <v>427</v>
      </c>
      <c r="H2259" t="s">
        <v>429</v>
      </c>
      <c r="I2259" t="s">
        <v>424</v>
      </c>
      <c r="J2259" t="s">
        <v>428</v>
      </c>
      <c r="N2259">
        <v>0</v>
      </c>
    </row>
    <row r="2260" spans="1:14" ht="15" customHeight="1" x14ac:dyDescent="0.25">
      <c r="A2260" s="82">
        <v>44535</v>
      </c>
      <c r="B2260" t="s">
        <v>425</v>
      </c>
      <c r="C2260" t="s">
        <v>430</v>
      </c>
      <c r="D2260" t="s">
        <v>426</v>
      </c>
      <c r="E2260" t="s">
        <v>427</v>
      </c>
      <c r="F2260" t="s">
        <v>421</v>
      </c>
      <c r="G2260" t="s">
        <v>455</v>
      </c>
      <c r="H2260" t="s">
        <v>429</v>
      </c>
      <c r="I2260" t="s">
        <v>424</v>
      </c>
      <c r="J2260" t="s">
        <v>428</v>
      </c>
      <c r="N2260">
        <v>0</v>
      </c>
    </row>
    <row r="2261" spans="1:14" ht="15" customHeight="1" x14ac:dyDescent="0.25">
      <c r="A2261" s="82">
        <v>44536</v>
      </c>
      <c r="B2261" t="s">
        <v>425</v>
      </c>
      <c r="C2261" t="s">
        <v>430</v>
      </c>
      <c r="D2261" t="s">
        <v>426</v>
      </c>
      <c r="E2261" t="s">
        <v>455</v>
      </c>
      <c r="F2261" t="s">
        <v>427</v>
      </c>
      <c r="G2261" t="s">
        <v>421</v>
      </c>
      <c r="H2261" t="s">
        <v>429</v>
      </c>
      <c r="I2261" t="s">
        <v>424</v>
      </c>
      <c r="J2261" t="s">
        <v>428</v>
      </c>
      <c r="N2261">
        <v>0</v>
      </c>
    </row>
    <row r="2262" spans="1:14" ht="15" customHeight="1" x14ac:dyDescent="0.25">
      <c r="A2262" s="82">
        <v>44537</v>
      </c>
      <c r="B2262" t="s">
        <v>425</v>
      </c>
      <c r="C2262" t="s">
        <v>430</v>
      </c>
      <c r="D2262" t="s">
        <v>426</v>
      </c>
      <c r="E2262" t="s">
        <v>421</v>
      </c>
      <c r="F2262" t="s">
        <v>455</v>
      </c>
      <c r="G2262" t="s">
        <v>427</v>
      </c>
      <c r="H2262" t="s">
        <v>429</v>
      </c>
      <c r="I2262" t="s">
        <v>424</v>
      </c>
      <c r="J2262" t="s">
        <v>428</v>
      </c>
      <c r="N2262">
        <v>0</v>
      </c>
    </row>
    <row r="2263" spans="1:14" ht="15" customHeight="1" x14ac:dyDescent="0.25">
      <c r="A2263" s="82">
        <v>44538</v>
      </c>
      <c r="B2263" t="s">
        <v>425</v>
      </c>
      <c r="C2263" t="s">
        <v>430</v>
      </c>
      <c r="D2263" t="s">
        <v>426</v>
      </c>
      <c r="E2263" t="s">
        <v>421</v>
      </c>
      <c r="F2263" t="s">
        <v>427</v>
      </c>
      <c r="G2263" t="s">
        <v>455</v>
      </c>
      <c r="H2263" t="s">
        <v>429</v>
      </c>
      <c r="I2263" t="s">
        <v>424</v>
      </c>
      <c r="J2263" t="s">
        <v>428</v>
      </c>
      <c r="N2263">
        <v>0</v>
      </c>
    </row>
    <row r="2264" spans="1:14" ht="15" customHeight="1" x14ac:dyDescent="0.25">
      <c r="A2264" s="82">
        <v>44539</v>
      </c>
      <c r="B2264" t="s">
        <v>425</v>
      </c>
      <c r="C2264" t="s">
        <v>430</v>
      </c>
      <c r="D2264" t="s">
        <v>426</v>
      </c>
      <c r="E2264" t="s">
        <v>427</v>
      </c>
      <c r="F2264" t="s">
        <v>455</v>
      </c>
      <c r="G2264" t="s">
        <v>421</v>
      </c>
      <c r="H2264" t="s">
        <v>429</v>
      </c>
      <c r="I2264" t="s">
        <v>424</v>
      </c>
      <c r="J2264" t="s">
        <v>428</v>
      </c>
      <c r="N2264">
        <v>0</v>
      </c>
    </row>
    <row r="2265" spans="1:14" ht="15" customHeight="1" x14ac:dyDescent="0.25">
      <c r="A2265" s="82">
        <v>44540</v>
      </c>
      <c r="B2265" t="s">
        <v>425</v>
      </c>
      <c r="C2265" t="s">
        <v>421</v>
      </c>
      <c r="D2265" t="s">
        <v>427</v>
      </c>
      <c r="E2265" t="s">
        <v>455</v>
      </c>
      <c r="F2265" t="s">
        <v>424</v>
      </c>
      <c r="G2265" t="s">
        <v>429</v>
      </c>
      <c r="H2265" t="s">
        <v>426</v>
      </c>
      <c r="I2265" t="s">
        <v>424</v>
      </c>
      <c r="J2265" t="s">
        <v>425</v>
      </c>
      <c r="N2265">
        <v>0</v>
      </c>
    </row>
    <row r="2266" spans="1:14" ht="15" customHeight="1" x14ac:dyDescent="0.25">
      <c r="A2266" s="82">
        <v>44541</v>
      </c>
      <c r="B2266" t="s">
        <v>421</v>
      </c>
      <c r="C2266" t="s">
        <v>427</v>
      </c>
      <c r="D2266" t="s">
        <v>455</v>
      </c>
      <c r="E2266" t="s">
        <v>428</v>
      </c>
      <c r="F2266" t="s">
        <v>424</v>
      </c>
      <c r="G2266" t="s">
        <v>429</v>
      </c>
      <c r="H2266" t="s">
        <v>426</v>
      </c>
      <c r="I2266" t="s">
        <v>430</v>
      </c>
      <c r="J2266" t="s">
        <v>425</v>
      </c>
      <c r="N2266">
        <v>0</v>
      </c>
    </row>
    <row r="2267" spans="1:14" ht="15" customHeight="1" x14ac:dyDescent="0.25">
      <c r="A2267" s="82">
        <v>44542</v>
      </c>
      <c r="B2267" t="s">
        <v>421</v>
      </c>
      <c r="C2267" t="s">
        <v>455</v>
      </c>
      <c r="D2267" t="s">
        <v>427</v>
      </c>
      <c r="E2267" t="s">
        <v>428</v>
      </c>
      <c r="F2267" t="s">
        <v>424</v>
      </c>
      <c r="G2267" t="s">
        <v>429</v>
      </c>
      <c r="H2267" t="s">
        <v>426</v>
      </c>
      <c r="I2267" t="s">
        <v>430</v>
      </c>
      <c r="J2267" t="s">
        <v>425</v>
      </c>
      <c r="N2267">
        <v>0</v>
      </c>
    </row>
    <row r="2268" spans="1:14" ht="15" customHeight="1" x14ac:dyDescent="0.25">
      <c r="A2268" s="82">
        <v>44543</v>
      </c>
      <c r="B2268" t="s">
        <v>427</v>
      </c>
      <c r="C2268" t="s">
        <v>421</v>
      </c>
      <c r="D2268" t="s">
        <v>455</v>
      </c>
      <c r="E2268" t="s">
        <v>428</v>
      </c>
      <c r="F2268" t="s">
        <v>424</v>
      </c>
      <c r="G2268" t="s">
        <v>429</v>
      </c>
      <c r="H2268" t="s">
        <v>426</v>
      </c>
      <c r="I2268" t="s">
        <v>430</v>
      </c>
      <c r="J2268" t="s">
        <v>425</v>
      </c>
      <c r="N2268">
        <v>0</v>
      </c>
    </row>
    <row r="2269" spans="1:14" ht="15" customHeight="1" x14ac:dyDescent="0.25">
      <c r="A2269" s="82">
        <v>44544</v>
      </c>
      <c r="B2269" t="s">
        <v>455</v>
      </c>
      <c r="C2269" t="s">
        <v>427</v>
      </c>
      <c r="D2269" t="s">
        <v>421</v>
      </c>
      <c r="E2269" t="s">
        <v>428</v>
      </c>
      <c r="F2269" t="s">
        <v>424</v>
      </c>
      <c r="G2269" t="s">
        <v>429</v>
      </c>
      <c r="H2269" t="s">
        <v>426</v>
      </c>
      <c r="I2269" t="s">
        <v>430</v>
      </c>
      <c r="J2269" t="s">
        <v>425</v>
      </c>
      <c r="N2269">
        <v>0</v>
      </c>
    </row>
    <row r="2270" spans="1:14" ht="15" customHeight="1" x14ac:dyDescent="0.25">
      <c r="A2270" s="82">
        <v>44545</v>
      </c>
      <c r="B2270" t="s">
        <v>421</v>
      </c>
      <c r="C2270" t="s">
        <v>455</v>
      </c>
      <c r="D2270" t="s">
        <v>427</v>
      </c>
      <c r="E2270" t="s">
        <v>428</v>
      </c>
      <c r="F2270" t="s">
        <v>424</v>
      </c>
      <c r="G2270" t="s">
        <v>429</v>
      </c>
      <c r="H2270" t="s">
        <v>426</v>
      </c>
      <c r="I2270" t="s">
        <v>430</v>
      </c>
      <c r="J2270" t="s">
        <v>425</v>
      </c>
      <c r="N2270">
        <v>0</v>
      </c>
    </row>
    <row r="2271" spans="1:14" ht="15" customHeight="1" x14ac:dyDescent="0.25">
      <c r="A2271" s="82">
        <v>44546</v>
      </c>
      <c r="B2271" t="s">
        <v>427</v>
      </c>
      <c r="C2271" t="s">
        <v>421</v>
      </c>
      <c r="D2271" t="s">
        <v>455</v>
      </c>
      <c r="E2271" t="s">
        <v>428</v>
      </c>
      <c r="F2271" t="s">
        <v>424</v>
      </c>
      <c r="G2271" t="s">
        <v>429</v>
      </c>
      <c r="H2271" t="s">
        <v>426</v>
      </c>
      <c r="I2271" t="s">
        <v>430</v>
      </c>
      <c r="J2271" t="s">
        <v>425</v>
      </c>
      <c r="N2271">
        <v>0</v>
      </c>
    </row>
    <row r="2272" spans="1:14" ht="15" customHeight="1" x14ac:dyDescent="0.25">
      <c r="A2272" s="82">
        <v>44547</v>
      </c>
      <c r="B2272" t="s">
        <v>455</v>
      </c>
      <c r="C2272" t="s">
        <v>429</v>
      </c>
      <c r="D2272" t="s">
        <v>425</v>
      </c>
      <c r="E2272" t="s">
        <v>430</v>
      </c>
      <c r="F2272" t="s">
        <v>424</v>
      </c>
      <c r="G2272" t="s">
        <v>426</v>
      </c>
      <c r="H2272" t="s">
        <v>427</v>
      </c>
      <c r="I2272" t="s">
        <v>421</v>
      </c>
      <c r="J2272" t="s">
        <v>425</v>
      </c>
      <c r="N2272">
        <v>0</v>
      </c>
    </row>
    <row r="2273" spans="1:14" ht="15" customHeight="1" x14ac:dyDescent="0.25">
      <c r="A2273" s="82">
        <v>44548</v>
      </c>
      <c r="B2273" t="s">
        <v>424</v>
      </c>
      <c r="C2273" t="s">
        <v>429</v>
      </c>
      <c r="D2273" t="s">
        <v>425</v>
      </c>
      <c r="E2273" t="s">
        <v>430</v>
      </c>
      <c r="F2273" t="s">
        <v>430</v>
      </c>
      <c r="G2273" t="s">
        <v>426</v>
      </c>
      <c r="H2273" t="s">
        <v>455</v>
      </c>
      <c r="I2273" t="s">
        <v>427</v>
      </c>
      <c r="J2273" t="s">
        <v>421</v>
      </c>
      <c r="N2273">
        <v>0</v>
      </c>
    </row>
    <row r="2274" spans="1:14" ht="15" customHeight="1" x14ac:dyDescent="0.25">
      <c r="A2274" s="82">
        <v>44549</v>
      </c>
      <c r="B2274" t="s">
        <v>424</v>
      </c>
      <c r="C2274" t="s">
        <v>429</v>
      </c>
      <c r="D2274" t="s">
        <v>425</v>
      </c>
      <c r="E2274" t="s">
        <v>430</v>
      </c>
      <c r="F2274" t="s">
        <v>430</v>
      </c>
      <c r="G2274" t="s">
        <v>426</v>
      </c>
      <c r="H2274" t="s">
        <v>427</v>
      </c>
      <c r="I2274" t="s">
        <v>455</v>
      </c>
      <c r="J2274" t="s">
        <v>421</v>
      </c>
      <c r="N2274">
        <v>0</v>
      </c>
    </row>
    <row r="2275" spans="1:14" ht="15" customHeight="1" x14ac:dyDescent="0.25">
      <c r="A2275" s="82">
        <v>44550</v>
      </c>
      <c r="B2275" t="s">
        <v>424</v>
      </c>
      <c r="C2275" t="s">
        <v>429</v>
      </c>
      <c r="D2275" t="s">
        <v>425</v>
      </c>
      <c r="E2275" t="s">
        <v>430</v>
      </c>
      <c r="F2275" t="s">
        <v>430</v>
      </c>
      <c r="G2275" t="s">
        <v>426</v>
      </c>
      <c r="H2275" t="s">
        <v>455</v>
      </c>
      <c r="I2275" t="s">
        <v>421</v>
      </c>
      <c r="J2275" t="s">
        <v>427</v>
      </c>
      <c r="N2275">
        <v>0</v>
      </c>
    </row>
    <row r="2276" spans="1:14" ht="15" customHeight="1" x14ac:dyDescent="0.25">
      <c r="A2276" s="82">
        <v>44551</v>
      </c>
      <c r="B2276" t="s">
        <v>424</v>
      </c>
      <c r="C2276" t="s">
        <v>429</v>
      </c>
      <c r="D2276" t="s">
        <v>425</v>
      </c>
      <c r="E2276" t="s">
        <v>430</v>
      </c>
      <c r="F2276" t="s">
        <v>430</v>
      </c>
      <c r="G2276" t="s">
        <v>426</v>
      </c>
      <c r="H2276" t="s">
        <v>427</v>
      </c>
      <c r="I2276" t="s">
        <v>421</v>
      </c>
      <c r="J2276" t="s">
        <v>455</v>
      </c>
      <c r="N2276">
        <v>0</v>
      </c>
    </row>
    <row r="2277" spans="1:14" ht="15" customHeight="1" x14ac:dyDescent="0.25">
      <c r="A2277" s="82">
        <v>44552</v>
      </c>
      <c r="B2277" t="s">
        <v>424</v>
      </c>
      <c r="C2277" t="s">
        <v>429</v>
      </c>
      <c r="D2277" t="s">
        <v>425</v>
      </c>
      <c r="E2277" t="s">
        <v>430</v>
      </c>
      <c r="F2277" t="s">
        <v>430</v>
      </c>
      <c r="G2277" t="s">
        <v>426</v>
      </c>
      <c r="H2277" t="s">
        <v>455</v>
      </c>
      <c r="I2277" t="s">
        <v>421</v>
      </c>
      <c r="J2277" t="s">
        <v>427</v>
      </c>
      <c r="N2277">
        <v>0</v>
      </c>
    </row>
    <row r="2278" spans="1:14" ht="15" customHeight="1" x14ac:dyDescent="0.25">
      <c r="A2278" s="82">
        <v>44553</v>
      </c>
      <c r="B2278" t="s">
        <v>430</v>
      </c>
      <c r="C2278" t="s">
        <v>426</v>
      </c>
      <c r="D2278" t="s">
        <v>425</v>
      </c>
      <c r="E2278" t="s">
        <v>425</v>
      </c>
      <c r="F2278" t="s">
        <v>424</v>
      </c>
      <c r="G2278" t="s">
        <v>421</v>
      </c>
      <c r="H2278" t="s">
        <v>429</v>
      </c>
      <c r="I2278" t="s">
        <v>427</v>
      </c>
      <c r="J2278" t="s">
        <v>455</v>
      </c>
      <c r="N2278">
        <v>0</v>
      </c>
    </row>
    <row r="2279" spans="1:14" ht="15" customHeight="1" x14ac:dyDescent="0.25">
      <c r="A2279" s="82">
        <v>44554</v>
      </c>
      <c r="B2279" t="s">
        <v>430</v>
      </c>
      <c r="C2279" t="s">
        <v>426</v>
      </c>
      <c r="D2279" t="s">
        <v>428</v>
      </c>
      <c r="E2279" t="s">
        <v>425</v>
      </c>
      <c r="F2279" t="s">
        <v>421</v>
      </c>
      <c r="G2279" t="s">
        <v>427</v>
      </c>
      <c r="H2279" t="s">
        <v>428</v>
      </c>
      <c r="I2279" t="s">
        <v>455</v>
      </c>
      <c r="J2279" t="s">
        <v>424</v>
      </c>
      <c r="N2279">
        <v>0</v>
      </c>
    </row>
    <row r="2280" spans="1:14" ht="15" customHeight="1" x14ac:dyDescent="0.25">
      <c r="A2280" s="82">
        <v>44555</v>
      </c>
      <c r="B2280" t="s">
        <v>430</v>
      </c>
      <c r="C2280" t="s">
        <v>426</v>
      </c>
      <c r="D2280" t="s">
        <v>428</v>
      </c>
      <c r="E2280" t="s">
        <v>425</v>
      </c>
      <c r="F2280" t="s">
        <v>427</v>
      </c>
      <c r="G2280" t="s">
        <v>455</v>
      </c>
      <c r="H2280" t="s">
        <v>428</v>
      </c>
      <c r="I2280" t="s">
        <v>421</v>
      </c>
      <c r="J2280" t="s">
        <v>424</v>
      </c>
      <c r="N2280">
        <v>0</v>
      </c>
    </row>
    <row r="2281" spans="1:14" ht="15" customHeight="1" x14ac:dyDescent="0.25">
      <c r="A2281" s="82">
        <v>44556</v>
      </c>
      <c r="B2281" t="s">
        <v>430</v>
      </c>
      <c r="C2281" t="s">
        <v>426</v>
      </c>
      <c r="D2281" t="s">
        <v>428</v>
      </c>
      <c r="E2281" t="s">
        <v>425</v>
      </c>
      <c r="F2281" t="s">
        <v>455</v>
      </c>
      <c r="G2281" t="s">
        <v>427</v>
      </c>
      <c r="H2281" t="s">
        <v>428</v>
      </c>
      <c r="I2281" t="s">
        <v>421</v>
      </c>
      <c r="J2281" t="s">
        <v>424</v>
      </c>
      <c r="N2281">
        <v>0</v>
      </c>
    </row>
    <row r="2282" spans="1:14" ht="15" customHeight="1" x14ac:dyDescent="0.25">
      <c r="A2282" s="82">
        <v>44557</v>
      </c>
      <c r="B2282" t="s">
        <v>430</v>
      </c>
      <c r="C2282" t="s">
        <v>426</v>
      </c>
      <c r="D2282" t="s">
        <v>428</v>
      </c>
      <c r="E2282" t="s">
        <v>425</v>
      </c>
      <c r="F2282" t="s">
        <v>421</v>
      </c>
      <c r="G2282" t="s">
        <v>455</v>
      </c>
      <c r="H2282" t="s">
        <v>428</v>
      </c>
      <c r="I2282" t="s">
        <v>427</v>
      </c>
      <c r="J2282" t="s">
        <v>424</v>
      </c>
      <c r="N2282">
        <v>0</v>
      </c>
    </row>
    <row r="2283" spans="1:14" ht="15" customHeight="1" x14ac:dyDescent="0.25">
      <c r="A2283" s="82">
        <v>44558</v>
      </c>
      <c r="B2283" t="s">
        <v>430</v>
      </c>
      <c r="C2283" t="s">
        <v>426</v>
      </c>
      <c r="D2283" t="s">
        <v>428</v>
      </c>
      <c r="E2283" t="s">
        <v>425</v>
      </c>
      <c r="F2283" t="s">
        <v>427</v>
      </c>
      <c r="G2283" t="s">
        <v>421</v>
      </c>
      <c r="H2283" t="s">
        <v>428</v>
      </c>
      <c r="I2283" t="s">
        <v>455</v>
      </c>
      <c r="J2283" t="s">
        <v>424</v>
      </c>
      <c r="N2283">
        <v>0</v>
      </c>
    </row>
    <row r="2284" spans="1:14" ht="15" customHeight="1" x14ac:dyDescent="0.25">
      <c r="A2284" s="82">
        <v>44559</v>
      </c>
      <c r="B2284" t="s">
        <v>430</v>
      </c>
      <c r="C2284" t="s">
        <v>426</v>
      </c>
      <c r="D2284" t="s">
        <v>428</v>
      </c>
      <c r="E2284" t="s">
        <v>425</v>
      </c>
      <c r="F2284" t="s">
        <v>455</v>
      </c>
      <c r="G2284" t="s">
        <v>427</v>
      </c>
      <c r="H2284" t="s">
        <v>428</v>
      </c>
      <c r="I2284" t="s">
        <v>429</v>
      </c>
      <c r="J2284" t="s">
        <v>424</v>
      </c>
      <c r="N2284">
        <v>0</v>
      </c>
    </row>
    <row r="2285" spans="1:14" ht="15" customHeight="1" x14ac:dyDescent="0.25">
      <c r="A2285" s="82">
        <v>44560</v>
      </c>
      <c r="B2285" t="s">
        <v>424</v>
      </c>
      <c r="C2285" t="s">
        <v>421</v>
      </c>
      <c r="D2285" t="s">
        <v>427</v>
      </c>
      <c r="E2285" t="s">
        <v>425</v>
      </c>
      <c r="F2285" t="s">
        <v>429</v>
      </c>
      <c r="G2285" t="s">
        <v>455</v>
      </c>
      <c r="H2285" t="s">
        <v>425</v>
      </c>
      <c r="I2285" t="s">
        <v>430</v>
      </c>
      <c r="J2285" t="s">
        <v>424</v>
      </c>
      <c r="N2285">
        <v>0</v>
      </c>
    </row>
    <row r="2286" spans="1:14" ht="15" customHeight="1" x14ac:dyDescent="0.25">
      <c r="A2286" s="82">
        <v>44561</v>
      </c>
      <c r="B2286" t="s">
        <v>421</v>
      </c>
      <c r="C2286" t="s">
        <v>427</v>
      </c>
      <c r="D2286" t="s">
        <v>455</v>
      </c>
      <c r="E2286" t="s">
        <v>424</v>
      </c>
      <c r="F2286" t="s">
        <v>429</v>
      </c>
      <c r="G2286" t="s">
        <v>428</v>
      </c>
      <c r="H2286" t="s">
        <v>425</v>
      </c>
      <c r="I2286" t="s">
        <v>430</v>
      </c>
      <c r="J2286" t="s">
        <v>520</v>
      </c>
      <c r="L2286" t="s">
        <v>521</v>
      </c>
      <c r="M2286" t="s">
        <v>421</v>
      </c>
      <c r="N2286">
        <v>0</v>
      </c>
    </row>
    <row r="2287" spans="1:14" ht="15" customHeight="1" x14ac:dyDescent="0.25">
      <c r="A2287" s="82">
        <v>44562</v>
      </c>
      <c r="B2287" t="s">
        <v>427</v>
      </c>
      <c r="C2287" t="s">
        <v>455</v>
      </c>
      <c r="D2287" t="s">
        <v>421</v>
      </c>
      <c r="E2287" t="s">
        <v>424</v>
      </c>
      <c r="F2287" t="s">
        <v>429</v>
      </c>
      <c r="G2287" t="s">
        <v>428</v>
      </c>
      <c r="H2287" t="s">
        <v>425</v>
      </c>
      <c r="I2287" t="s">
        <v>430</v>
      </c>
      <c r="J2287" t="s">
        <v>520</v>
      </c>
      <c r="L2287" t="s">
        <v>521</v>
      </c>
      <c r="M2287" t="s">
        <v>421</v>
      </c>
      <c r="N2287">
        <v>0</v>
      </c>
    </row>
    <row r="2288" spans="1:14" ht="15" customHeight="1" x14ac:dyDescent="0.25">
      <c r="A2288" s="82">
        <v>44563</v>
      </c>
      <c r="B2288" t="s">
        <v>455</v>
      </c>
      <c r="C2288" t="s">
        <v>427</v>
      </c>
      <c r="D2288" t="s">
        <v>421</v>
      </c>
      <c r="E2288" t="s">
        <v>424</v>
      </c>
      <c r="F2288" t="s">
        <v>429</v>
      </c>
      <c r="G2288" t="s">
        <v>428</v>
      </c>
      <c r="H2288" t="s">
        <v>425</v>
      </c>
      <c r="I2288" t="s">
        <v>430</v>
      </c>
      <c r="J2288" t="s">
        <v>520</v>
      </c>
      <c r="L2288" t="s">
        <v>521</v>
      </c>
      <c r="M2288" t="s">
        <v>421</v>
      </c>
      <c r="N2288">
        <v>0</v>
      </c>
    </row>
    <row r="2289" spans="1:14" ht="15" customHeight="1" x14ac:dyDescent="0.25">
      <c r="A2289" s="82">
        <v>44564</v>
      </c>
      <c r="B2289" t="s">
        <v>421</v>
      </c>
      <c r="C2289" t="s">
        <v>455</v>
      </c>
      <c r="D2289" t="s">
        <v>427</v>
      </c>
      <c r="E2289" t="s">
        <v>424</v>
      </c>
      <c r="F2289" t="s">
        <v>429</v>
      </c>
      <c r="G2289" t="s">
        <v>428</v>
      </c>
      <c r="H2289" t="s">
        <v>425</v>
      </c>
      <c r="I2289" t="s">
        <v>430</v>
      </c>
      <c r="J2289" t="s">
        <v>426</v>
      </c>
      <c r="L2289" t="s">
        <v>423</v>
      </c>
      <c r="M2289" t="s">
        <v>421</v>
      </c>
      <c r="N2289">
        <v>0</v>
      </c>
    </row>
    <row r="2290" spans="1:14" ht="15" customHeight="1" x14ac:dyDescent="0.25">
      <c r="A2290" s="82">
        <v>44565</v>
      </c>
      <c r="B2290" t="s">
        <v>427</v>
      </c>
      <c r="C2290" t="s">
        <v>421</v>
      </c>
      <c r="D2290" t="s">
        <v>455</v>
      </c>
      <c r="E2290" t="s">
        <v>424</v>
      </c>
      <c r="F2290" t="s">
        <v>429</v>
      </c>
      <c r="G2290" t="s">
        <v>428</v>
      </c>
      <c r="H2290" t="s">
        <v>425</v>
      </c>
      <c r="I2290" t="s">
        <v>426</v>
      </c>
      <c r="J2290" t="s">
        <v>430</v>
      </c>
      <c r="L2290" t="s">
        <v>423</v>
      </c>
      <c r="M2290" t="s">
        <v>421</v>
      </c>
      <c r="N2290">
        <v>0</v>
      </c>
    </row>
    <row r="2291" spans="1:14" ht="15" customHeight="1" x14ac:dyDescent="0.25">
      <c r="A2291" s="82">
        <v>44566</v>
      </c>
      <c r="B2291" t="s">
        <v>455</v>
      </c>
      <c r="C2291" t="s">
        <v>421</v>
      </c>
      <c r="D2291" t="s">
        <v>427</v>
      </c>
      <c r="E2291" t="s">
        <v>424</v>
      </c>
      <c r="F2291" t="s">
        <v>429</v>
      </c>
      <c r="G2291" t="s">
        <v>428</v>
      </c>
      <c r="H2291" t="s">
        <v>425</v>
      </c>
      <c r="I2291" t="s">
        <v>426</v>
      </c>
      <c r="J2291" t="s">
        <v>430</v>
      </c>
      <c r="L2291" t="s">
        <v>423</v>
      </c>
      <c r="M2291" t="s">
        <v>421</v>
      </c>
      <c r="N2291">
        <v>0</v>
      </c>
    </row>
    <row r="2292" spans="1:14" ht="15" customHeight="1" x14ac:dyDescent="0.25">
      <c r="A2292" s="82">
        <v>44567</v>
      </c>
      <c r="B2292" t="s">
        <v>421</v>
      </c>
      <c r="C2292" t="s">
        <v>427</v>
      </c>
      <c r="D2292" t="s">
        <v>455</v>
      </c>
      <c r="E2292" t="s">
        <v>424</v>
      </c>
      <c r="F2292" t="s">
        <v>429</v>
      </c>
      <c r="G2292" t="s">
        <v>428</v>
      </c>
      <c r="H2292" t="s">
        <v>425</v>
      </c>
      <c r="I2292" t="s">
        <v>426</v>
      </c>
      <c r="J2292" t="s">
        <v>430</v>
      </c>
      <c r="L2292" t="s">
        <v>421</v>
      </c>
      <c r="M2292" t="s">
        <v>423</v>
      </c>
      <c r="N2292">
        <v>0</v>
      </c>
    </row>
    <row r="2293" spans="1:14" ht="15" customHeight="1" x14ac:dyDescent="0.25">
      <c r="A2293" s="82">
        <v>44568</v>
      </c>
      <c r="B2293" t="s">
        <v>429</v>
      </c>
      <c r="C2293" t="s">
        <v>455</v>
      </c>
      <c r="D2293" t="s">
        <v>424</v>
      </c>
      <c r="E2293" t="s">
        <v>424</v>
      </c>
      <c r="F2293" t="s">
        <v>426</v>
      </c>
      <c r="G2293" t="s">
        <v>425</v>
      </c>
      <c r="H2293" t="s">
        <v>425</v>
      </c>
      <c r="I2293" t="s">
        <v>427</v>
      </c>
      <c r="J2293" t="s">
        <v>421</v>
      </c>
      <c r="L2293" t="s">
        <v>421</v>
      </c>
      <c r="M2293" t="s">
        <v>423</v>
      </c>
      <c r="N2293">
        <v>0</v>
      </c>
    </row>
    <row r="2294" spans="1:14" ht="15" customHeight="1" x14ac:dyDescent="0.25">
      <c r="A2294" s="82">
        <v>44569</v>
      </c>
      <c r="B2294" t="s">
        <v>429</v>
      </c>
      <c r="C2294" t="s">
        <v>428</v>
      </c>
      <c r="D2294" t="s">
        <v>424</v>
      </c>
      <c r="E2294" t="s">
        <v>430</v>
      </c>
      <c r="F2294" t="s">
        <v>426</v>
      </c>
      <c r="G2294" t="s">
        <v>425</v>
      </c>
      <c r="H2294" t="s">
        <v>421</v>
      </c>
      <c r="I2294" t="s">
        <v>455</v>
      </c>
      <c r="J2294" t="s">
        <v>427</v>
      </c>
      <c r="L2294" t="s">
        <v>421</v>
      </c>
      <c r="M2294" t="s">
        <v>423</v>
      </c>
      <c r="N2294">
        <v>0</v>
      </c>
    </row>
    <row r="2295" spans="1:14" ht="15" customHeight="1" x14ac:dyDescent="0.25">
      <c r="A2295" s="82">
        <v>44570</v>
      </c>
      <c r="B2295" t="s">
        <v>429</v>
      </c>
      <c r="C2295" t="s">
        <v>428</v>
      </c>
      <c r="D2295" t="s">
        <v>424</v>
      </c>
      <c r="E2295" t="s">
        <v>430</v>
      </c>
      <c r="F2295" t="s">
        <v>426</v>
      </c>
      <c r="G2295" t="s">
        <v>425</v>
      </c>
      <c r="H2295" t="s">
        <v>421</v>
      </c>
      <c r="I2295" t="s">
        <v>427</v>
      </c>
      <c r="J2295" t="s">
        <v>455</v>
      </c>
      <c r="L2295" t="s">
        <v>421</v>
      </c>
      <c r="M2295" t="s">
        <v>423</v>
      </c>
      <c r="N2295">
        <v>0</v>
      </c>
    </row>
    <row r="2296" spans="1:14" ht="15" customHeight="1" x14ac:dyDescent="0.25">
      <c r="A2296" s="82">
        <v>44571</v>
      </c>
      <c r="B2296" t="s">
        <v>429</v>
      </c>
      <c r="C2296" t="s">
        <v>428</v>
      </c>
      <c r="D2296" t="s">
        <v>424</v>
      </c>
      <c r="E2296" t="s">
        <v>430</v>
      </c>
      <c r="F2296" t="s">
        <v>426</v>
      </c>
      <c r="G2296" t="s">
        <v>425</v>
      </c>
      <c r="H2296" t="s">
        <v>427</v>
      </c>
      <c r="I2296" t="s">
        <v>455</v>
      </c>
      <c r="J2296" t="s">
        <v>421</v>
      </c>
      <c r="L2296" t="s">
        <v>421</v>
      </c>
      <c r="M2296" t="s">
        <v>423</v>
      </c>
      <c r="N2296">
        <v>0</v>
      </c>
    </row>
    <row r="2297" spans="1:14" ht="15" customHeight="1" x14ac:dyDescent="0.25">
      <c r="A2297" s="82">
        <v>44572</v>
      </c>
      <c r="B2297" t="s">
        <v>429</v>
      </c>
      <c r="C2297" t="s">
        <v>428</v>
      </c>
      <c r="D2297" t="s">
        <v>424</v>
      </c>
      <c r="E2297" t="s">
        <v>430</v>
      </c>
      <c r="F2297" t="s">
        <v>426</v>
      </c>
      <c r="G2297" t="s">
        <v>425</v>
      </c>
      <c r="H2297" t="s">
        <v>455</v>
      </c>
      <c r="I2297" t="s">
        <v>421</v>
      </c>
      <c r="J2297" t="s">
        <v>427</v>
      </c>
      <c r="L2297" t="s">
        <v>421</v>
      </c>
      <c r="M2297" t="s">
        <v>423</v>
      </c>
      <c r="N2297">
        <v>0</v>
      </c>
    </row>
    <row r="2298" spans="1:14" ht="15" customHeight="1" x14ac:dyDescent="0.25">
      <c r="A2298" s="82">
        <v>44573</v>
      </c>
      <c r="B2298" t="s">
        <v>429</v>
      </c>
      <c r="C2298" t="s">
        <v>428</v>
      </c>
      <c r="D2298" t="s">
        <v>424</v>
      </c>
      <c r="E2298" t="s">
        <v>430</v>
      </c>
      <c r="F2298" t="s">
        <v>426</v>
      </c>
      <c r="G2298" t="s">
        <v>425</v>
      </c>
      <c r="H2298" t="s">
        <v>427</v>
      </c>
      <c r="I2298" t="s">
        <v>421</v>
      </c>
      <c r="J2298" t="s">
        <v>455</v>
      </c>
      <c r="L2298" t="s">
        <v>423</v>
      </c>
      <c r="M2298" t="s">
        <v>421</v>
      </c>
      <c r="N2298">
        <v>0</v>
      </c>
    </row>
    <row r="2299" spans="1:14" ht="15" customHeight="1" x14ac:dyDescent="0.25">
      <c r="A2299" s="82">
        <v>44574</v>
      </c>
      <c r="B2299" t="s">
        <v>429</v>
      </c>
      <c r="C2299" t="s">
        <v>428</v>
      </c>
      <c r="D2299" t="s">
        <v>424</v>
      </c>
      <c r="E2299" t="s">
        <v>430</v>
      </c>
      <c r="F2299" t="s">
        <v>426</v>
      </c>
      <c r="G2299" t="s">
        <v>425</v>
      </c>
      <c r="H2299" t="s">
        <v>455</v>
      </c>
      <c r="I2299" t="s">
        <v>427</v>
      </c>
      <c r="J2299" t="s">
        <v>421</v>
      </c>
      <c r="L2299" t="s">
        <v>423</v>
      </c>
      <c r="M2299" t="s">
        <v>421</v>
      </c>
      <c r="N2299">
        <v>0</v>
      </c>
    </row>
    <row r="2300" spans="1:14" ht="15" customHeight="1" x14ac:dyDescent="0.25">
      <c r="A2300" s="82">
        <v>44575</v>
      </c>
      <c r="B2300" t="s">
        <v>426</v>
      </c>
      <c r="C2300" t="s">
        <v>425</v>
      </c>
      <c r="D2300" t="s">
        <v>424</v>
      </c>
      <c r="E2300" t="s">
        <v>421</v>
      </c>
      <c r="F2300" t="s">
        <v>427</v>
      </c>
      <c r="G2300" t="s">
        <v>425</v>
      </c>
      <c r="H2300" t="s">
        <v>424</v>
      </c>
      <c r="I2300" t="s">
        <v>455</v>
      </c>
      <c r="J2300" t="s">
        <v>429</v>
      </c>
      <c r="L2300" t="s">
        <v>428</v>
      </c>
      <c r="M2300" t="s">
        <v>421</v>
      </c>
      <c r="N2300">
        <v>0</v>
      </c>
    </row>
    <row r="2301" spans="1:14" ht="15" customHeight="1" x14ac:dyDescent="0.25">
      <c r="A2301" s="82">
        <v>44576</v>
      </c>
      <c r="B2301" t="s">
        <v>426</v>
      </c>
      <c r="C2301" t="s">
        <v>425</v>
      </c>
      <c r="D2301" t="s">
        <v>430</v>
      </c>
      <c r="E2301" t="s">
        <v>427</v>
      </c>
      <c r="F2301" t="s">
        <v>455</v>
      </c>
      <c r="G2301" t="s">
        <v>421</v>
      </c>
      <c r="H2301" t="s">
        <v>424</v>
      </c>
      <c r="I2301" t="s">
        <v>428</v>
      </c>
      <c r="J2301" t="s">
        <v>429</v>
      </c>
      <c r="L2301" t="s">
        <v>428</v>
      </c>
      <c r="M2301" t="s">
        <v>421</v>
      </c>
      <c r="N2301">
        <v>0</v>
      </c>
    </row>
    <row r="2302" spans="1:14" ht="15" customHeight="1" x14ac:dyDescent="0.25">
      <c r="A2302" s="82">
        <v>44577</v>
      </c>
      <c r="B2302" t="s">
        <v>426</v>
      </c>
      <c r="C2302" t="s">
        <v>425</v>
      </c>
      <c r="D2302" t="s">
        <v>430</v>
      </c>
      <c r="E2302" t="s">
        <v>455</v>
      </c>
      <c r="F2302" t="s">
        <v>427</v>
      </c>
      <c r="G2302" t="s">
        <v>421</v>
      </c>
      <c r="H2302" t="s">
        <v>424</v>
      </c>
      <c r="I2302" t="s">
        <v>428</v>
      </c>
      <c r="J2302" t="s">
        <v>429</v>
      </c>
      <c r="L2302" t="s">
        <v>428</v>
      </c>
      <c r="M2302" t="s">
        <v>421</v>
      </c>
      <c r="N2302">
        <v>0</v>
      </c>
    </row>
    <row r="2303" spans="1:14" ht="15" customHeight="1" x14ac:dyDescent="0.25">
      <c r="A2303" s="82">
        <v>44578</v>
      </c>
      <c r="B2303" t="s">
        <v>426</v>
      </c>
      <c r="C2303" t="s">
        <v>425</v>
      </c>
      <c r="D2303" t="s">
        <v>430</v>
      </c>
      <c r="E2303" t="s">
        <v>421</v>
      </c>
      <c r="F2303" t="s">
        <v>455</v>
      </c>
      <c r="G2303" t="s">
        <v>427</v>
      </c>
      <c r="H2303" t="s">
        <v>424</v>
      </c>
      <c r="I2303" t="s">
        <v>428</v>
      </c>
      <c r="J2303" t="s">
        <v>429</v>
      </c>
      <c r="L2303" t="s">
        <v>428</v>
      </c>
      <c r="M2303" t="s">
        <v>421</v>
      </c>
      <c r="N2303">
        <v>0</v>
      </c>
    </row>
    <row r="2304" spans="1:14" ht="15" customHeight="1" x14ac:dyDescent="0.25">
      <c r="A2304" s="82">
        <v>44579</v>
      </c>
      <c r="B2304" t="s">
        <v>426</v>
      </c>
      <c r="C2304" t="s">
        <v>425</v>
      </c>
      <c r="D2304" t="s">
        <v>430</v>
      </c>
      <c r="E2304" t="s">
        <v>427</v>
      </c>
      <c r="F2304" t="s">
        <v>421</v>
      </c>
      <c r="G2304" t="s">
        <v>455</v>
      </c>
      <c r="H2304" t="s">
        <v>424</v>
      </c>
      <c r="I2304" t="s">
        <v>428</v>
      </c>
      <c r="J2304" t="s">
        <v>429</v>
      </c>
      <c r="L2304" t="s">
        <v>421</v>
      </c>
      <c r="M2304" t="s">
        <v>423</v>
      </c>
      <c r="N2304">
        <v>0</v>
      </c>
    </row>
    <row r="2305" spans="1:14" ht="15" customHeight="1" x14ac:dyDescent="0.25">
      <c r="A2305" s="82">
        <v>44580</v>
      </c>
      <c r="B2305" t="s">
        <v>426</v>
      </c>
      <c r="C2305" t="s">
        <v>425</v>
      </c>
      <c r="D2305" t="s">
        <v>430</v>
      </c>
      <c r="E2305" t="s">
        <v>455</v>
      </c>
      <c r="F2305" t="s">
        <v>421</v>
      </c>
      <c r="G2305" t="s">
        <v>427</v>
      </c>
      <c r="H2305" t="s">
        <v>424</v>
      </c>
      <c r="I2305" t="s">
        <v>428</v>
      </c>
      <c r="J2305" t="s">
        <v>429</v>
      </c>
      <c r="L2305" t="s">
        <v>421</v>
      </c>
      <c r="M2305" t="s">
        <v>423</v>
      </c>
      <c r="N2305">
        <v>0</v>
      </c>
    </row>
    <row r="2306" spans="1:14" ht="15" customHeight="1" x14ac:dyDescent="0.25">
      <c r="A2306" s="82">
        <v>44581</v>
      </c>
      <c r="B2306" t="s">
        <v>426</v>
      </c>
      <c r="C2306" t="s">
        <v>425</v>
      </c>
      <c r="D2306" t="s">
        <v>430</v>
      </c>
      <c r="E2306" t="s">
        <v>421</v>
      </c>
      <c r="F2306" t="s">
        <v>427</v>
      </c>
      <c r="G2306" t="s">
        <v>455</v>
      </c>
      <c r="H2306" t="s">
        <v>424</v>
      </c>
      <c r="I2306" t="s">
        <v>428</v>
      </c>
      <c r="J2306" t="s">
        <v>429</v>
      </c>
      <c r="L2306" t="s">
        <v>421</v>
      </c>
      <c r="M2306" t="s">
        <v>423</v>
      </c>
      <c r="N2306">
        <v>0</v>
      </c>
    </row>
    <row r="2307" spans="1:14" ht="15" customHeight="1" x14ac:dyDescent="0.25">
      <c r="A2307" s="82">
        <v>44582</v>
      </c>
      <c r="B2307" t="s">
        <v>427</v>
      </c>
      <c r="C2307" t="s">
        <v>425</v>
      </c>
      <c r="D2307" t="s">
        <v>421</v>
      </c>
      <c r="E2307" t="s">
        <v>429</v>
      </c>
      <c r="F2307" t="s">
        <v>455</v>
      </c>
      <c r="G2307" t="s">
        <v>424</v>
      </c>
      <c r="H2307" t="s">
        <v>424</v>
      </c>
      <c r="I2307" t="s">
        <v>425</v>
      </c>
      <c r="J2307" t="s">
        <v>426</v>
      </c>
      <c r="L2307" t="s">
        <v>421</v>
      </c>
      <c r="M2307" t="s">
        <v>423</v>
      </c>
      <c r="N2307">
        <v>0</v>
      </c>
    </row>
    <row r="2308" spans="1:14" ht="15" customHeight="1" x14ac:dyDescent="0.25">
      <c r="A2308" s="82">
        <v>44583</v>
      </c>
      <c r="B2308" t="s">
        <v>455</v>
      </c>
      <c r="C2308" t="s">
        <v>421</v>
      </c>
      <c r="D2308" t="s">
        <v>427</v>
      </c>
      <c r="E2308" t="s">
        <v>429</v>
      </c>
      <c r="F2308" t="s">
        <v>428</v>
      </c>
      <c r="G2308" t="s">
        <v>424</v>
      </c>
      <c r="H2308" t="s">
        <v>430</v>
      </c>
      <c r="I2308" t="s">
        <v>425</v>
      </c>
      <c r="J2308" t="s">
        <v>426</v>
      </c>
      <c r="L2308" t="s">
        <v>421</v>
      </c>
      <c r="M2308" t="s">
        <v>423</v>
      </c>
      <c r="N2308">
        <v>0</v>
      </c>
    </row>
    <row r="2309" spans="1:14" ht="15" customHeight="1" x14ac:dyDescent="0.25">
      <c r="A2309" s="82">
        <v>44584</v>
      </c>
      <c r="B2309" t="s">
        <v>427</v>
      </c>
      <c r="C2309" t="s">
        <v>421</v>
      </c>
      <c r="D2309" t="s">
        <v>455</v>
      </c>
      <c r="E2309" t="s">
        <v>429</v>
      </c>
      <c r="F2309" t="s">
        <v>428</v>
      </c>
      <c r="G2309" t="s">
        <v>424</v>
      </c>
      <c r="H2309" t="s">
        <v>430</v>
      </c>
      <c r="I2309" t="s">
        <v>425</v>
      </c>
      <c r="J2309" t="s">
        <v>426</v>
      </c>
      <c r="L2309" t="s">
        <v>421</v>
      </c>
      <c r="M2309" t="s">
        <v>423</v>
      </c>
      <c r="N2309">
        <v>0</v>
      </c>
    </row>
    <row r="2310" spans="1:14" ht="15" customHeight="1" x14ac:dyDescent="0.25">
      <c r="A2310" s="82">
        <v>44585</v>
      </c>
      <c r="B2310" t="s">
        <v>455</v>
      </c>
      <c r="C2310" t="s">
        <v>427</v>
      </c>
      <c r="D2310" t="s">
        <v>421</v>
      </c>
      <c r="E2310" t="s">
        <v>429</v>
      </c>
      <c r="F2310" t="s">
        <v>428</v>
      </c>
      <c r="G2310" t="s">
        <v>424</v>
      </c>
      <c r="H2310" t="s">
        <v>430</v>
      </c>
      <c r="I2310" t="s">
        <v>425</v>
      </c>
      <c r="J2310" t="s">
        <v>426</v>
      </c>
      <c r="L2310" t="s">
        <v>423</v>
      </c>
      <c r="M2310" t="s">
        <v>421</v>
      </c>
      <c r="N2310">
        <v>0</v>
      </c>
    </row>
    <row r="2311" spans="1:14" ht="15" customHeight="1" x14ac:dyDescent="0.25">
      <c r="A2311" s="82">
        <v>44586</v>
      </c>
      <c r="B2311" t="s">
        <v>421</v>
      </c>
      <c r="C2311" t="s">
        <v>455</v>
      </c>
      <c r="D2311" t="s">
        <v>427</v>
      </c>
      <c r="E2311" t="s">
        <v>429</v>
      </c>
      <c r="F2311" t="s">
        <v>428</v>
      </c>
      <c r="G2311" t="s">
        <v>424</v>
      </c>
      <c r="H2311" t="s">
        <v>430</v>
      </c>
      <c r="I2311" t="s">
        <v>425</v>
      </c>
      <c r="J2311" t="s">
        <v>426</v>
      </c>
      <c r="L2311" t="s">
        <v>423</v>
      </c>
      <c r="M2311" t="s">
        <v>421</v>
      </c>
      <c r="N2311">
        <v>0</v>
      </c>
    </row>
    <row r="2312" spans="1:14" ht="15" customHeight="1" x14ac:dyDescent="0.25">
      <c r="A2312" s="82">
        <v>44587</v>
      </c>
      <c r="B2312" t="s">
        <v>421</v>
      </c>
      <c r="C2312" t="s">
        <v>427</v>
      </c>
      <c r="D2312" t="s">
        <v>455</v>
      </c>
      <c r="E2312" t="s">
        <v>429</v>
      </c>
      <c r="F2312" t="s">
        <v>428</v>
      </c>
      <c r="G2312" t="s">
        <v>424</v>
      </c>
      <c r="H2312" t="s">
        <v>430</v>
      </c>
      <c r="I2312" t="s">
        <v>425</v>
      </c>
      <c r="J2312" t="s">
        <v>426</v>
      </c>
      <c r="L2312" t="s">
        <v>423</v>
      </c>
      <c r="M2312" t="s">
        <v>421</v>
      </c>
      <c r="N2312">
        <v>0</v>
      </c>
    </row>
    <row r="2313" spans="1:14" ht="15" customHeight="1" x14ac:dyDescent="0.25">
      <c r="A2313" s="82">
        <v>44588</v>
      </c>
      <c r="B2313" t="s">
        <v>427</v>
      </c>
      <c r="C2313" t="s">
        <v>455</v>
      </c>
      <c r="D2313" t="s">
        <v>421</v>
      </c>
      <c r="E2313" t="s">
        <v>429</v>
      </c>
      <c r="F2313" t="s">
        <v>428</v>
      </c>
      <c r="G2313" t="s">
        <v>424</v>
      </c>
      <c r="H2313" t="s">
        <v>430</v>
      </c>
      <c r="I2313" t="s">
        <v>425</v>
      </c>
      <c r="J2313" t="s">
        <v>426</v>
      </c>
      <c r="L2313" t="s">
        <v>423</v>
      </c>
      <c r="M2313" t="s">
        <v>421</v>
      </c>
      <c r="N2313">
        <v>0</v>
      </c>
    </row>
    <row r="2314" spans="1:14" ht="15" customHeight="1" x14ac:dyDescent="0.25">
      <c r="A2314" s="82">
        <v>44589</v>
      </c>
      <c r="B2314" t="s">
        <v>455</v>
      </c>
      <c r="C2314" t="s">
        <v>424</v>
      </c>
      <c r="D2314" t="s">
        <v>429</v>
      </c>
      <c r="E2314" t="s">
        <v>426</v>
      </c>
      <c r="F2314" t="s">
        <v>425</v>
      </c>
      <c r="G2314" t="s">
        <v>424</v>
      </c>
      <c r="H2314" t="s">
        <v>421</v>
      </c>
      <c r="I2314" t="s">
        <v>425</v>
      </c>
      <c r="J2314" t="s">
        <v>427</v>
      </c>
      <c r="L2314" t="s">
        <v>421</v>
      </c>
      <c r="M2314" t="s">
        <v>423</v>
      </c>
      <c r="N2314">
        <v>0</v>
      </c>
    </row>
    <row r="2315" spans="1:14" ht="15" customHeight="1" x14ac:dyDescent="0.25">
      <c r="A2315" s="82">
        <v>44590</v>
      </c>
      <c r="B2315" t="s">
        <v>428</v>
      </c>
      <c r="C2315" t="s">
        <v>424</v>
      </c>
      <c r="D2315" t="s">
        <v>429</v>
      </c>
      <c r="E2315" t="s">
        <v>426</v>
      </c>
      <c r="F2315" t="s">
        <v>425</v>
      </c>
      <c r="G2315" t="s">
        <v>430</v>
      </c>
      <c r="H2315" t="s">
        <v>427</v>
      </c>
      <c r="I2315" t="s">
        <v>421</v>
      </c>
      <c r="J2315" t="s">
        <v>455</v>
      </c>
      <c r="L2315" t="s">
        <v>421</v>
      </c>
      <c r="M2315" t="s">
        <v>423</v>
      </c>
      <c r="N2315">
        <v>0</v>
      </c>
    </row>
    <row r="2316" spans="1:14" ht="15" customHeight="1" x14ac:dyDescent="0.25">
      <c r="A2316" s="82">
        <v>44591</v>
      </c>
      <c r="B2316" t="s">
        <v>428</v>
      </c>
      <c r="C2316" t="s">
        <v>424</v>
      </c>
      <c r="D2316" t="s">
        <v>429</v>
      </c>
      <c r="E2316" t="s">
        <v>426</v>
      </c>
      <c r="F2316" t="s">
        <v>425</v>
      </c>
      <c r="G2316" t="s">
        <v>430</v>
      </c>
      <c r="H2316" t="s">
        <v>455</v>
      </c>
      <c r="I2316" t="s">
        <v>421</v>
      </c>
      <c r="J2316" t="s">
        <v>427</v>
      </c>
      <c r="L2316" t="s">
        <v>421</v>
      </c>
      <c r="M2316" t="s">
        <v>423</v>
      </c>
      <c r="N2316">
        <v>0</v>
      </c>
    </row>
    <row r="2317" spans="1:14" ht="15" customHeight="1" x14ac:dyDescent="0.25">
      <c r="A2317" s="82">
        <v>44592</v>
      </c>
      <c r="B2317" t="s">
        <v>428</v>
      </c>
      <c r="C2317" t="s">
        <v>424</v>
      </c>
      <c r="D2317" t="s">
        <v>429</v>
      </c>
      <c r="E2317" t="s">
        <v>426</v>
      </c>
      <c r="F2317" t="s">
        <v>425</v>
      </c>
      <c r="G2317" t="s">
        <v>430</v>
      </c>
      <c r="H2317" t="s">
        <v>421</v>
      </c>
      <c r="I2317" t="s">
        <v>427</v>
      </c>
      <c r="J2317" t="s">
        <v>455</v>
      </c>
      <c r="L2317" t="s">
        <v>421</v>
      </c>
      <c r="M2317" t="s">
        <v>423</v>
      </c>
      <c r="N2317">
        <v>0</v>
      </c>
    </row>
    <row r="2318" spans="1:14" ht="15" customHeight="1" x14ac:dyDescent="0.25">
      <c r="A2318" s="82">
        <v>44593</v>
      </c>
      <c r="B2318" t="s">
        <v>428</v>
      </c>
      <c r="C2318" t="s">
        <v>424</v>
      </c>
      <c r="D2318" t="s">
        <v>429</v>
      </c>
      <c r="E2318" t="s">
        <v>426</v>
      </c>
      <c r="F2318" t="s">
        <v>425</v>
      </c>
      <c r="G2318" t="s">
        <v>430</v>
      </c>
      <c r="H2318" t="s">
        <v>427</v>
      </c>
      <c r="I2318" t="s">
        <v>455</v>
      </c>
      <c r="J2318" t="s">
        <v>421</v>
      </c>
      <c r="L2318" t="s">
        <v>421</v>
      </c>
      <c r="M2318" t="s">
        <v>423</v>
      </c>
      <c r="N2318">
        <v>0</v>
      </c>
    </row>
    <row r="2319" spans="1:14" ht="15" customHeight="1" x14ac:dyDescent="0.25">
      <c r="A2319" s="82">
        <v>44594</v>
      </c>
      <c r="B2319" t="s">
        <v>428</v>
      </c>
      <c r="C2319" t="s">
        <v>424</v>
      </c>
      <c r="D2319" t="s">
        <v>429</v>
      </c>
      <c r="E2319" t="s">
        <v>426</v>
      </c>
      <c r="F2319" t="s">
        <v>425</v>
      </c>
      <c r="G2319" t="s">
        <v>430</v>
      </c>
      <c r="H2319" t="s">
        <v>455</v>
      </c>
      <c r="I2319" t="s">
        <v>427</v>
      </c>
      <c r="J2319" t="s">
        <v>421</v>
      </c>
      <c r="L2319" t="s">
        <v>421</v>
      </c>
      <c r="M2319" t="s">
        <v>423</v>
      </c>
      <c r="N2319">
        <v>0</v>
      </c>
    </row>
    <row r="2320" spans="1:14" ht="15" customHeight="1" x14ac:dyDescent="0.25">
      <c r="A2320" s="82">
        <v>44595</v>
      </c>
      <c r="B2320" t="s">
        <v>428</v>
      </c>
      <c r="C2320" t="s">
        <v>424</v>
      </c>
      <c r="D2320" t="s">
        <v>429</v>
      </c>
      <c r="E2320" t="s">
        <v>426</v>
      </c>
      <c r="F2320" t="s">
        <v>425</v>
      </c>
      <c r="G2320" t="s">
        <v>430</v>
      </c>
      <c r="H2320" t="s">
        <v>421</v>
      </c>
      <c r="I2320" t="s">
        <v>455</v>
      </c>
      <c r="J2320" t="s">
        <v>427</v>
      </c>
      <c r="L2320" t="s">
        <v>423</v>
      </c>
      <c r="M2320" t="s">
        <v>421</v>
      </c>
      <c r="N2320">
        <v>0</v>
      </c>
    </row>
    <row r="2321" spans="1:14" ht="15" customHeight="1" x14ac:dyDescent="0.25">
      <c r="A2321" s="82">
        <v>44596</v>
      </c>
      <c r="B2321" t="s">
        <v>425</v>
      </c>
      <c r="C2321" t="s">
        <v>427</v>
      </c>
      <c r="D2321" t="s">
        <v>421</v>
      </c>
      <c r="E2321" t="s">
        <v>430</v>
      </c>
      <c r="F2321" t="s">
        <v>425</v>
      </c>
      <c r="G2321" t="s">
        <v>522</v>
      </c>
      <c r="H2321" t="s">
        <v>455</v>
      </c>
      <c r="I2321" t="s">
        <v>424</v>
      </c>
      <c r="J2321" t="s">
        <v>428</v>
      </c>
      <c r="L2321" t="s">
        <v>423</v>
      </c>
      <c r="M2321" t="s">
        <v>421</v>
      </c>
      <c r="N2321">
        <v>0</v>
      </c>
    </row>
    <row r="2322" spans="1:14" ht="15" customHeight="1" x14ac:dyDescent="0.25">
      <c r="A2322" s="82">
        <v>44597</v>
      </c>
      <c r="B2322" t="s">
        <v>425</v>
      </c>
      <c r="C2322" t="s">
        <v>455</v>
      </c>
      <c r="D2322" t="s">
        <v>427</v>
      </c>
      <c r="E2322" t="s">
        <v>430</v>
      </c>
      <c r="F2322" t="s">
        <v>421</v>
      </c>
      <c r="G2322" t="s">
        <v>522</v>
      </c>
      <c r="H2322" t="s">
        <v>429</v>
      </c>
      <c r="I2322" t="s">
        <v>424</v>
      </c>
      <c r="J2322" t="s">
        <v>428</v>
      </c>
      <c r="L2322" t="s">
        <v>423</v>
      </c>
      <c r="M2322" t="s">
        <v>421</v>
      </c>
      <c r="N2322">
        <v>0</v>
      </c>
    </row>
    <row r="2323" spans="1:14" ht="15" customHeight="1" x14ac:dyDescent="0.25">
      <c r="A2323" s="82">
        <v>44598</v>
      </c>
      <c r="B2323" t="s">
        <v>425</v>
      </c>
      <c r="C2323" t="s">
        <v>427</v>
      </c>
      <c r="D2323" t="s">
        <v>455</v>
      </c>
      <c r="E2323" t="s">
        <v>430</v>
      </c>
      <c r="F2323" t="s">
        <v>421</v>
      </c>
      <c r="G2323" t="s">
        <v>522</v>
      </c>
      <c r="H2323" t="s">
        <v>429</v>
      </c>
      <c r="I2323" t="s">
        <v>424</v>
      </c>
      <c r="J2323" t="s">
        <v>428</v>
      </c>
      <c r="L2323" t="s">
        <v>423</v>
      </c>
      <c r="M2323" t="s">
        <v>421</v>
      </c>
      <c r="N2323">
        <v>0</v>
      </c>
    </row>
    <row r="2324" spans="1:14" ht="15" customHeight="1" x14ac:dyDescent="0.25">
      <c r="A2324" s="82">
        <v>44599</v>
      </c>
      <c r="B2324" t="s">
        <v>425</v>
      </c>
      <c r="C2324" t="s">
        <v>455</v>
      </c>
      <c r="D2324" t="s">
        <v>421</v>
      </c>
      <c r="E2324" t="s">
        <v>430</v>
      </c>
      <c r="F2324" t="s">
        <v>427</v>
      </c>
      <c r="G2324" t="s">
        <v>522</v>
      </c>
      <c r="H2324" t="s">
        <v>429</v>
      </c>
      <c r="I2324" t="s">
        <v>424</v>
      </c>
      <c r="J2324" t="s">
        <v>428</v>
      </c>
      <c r="L2324" t="s">
        <v>423</v>
      </c>
      <c r="M2324" t="s">
        <v>421</v>
      </c>
      <c r="N2324">
        <v>0</v>
      </c>
    </row>
    <row r="2325" spans="1:14" ht="15" customHeight="1" x14ac:dyDescent="0.25">
      <c r="A2325" s="82">
        <v>44600</v>
      </c>
      <c r="B2325" t="s">
        <v>425</v>
      </c>
      <c r="C2325" t="s">
        <v>421</v>
      </c>
      <c r="D2325" t="s">
        <v>427</v>
      </c>
      <c r="E2325" t="s">
        <v>430</v>
      </c>
      <c r="F2325" t="s">
        <v>455</v>
      </c>
      <c r="G2325" t="s">
        <v>522</v>
      </c>
      <c r="H2325" t="s">
        <v>429</v>
      </c>
      <c r="I2325" t="s">
        <v>424</v>
      </c>
      <c r="J2325" t="s">
        <v>428</v>
      </c>
      <c r="L2325" t="s">
        <v>423</v>
      </c>
      <c r="M2325" t="s">
        <v>421</v>
      </c>
      <c r="N2325">
        <v>0</v>
      </c>
    </row>
    <row r="2326" spans="1:14" ht="15" customHeight="1" x14ac:dyDescent="0.25">
      <c r="A2326" s="82">
        <v>44601</v>
      </c>
      <c r="B2326" t="s">
        <v>425</v>
      </c>
      <c r="C2326" t="s">
        <v>421</v>
      </c>
      <c r="D2326" t="s">
        <v>455</v>
      </c>
      <c r="E2326" t="s">
        <v>430</v>
      </c>
      <c r="F2326" t="s">
        <v>427</v>
      </c>
      <c r="G2326" t="s">
        <v>522</v>
      </c>
      <c r="H2326" t="s">
        <v>429</v>
      </c>
      <c r="I2326" t="s">
        <v>424</v>
      </c>
      <c r="J2326" t="s">
        <v>428</v>
      </c>
      <c r="L2326" t="s">
        <v>421</v>
      </c>
      <c r="M2326" t="s">
        <v>423</v>
      </c>
      <c r="N2326">
        <v>0</v>
      </c>
    </row>
    <row r="2327" spans="1:14" ht="15" customHeight="1" x14ac:dyDescent="0.25">
      <c r="A2327" s="82">
        <v>44602</v>
      </c>
      <c r="B2327" t="s">
        <v>425</v>
      </c>
      <c r="C2327" t="s">
        <v>427</v>
      </c>
      <c r="D2327" t="s">
        <v>421</v>
      </c>
      <c r="E2327" t="s">
        <v>430</v>
      </c>
      <c r="F2327" t="s">
        <v>455</v>
      </c>
      <c r="G2327" t="s">
        <v>522</v>
      </c>
      <c r="H2327" t="s">
        <v>429</v>
      </c>
      <c r="I2327" t="s">
        <v>424</v>
      </c>
      <c r="J2327" t="s">
        <v>428</v>
      </c>
      <c r="L2327" t="s">
        <v>421</v>
      </c>
      <c r="M2327" t="s">
        <v>423</v>
      </c>
      <c r="N2327">
        <v>0</v>
      </c>
    </row>
    <row r="2328" spans="1:14" ht="15" customHeight="1" x14ac:dyDescent="0.25">
      <c r="A2328" s="82">
        <v>44603</v>
      </c>
      <c r="B2328" t="s">
        <v>425</v>
      </c>
      <c r="C2328" t="s">
        <v>455</v>
      </c>
      <c r="D2328" t="s">
        <v>430</v>
      </c>
      <c r="E2328" t="s">
        <v>428</v>
      </c>
      <c r="F2328" t="s">
        <v>424</v>
      </c>
      <c r="G2328" t="s">
        <v>522</v>
      </c>
      <c r="H2328" t="s">
        <v>421</v>
      </c>
      <c r="I2328" t="s">
        <v>427</v>
      </c>
      <c r="J2328" t="s">
        <v>425</v>
      </c>
      <c r="L2328" t="s">
        <v>421</v>
      </c>
      <c r="M2328" t="s">
        <v>428</v>
      </c>
      <c r="N2328">
        <v>0</v>
      </c>
    </row>
    <row r="2329" spans="1:14" ht="15" customHeight="1" x14ac:dyDescent="0.25">
      <c r="A2329" s="82">
        <v>44604</v>
      </c>
      <c r="B2329" t="s">
        <v>421</v>
      </c>
      <c r="C2329" t="s">
        <v>429</v>
      </c>
      <c r="D2329" t="s">
        <v>430</v>
      </c>
      <c r="E2329" t="s">
        <v>428</v>
      </c>
      <c r="F2329" t="s">
        <v>424</v>
      </c>
      <c r="G2329" t="s">
        <v>522</v>
      </c>
      <c r="H2329" t="s">
        <v>427</v>
      </c>
      <c r="I2329" t="s">
        <v>455</v>
      </c>
      <c r="J2329" t="s">
        <v>425</v>
      </c>
      <c r="L2329" t="s">
        <v>421</v>
      </c>
      <c r="M2329" t="s">
        <v>428</v>
      </c>
      <c r="N2329">
        <v>0</v>
      </c>
    </row>
    <row r="2330" spans="1:14" ht="15" customHeight="1" x14ac:dyDescent="0.25">
      <c r="A2330" s="82">
        <v>44605</v>
      </c>
      <c r="B2330" t="s">
        <v>421</v>
      </c>
      <c r="C2330" t="s">
        <v>429</v>
      </c>
      <c r="D2330" t="s">
        <v>430</v>
      </c>
      <c r="E2330" t="s">
        <v>428</v>
      </c>
      <c r="F2330" t="s">
        <v>424</v>
      </c>
      <c r="G2330" t="s">
        <v>522</v>
      </c>
      <c r="H2330" t="s">
        <v>455</v>
      </c>
      <c r="I2330" t="s">
        <v>427</v>
      </c>
      <c r="J2330" t="s">
        <v>425</v>
      </c>
      <c r="L2330" t="s">
        <v>421</v>
      </c>
      <c r="M2330" t="s">
        <v>428</v>
      </c>
      <c r="N2330">
        <v>0</v>
      </c>
    </row>
    <row r="2331" spans="1:14" ht="15" customHeight="1" x14ac:dyDescent="0.25">
      <c r="A2331" s="82">
        <v>44606</v>
      </c>
      <c r="B2331" t="s">
        <v>427</v>
      </c>
      <c r="C2331" t="s">
        <v>429</v>
      </c>
      <c r="D2331" t="s">
        <v>430</v>
      </c>
      <c r="E2331" t="s">
        <v>428</v>
      </c>
      <c r="F2331" t="s">
        <v>424</v>
      </c>
      <c r="G2331" t="s">
        <v>522</v>
      </c>
      <c r="H2331" t="s">
        <v>421</v>
      </c>
      <c r="I2331" t="s">
        <v>455</v>
      </c>
      <c r="J2331" t="s">
        <v>425</v>
      </c>
      <c r="L2331" t="s">
        <v>421</v>
      </c>
      <c r="M2331" t="s">
        <v>428</v>
      </c>
      <c r="N2331">
        <v>0</v>
      </c>
    </row>
    <row r="2332" spans="1:14" ht="15" customHeight="1" x14ac:dyDescent="0.25">
      <c r="A2332" s="82">
        <v>44607</v>
      </c>
      <c r="B2332" t="s">
        <v>455</v>
      </c>
      <c r="C2332" t="s">
        <v>429</v>
      </c>
      <c r="D2332" t="s">
        <v>430</v>
      </c>
      <c r="E2332" t="s">
        <v>428</v>
      </c>
      <c r="F2332" t="s">
        <v>424</v>
      </c>
      <c r="G2332" t="s">
        <v>522</v>
      </c>
      <c r="H2332" t="s">
        <v>427</v>
      </c>
      <c r="I2332" t="s">
        <v>421</v>
      </c>
      <c r="J2332" t="s">
        <v>425</v>
      </c>
      <c r="L2332" t="s">
        <v>423</v>
      </c>
      <c r="M2332" t="s">
        <v>421</v>
      </c>
      <c r="N2332">
        <v>0</v>
      </c>
    </row>
    <row r="2333" spans="1:14" ht="15" customHeight="1" x14ac:dyDescent="0.25">
      <c r="A2333" s="82">
        <v>44608</v>
      </c>
      <c r="B2333" t="s">
        <v>427</v>
      </c>
      <c r="C2333" t="s">
        <v>429</v>
      </c>
      <c r="D2333" t="s">
        <v>430</v>
      </c>
      <c r="E2333" t="s">
        <v>428</v>
      </c>
      <c r="F2333" t="s">
        <v>424</v>
      </c>
      <c r="G2333" t="s">
        <v>522</v>
      </c>
      <c r="H2333" t="s">
        <v>455</v>
      </c>
      <c r="I2333" t="s">
        <v>421</v>
      </c>
      <c r="J2333" t="s">
        <v>425</v>
      </c>
      <c r="L2333" t="s">
        <v>423</v>
      </c>
      <c r="M2333" t="s">
        <v>421</v>
      </c>
      <c r="N2333">
        <v>0</v>
      </c>
    </row>
    <row r="2334" spans="1:14" ht="15" customHeight="1" x14ac:dyDescent="0.25">
      <c r="A2334" s="82">
        <v>44609</v>
      </c>
      <c r="B2334" t="s">
        <v>455</v>
      </c>
      <c r="C2334" t="s">
        <v>429</v>
      </c>
      <c r="D2334" t="s">
        <v>430</v>
      </c>
      <c r="E2334" t="s">
        <v>428</v>
      </c>
      <c r="F2334" t="s">
        <v>424</v>
      </c>
      <c r="G2334" t="s">
        <v>522</v>
      </c>
      <c r="H2334" t="s">
        <v>421</v>
      </c>
      <c r="I2334" t="s">
        <v>427</v>
      </c>
      <c r="J2334" t="s">
        <v>425</v>
      </c>
      <c r="L2334" t="s">
        <v>423</v>
      </c>
      <c r="M2334" t="s">
        <v>421</v>
      </c>
      <c r="N2334">
        <v>0</v>
      </c>
    </row>
    <row r="2335" spans="1:14" ht="15" customHeight="1" x14ac:dyDescent="0.25">
      <c r="A2335" s="82">
        <v>44610</v>
      </c>
      <c r="B2335" t="s">
        <v>424</v>
      </c>
      <c r="C2335" t="s">
        <v>421</v>
      </c>
      <c r="D2335" t="s">
        <v>428</v>
      </c>
      <c r="E2335" t="s">
        <v>425</v>
      </c>
      <c r="F2335" t="s">
        <v>427</v>
      </c>
      <c r="G2335" t="s">
        <v>522</v>
      </c>
      <c r="H2335" t="s">
        <v>430</v>
      </c>
      <c r="I2335" t="s">
        <v>455</v>
      </c>
      <c r="J2335" t="s">
        <v>425</v>
      </c>
      <c r="L2335" t="s">
        <v>423</v>
      </c>
      <c r="M2335" t="s">
        <v>421</v>
      </c>
      <c r="N2335">
        <v>0</v>
      </c>
    </row>
    <row r="2336" spans="1:14" ht="15" customHeight="1" x14ac:dyDescent="0.25">
      <c r="A2336" s="82">
        <v>44611</v>
      </c>
      <c r="B2336" t="s">
        <v>424</v>
      </c>
      <c r="C2336" t="s">
        <v>427</v>
      </c>
      <c r="D2336" t="s">
        <v>428</v>
      </c>
      <c r="E2336" t="s">
        <v>425</v>
      </c>
      <c r="F2336" t="s">
        <v>455</v>
      </c>
      <c r="G2336" t="s">
        <v>522</v>
      </c>
      <c r="H2336" t="s">
        <v>430</v>
      </c>
      <c r="I2336" t="s">
        <v>429</v>
      </c>
      <c r="J2336" t="s">
        <v>421</v>
      </c>
      <c r="L2336" t="s">
        <v>423</v>
      </c>
      <c r="M2336" t="s">
        <v>421</v>
      </c>
      <c r="N2336">
        <v>0</v>
      </c>
    </row>
    <row r="2337" spans="1:14" ht="15" customHeight="1" x14ac:dyDescent="0.25">
      <c r="A2337" s="82">
        <v>44612</v>
      </c>
      <c r="B2337" t="s">
        <v>424</v>
      </c>
      <c r="C2337" t="s">
        <v>455</v>
      </c>
      <c r="D2337" t="s">
        <v>428</v>
      </c>
      <c r="E2337" t="s">
        <v>425</v>
      </c>
      <c r="F2337" t="s">
        <v>427</v>
      </c>
      <c r="G2337" t="s">
        <v>522</v>
      </c>
      <c r="H2337" t="s">
        <v>430</v>
      </c>
      <c r="I2337" t="s">
        <v>429</v>
      </c>
      <c r="J2337" t="s">
        <v>421</v>
      </c>
      <c r="L2337" t="s">
        <v>423</v>
      </c>
      <c r="M2337" t="s">
        <v>421</v>
      </c>
      <c r="N2337">
        <v>0</v>
      </c>
    </row>
    <row r="2338" spans="1:14" ht="15" customHeight="1" x14ac:dyDescent="0.25">
      <c r="A2338" s="82">
        <v>44613</v>
      </c>
      <c r="B2338" t="s">
        <v>424</v>
      </c>
      <c r="C2338" t="s">
        <v>421</v>
      </c>
      <c r="D2338" t="s">
        <v>428</v>
      </c>
      <c r="E2338" t="s">
        <v>425</v>
      </c>
      <c r="F2338" t="s">
        <v>455</v>
      </c>
      <c r="G2338" t="s">
        <v>522</v>
      </c>
      <c r="H2338" t="s">
        <v>430</v>
      </c>
      <c r="I2338" t="s">
        <v>429</v>
      </c>
      <c r="J2338" t="s">
        <v>427</v>
      </c>
      <c r="L2338" t="s">
        <v>421</v>
      </c>
      <c r="M2338" t="s">
        <v>423</v>
      </c>
      <c r="N2338">
        <v>0</v>
      </c>
    </row>
    <row r="2339" spans="1:14" ht="15" customHeight="1" x14ac:dyDescent="0.25">
      <c r="A2339" s="82">
        <v>44614</v>
      </c>
      <c r="B2339" t="s">
        <v>424</v>
      </c>
      <c r="C2339" t="s">
        <v>427</v>
      </c>
      <c r="D2339" t="s">
        <v>428</v>
      </c>
      <c r="E2339" t="s">
        <v>425</v>
      </c>
      <c r="F2339" t="s">
        <v>421</v>
      </c>
      <c r="G2339" t="s">
        <v>522</v>
      </c>
      <c r="H2339" t="s">
        <v>430</v>
      </c>
      <c r="I2339" t="s">
        <v>429</v>
      </c>
      <c r="J2339" t="s">
        <v>455</v>
      </c>
      <c r="L2339" t="s">
        <v>421</v>
      </c>
      <c r="M2339" t="s">
        <v>423</v>
      </c>
      <c r="N2339">
        <v>0</v>
      </c>
    </row>
    <row r="2340" spans="1:14" ht="15" customHeight="1" x14ac:dyDescent="0.25">
      <c r="A2340" s="82">
        <v>44615</v>
      </c>
      <c r="B2340" t="s">
        <v>424</v>
      </c>
      <c r="C2340" t="s">
        <v>455</v>
      </c>
      <c r="D2340" t="s">
        <v>428</v>
      </c>
      <c r="E2340" t="s">
        <v>425</v>
      </c>
      <c r="F2340" t="s">
        <v>421</v>
      </c>
      <c r="G2340" t="s">
        <v>522</v>
      </c>
      <c r="H2340" t="s">
        <v>430</v>
      </c>
      <c r="I2340" t="s">
        <v>429</v>
      </c>
      <c r="J2340" t="s">
        <v>427</v>
      </c>
      <c r="L2340" t="s">
        <v>421</v>
      </c>
      <c r="M2340" t="s">
        <v>423</v>
      </c>
      <c r="N2340">
        <v>0</v>
      </c>
    </row>
    <row r="2341" spans="1:14" ht="15" customHeight="1" x14ac:dyDescent="0.25">
      <c r="A2341" s="82">
        <v>44616</v>
      </c>
      <c r="B2341" t="s">
        <v>424</v>
      </c>
      <c r="C2341" t="s">
        <v>421</v>
      </c>
      <c r="D2341" t="s">
        <v>428</v>
      </c>
      <c r="E2341" t="s">
        <v>425</v>
      </c>
      <c r="F2341" t="s">
        <v>427</v>
      </c>
      <c r="G2341" t="s">
        <v>522</v>
      </c>
      <c r="H2341" t="s">
        <v>430</v>
      </c>
      <c r="I2341" t="s">
        <v>429</v>
      </c>
      <c r="J2341" t="s">
        <v>455</v>
      </c>
      <c r="L2341" t="s">
        <v>421</v>
      </c>
      <c r="M2341" t="s">
        <v>423</v>
      </c>
      <c r="N2341">
        <v>0</v>
      </c>
    </row>
    <row r="2342" spans="1:14" ht="15" customHeight="1" x14ac:dyDescent="0.25">
      <c r="A2342" s="82">
        <v>44617</v>
      </c>
      <c r="B2342" t="s">
        <v>427</v>
      </c>
      <c r="C2342" t="s">
        <v>430</v>
      </c>
      <c r="D2342" t="s">
        <v>425</v>
      </c>
      <c r="E2342" t="s">
        <v>425</v>
      </c>
      <c r="F2342" t="s">
        <v>455</v>
      </c>
      <c r="G2342" t="s">
        <v>522</v>
      </c>
      <c r="H2342" t="s">
        <v>428</v>
      </c>
      <c r="I2342" t="s">
        <v>421</v>
      </c>
      <c r="J2342" t="s">
        <v>424</v>
      </c>
      <c r="L2342" t="s">
        <v>423</v>
      </c>
      <c r="M2342" t="s">
        <v>421</v>
      </c>
      <c r="N2342">
        <v>0</v>
      </c>
    </row>
    <row r="2343" spans="1:14" ht="15" customHeight="1" x14ac:dyDescent="0.25">
      <c r="A2343" s="82">
        <v>44618</v>
      </c>
      <c r="B2343" t="s">
        <v>455</v>
      </c>
      <c r="C2343" t="s">
        <v>430</v>
      </c>
      <c r="D2343" t="s">
        <v>425</v>
      </c>
      <c r="E2343" t="s">
        <v>421</v>
      </c>
      <c r="F2343" t="s">
        <v>429</v>
      </c>
      <c r="G2343" t="s">
        <v>522</v>
      </c>
      <c r="H2343" t="s">
        <v>428</v>
      </c>
      <c r="I2343" t="s">
        <v>427</v>
      </c>
      <c r="J2343" t="s">
        <v>424</v>
      </c>
      <c r="L2343" t="s">
        <v>423</v>
      </c>
      <c r="M2343" t="s">
        <v>421</v>
      </c>
      <c r="N2343">
        <v>0</v>
      </c>
    </row>
    <row r="2344" spans="1:14" ht="15" customHeight="1" x14ac:dyDescent="0.25">
      <c r="A2344" s="82">
        <v>44619</v>
      </c>
      <c r="B2344" t="s">
        <v>427</v>
      </c>
      <c r="C2344" t="s">
        <v>430</v>
      </c>
      <c r="D2344" t="s">
        <v>425</v>
      </c>
      <c r="E2344" t="s">
        <v>421</v>
      </c>
      <c r="F2344" t="s">
        <v>429</v>
      </c>
      <c r="G2344" t="s">
        <v>522</v>
      </c>
      <c r="H2344" t="s">
        <v>428</v>
      </c>
      <c r="I2344" t="s">
        <v>455</v>
      </c>
      <c r="J2344" t="s">
        <v>424</v>
      </c>
      <c r="L2344" t="s">
        <v>423</v>
      </c>
      <c r="M2344" t="s">
        <v>421</v>
      </c>
      <c r="N2344">
        <v>0</v>
      </c>
    </row>
    <row r="2345" spans="1:14" ht="15" customHeight="1" x14ac:dyDescent="0.25">
      <c r="A2345" s="82">
        <v>44620</v>
      </c>
      <c r="B2345" t="s">
        <v>455</v>
      </c>
      <c r="C2345" t="s">
        <v>430</v>
      </c>
      <c r="D2345" t="s">
        <v>425</v>
      </c>
      <c r="E2345" t="s">
        <v>427</v>
      </c>
      <c r="F2345" t="s">
        <v>429</v>
      </c>
      <c r="G2345" t="s">
        <v>522</v>
      </c>
      <c r="H2345" t="s">
        <v>428</v>
      </c>
      <c r="I2345" t="s">
        <v>421</v>
      </c>
      <c r="J2345" t="s">
        <v>424</v>
      </c>
      <c r="L2345" t="s">
        <v>423</v>
      </c>
      <c r="M2345" t="s">
        <v>421</v>
      </c>
      <c r="N2345">
        <v>0</v>
      </c>
    </row>
    <row r="2346" spans="1:14" ht="15" customHeight="1" x14ac:dyDescent="0.25">
      <c r="A2346" s="82">
        <v>44621</v>
      </c>
      <c r="B2346" t="s">
        <v>421</v>
      </c>
      <c r="C2346" t="s">
        <v>430</v>
      </c>
      <c r="D2346" t="s">
        <v>425</v>
      </c>
      <c r="E2346" t="s">
        <v>455</v>
      </c>
      <c r="F2346" t="s">
        <v>429</v>
      </c>
      <c r="G2346" t="s">
        <v>522</v>
      </c>
      <c r="H2346" t="s">
        <v>428</v>
      </c>
      <c r="I2346" t="s">
        <v>427</v>
      </c>
      <c r="J2346" t="s">
        <v>424</v>
      </c>
      <c r="L2346" t="s">
        <v>423</v>
      </c>
      <c r="M2346" t="s">
        <v>421</v>
      </c>
      <c r="N2346">
        <v>0</v>
      </c>
    </row>
    <row r="2347" spans="1:14" ht="15" customHeight="1" x14ac:dyDescent="0.25">
      <c r="A2347" s="82">
        <v>44622</v>
      </c>
      <c r="B2347" t="s">
        <v>421</v>
      </c>
      <c r="C2347" t="s">
        <v>430</v>
      </c>
      <c r="D2347" t="s">
        <v>425</v>
      </c>
      <c r="E2347" t="s">
        <v>427</v>
      </c>
      <c r="F2347" t="s">
        <v>429</v>
      </c>
      <c r="G2347" t="s">
        <v>522</v>
      </c>
      <c r="H2347" t="s">
        <v>428</v>
      </c>
      <c r="I2347" t="s">
        <v>455</v>
      </c>
      <c r="J2347" t="s">
        <v>424</v>
      </c>
      <c r="L2347" t="s">
        <v>423</v>
      </c>
      <c r="M2347" t="s">
        <v>421</v>
      </c>
      <c r="N2347">
        <v>0</v>
      </c>
    </row>
    <row r="2348" spans="1:14" ht="15" customHeight="1" x14ac:dyDescent="0.25">
      <c r="A2348" s="82">
        <v>44623</v>
      </c>
      <c r="B2348" t="s">
        <v>427</v>
      </c>
      <c r="C2348" t="s">
        <v>430</v>
      </c>
      <c r="D2348" t="s">
        <v>425</v>
      </c>
      <c r="E2348" t="s">
        <v>455</v>
      </c>
      <c r="F2348" t="s">
        <v>429</v>
      </c>
      <c r="G2348" t="s">
        <v>522</v>
      </c>
      <c r="H2348" t="s">
        <v>428</v>
      </c>
      <c r="I2348" t="s">
        <v>421</v>
      </c>
      <c r="J2348" t="s">
        <v>424</v>
      </c>
      <c r="L2348" t="s">
        <v>421</v>
      </c>
      <c r="M2348" t="s">
        <v>423</v>
      </c>
      <c r="N2348">
        <v>0</v>
      </c>
    </row>
    <row r="2349" spans="1:14" ht="15" customHeight="1" x14ac:dyDescent="0.25">
      <c r="A2349" s="82">
        <v>44624</v>
      </c>
      <c r="B2349" t="s">
        <v>455</v>
      </c>
      <c r="C2349" t="s">
        <v>428</v>
      </c>
      <c r="D2349" t="s">
        <v>425</v>
      </c>
      <c r="E2349" t="s">
        <v>424</v>
      </c>
      <c r="F2349" t="s">
        <v>421</v>
      </c>
      <c r="G2349" t="s">
        <v>522</v>
      </c>
      <c r="H2349" t="s">
        <v>425</v>
      </c>
      <c r="I2349" t="s">
        <v>430</v>
      </c>
      <c r="J2349" t="s">
        <v>427</v>
      </c>
      <c r="L2349" t="s">
        <v>421</v>
      </c>
      <c r="M2349" t="s">
        <v>423</v>
      </c>
      <c r="N2349">
        <v>0</v>
      </c>
    </row>
    <row r="2350" spans="1:14" ht="15" customHeight="1" x14ac:dyDescent="0.25">
      <c r="A2350" s="82">
        <v>44625</v>
      </c>
      <c r="B2350" t="s">
        <v>429</v>
      </c>
      <c r="C2350" t="s">
        <v>428</v>
      </c>
      <c r="D2350" t="s">
        <v>421</v>
      </c>
      <c r="E2350" t="s">
        <v>424</v>
      </c>
      <c r="F2350" t="s">
        <v>427</v>
      </c>
      <c r="G2350" t="s">
        <v>522</v>
      </c>
      <c r="H2350" t="s">
        <v>425</v>
      </c>
      <c r="I2350" t="s">
        <v>430</v>
      </c>
      <c r="J2350" t="s">
        <v>455</v>
      </c>
      <c r="L2350" t="s">
        <v>421</v>
      </c>
      <c r="M2350" t="s">
        <v>423</v>
      </c>
      <c r="N2350">
        <v>0</v>
      </c>
    </row>
    <row r="2351" spans="1:14" ht="15" customHeight="1" x14ac:dyDescent="0.25">
      <c r="A2351" s="82">
        <v>44626</v>
      </c>
      <c r="B2351" t="s">
        <v>429</v>
      </c>
      <c r="C2351" t="s">
        <v>428</v>
      </c>
      <c r="D2351" t="s">
        <v>421</v>
      </c>
      <c r="E2351" t="s">
        <v>424</v>
      </c>
      <c r="F2351" t="s">
        <v>455</v>
      </c>
      <c r="G2351" t="s">
        <v>522</v>
      </c>
      <c r="H2351" t="s">
        <v>425</v>
      </c>
      <c r="I2351" t="s">
        <v>430</v>
      </c>
      <c r="J2351" t="s">
        <v>427</v>
      </c>
      <c r="L2351" t="s">
        <v>421</v>
      </c>
      <c r="M2351" t="s">
        <v>423</v>
      </c>
      <c r="N2351">
        <v>0</v>
      </c>
    </row>
    <row r="2352" spans="1:14" ht="15" customHeight="1" x14ac:dyDescent="0.25">
      <c r="A2352" s="82">
        <v>44627</v>
      </c>
      <c r="B2352" t="s">
        <v>429</v>
      </c>
      <c r="C2352" t="s">
        <v>428</v>
      </c>
      <c r="D2352" t="s">
        <v>427</v>
      </c>
      <c r="E2352" t="s">
        <v>424</v>
      </c>
      <c r="F2352" t="s">
        <v>421</v>
      </c>
      <c r="G2352" t="s">
        <v>522</v>
      </c>
      <c r="H2352" t="s">
        <v>425</v>
      </c>
      <c r="I2352" t="s">
        <v>430</v>
      </c>
      <c r="J2352" t="s">
        <v>455</v>
      </c>
      <c r="L2352" t="s">
        <v>421</v>
      </c>
      <c r="M2352" t="s">
        <v>423</v>
      </c>
      <c r="N2352">
        <v>0</v>
      </c>
    </row>
    <row r="2353" spans="1:14" ht="15" customHeight="1" x14ac:dyDescent="0.25">
      <c r="A2353" s="82">
        <v>44628</v>
      </c>
      <c r="B2353" t="s">
        <v>429</v>
      </c>
      <c r="C2353" t="s">
        <v>428</v>
      </c>
      <c r="D2353" t="s">
        <v>455</v>
      </c>
      <c r="E2353" t="s">
        <v>424</v>
      </c>
      <c r="F2353" t="s">
        <v>427</v>
      </c>
      <c r="G2353" t="s">
        <v>522</v>
      </c>
      <c r="H2353" t="s">
        <v>425</v>
      </c>
      <c r="I2353" t="s">
        <v>430</v>
      </c>
      <c r="J2353" t="s">
        <v>421</v>
      </c>
      <c r="L2353" t="s">
        <v>421</v>
      </c>
      <c r="M2353" t="s">
        <v>423</v>
      </c>
      <c r="N2353">
        <v>0</v>
      </c>
    </row>
    <row r="2354" spans="1:14" ht="15" customHeight="1" x14ac:dyDescent="0.25">
      <c r="A2354" s="82">
        <v>44629</v>
      </c>
      <c r="B2354" t="s">
        <v>429</v>
      </c>
      <c r="C2354" t="s">
        <v>428</v>
      </c>
      <c r="D2354" t="s">
        <v>427</v>
      </c>
      <c r="E2354" t="s">
        <v>424</v>
      </c>
      <c r="F2354" t="s">
        <v>455</v>
      </c>
      <c r="G2354" t="s">
        <v>522</v>
      </c>
      <c r="H2354" t="s">
        <v>425</v>
      </c>
      <c r="I2354" t="s">
        <v>430</v>
      </c>
      <c r="J2354" t="s">
        <v>421</v>
      </c>
      <c r="L2354" t="s">
        <v>423</v>
      </c>
      <c r="M2354" t="s">
        <v>421</v>
      </c>
      <c r="N2354">
        <v>0</v>
      </c>
    </row>
    <row r="2355" spans="1:14" ht="15" customHeight="1" x14ac:dyDescent="0.25">
      <c r="A2355" s="82">
        <v>44630</v>
      </c>
      <c r="B2355" t="s">
        <v>429</v>
      </c>
      <c r="C2355" t="s">
        <v>428</v>
      </c>
      <c r="D2355" t="s">
        <v>455</v>
      </c>
      <c r="E2355" t="s">
        <v>424</v>
      </c>
      <c r="F2355" t="s">
        <v>421</v>
      </c>
      <c r="G2355" t="s">
        <v>522</v>
      </c>
      <c r="H2355" t="s">
        <v>425</v>
      </c>
      <c r="I2355" t="s">
        <v>430</v>
      </c>
      <c r="J2355" t="s">
        <v>427</v>
      </c>
      <c r="L2355" t="s">
        <v>423</v>
      </c>
      <c r="M2355" t="s">
        <v>421</v>
      </c>
      <c r="N2355">
        <v>0</v>
      </c>
    </row>
    <row r="2356" spans="1:14" ht="15" customHeight="1" x14ac:dyDescent="0.25">
      <c r="A2356" s="82">
        <v>44631</v>
      </c>
      <c r="B2356" t="s">
        <v>421</v>
      </c>
      <c r="C2356" t="s">
        <v>425</v>
      </c>
      <c r="D2356" t="s">
        <v>424</v>
      </c>
      <c r="E2356" t="s">
        <v>427</v>
      </c>
      <c r="F2356" t="s">
        <v>430</v>
      </c>
      <c r="G2356" t="s">
        <v>522</v>
      </c>
      <c r="H2356" t="s">
        <v>425</v>
      </c>
      <c r="I2356" t="s">
        <v>428</v>
      </c>
      <c r="J2356" t="s">
        <v>455</v>
      </c>
      <c r="L2356" t="s">
        <v>428</v>
      </c>
      <c r="M2356" t="s">
        <v>421</v>
      </c>
      <c r="N2356">
        <v>0</v>
      </c>
    </row>
    <row r="2357" spans="1:14" ht="15" customHeight="1" x14ac:dyDescent="0.25">
      <c r="A2357" s="82">
        <v>44632</v>
      </c>
      <c r="B2357" t="s">
        <v>427</v>
      </c>
      <c r="C2357" t="s">
        <v>425</v>
      </c>
      <c r="D2357" t="s">
        <v>424</v>
      </c>
      <c r="E2357" t="s">
        <v>455</v>
      </c>
      <c r="F2357" t="s">
        <v>430</v>
      </c>
      <c r="G2357" t="s">
        <v>522</v>
      </c>
      <c r="H2357" t="s">
        <v>421</v>
      </c>
      <c r="I2357" t="s">
        <v>428</v>
      </c>
      <c r="J2357" t="s">
        <v>429</v>
      </c>
      <c r="L2357" t="s">
        <v>428</v>
      </c>
      <c r="M2357" t="s">
        <v>421</v>
      </c>
      <c r="N2357">
        <v>0</v>
      </c>
    </row>
    <row r="2358" spans="1:14" ht="15" customHeight="1" x14ac:dyDescent="0.25">
      <c r="A2358" s="82">
        <v>44633</v>
      </c>
      <c r="B2358" t="s">
        <v>455</v>
      </c>
      <c r="C2358" t="s">
        <v>425</v>
      </c>
      <c r="D2358" t="s">
        <v>424</v>
      </c>
      <c r="E2358" t="s">
        <v>427</v>
      </c>
      <c r="F2358" t="s">
        <v>430</v>
      </c>
      <c r="G2358" t="s">
        <v>522</v>
      </c>
      <c r="H2358" t="s">
        <v>421</v>
      </c>
      <c r="I2358" t="s">
        <v>428</v>
      </c>
      <c r="J2358" t="s">
        <v>429</v>
      </c>
      <c r="L2358" t="s">
        <v>428</v>
      </c>
      <c r="M2358" t="s">
        <v>421</v>
      </c>
      <c r="N2358">
        <v>0</v>
      </c>
    </row>
    <row r="2359" spans="1:14" ht="15" customHeight="1" x14ac:dyDescent="0.25">
      <c r="A2359" s="82">
        <v>44634</v>
      </c>
      <c r="B2359" t="s">
        <v>421</v>
      </c>
      <c r="C2359" t="s">
        <v>425</v>
      </c>
      <c r="D2359" t="s">
        <v>424</v>
      </c>
      <c r="E2359" t="s">
        <v>455</v>
      </c>
      <c r="F2359" t="s">
        <v>430</v>
      </c>
      <c r="G2359" t="s">
        <v>522</v>
      </c>
      <c r="H2359" t="s">
        <v>427</v>
      </c>
      <c r="I2359" t="s">
        <v>428</v>
      </c>
      <c r="J2359" t="s">
        <v>429</v>
      </c>
      <c r="L2359" t="s">
        <v>428</v>
      </c>
      <c r="M2359" t="s">
        <v>421</v>
      </c>
      <c r="N2359">
        <v>0</v>
      </c>
    </row>
    <row r="2360" spans="1:14" ht="15" customHeight="1" x14ac:dyDescent="0.25">
      <c r="A2360" s="82">
        <v>44635</v>
      </c>
      <c r="B2360" t="s">
        <v>427</v>
      </c>
      <c r="C2360" t="s">
        <v>425</v>
      </c>
      <c r="D2360" t="s">
        <v>424</v>
      </c>
      <c r="E2360" t="s">
        <v>421</v>
      </c>
      <c r="F2360" t="s">
        <v>430</v>
      </c>
      <c r="G2360" t="s">
        <v>522</v>
      </c>
      <c r="H2360" t="s">
        <v>455</v>
      </c>
      <c r="I2360" t="s">
        <v>428</v>
      </c>
      <c r="J2360" t="s">
        <v>429</v>
      </c>
      <c r="L2360" t="s">
        <v>421</v>
      </c>
      <c r="M2360" t="s">
        <v>423</v>
      </c>
      <c r="N2360">
        <v>0</v>
      </c>
    </row>
    <row r="2361" spans="1:14" ht="15" customHeight="1" x14ac:dyDescent="0.25">
      <c r="A2361" s="82">
        <v>44636</v>
      </c>
      <c r="B2361" t="s">
        <v>455</v>
      </c>
      <c r="C2361" t="s">
        <v>425</v>
      </c>
      <c r="D2361" t="s">
        <v>424</v>
      </c>
      <c r="E2361" t="s">
        <v>421</v>
      </c>
      <c r="F2361" t="s">
        <v>430</v>
      </c>
      <c r="G2361" t="s">
        <v>522</v>
      </c>
      <c r="H2361" t="s">
        <v>427</v>
      </c>
      <c r="I2361" t="s">
        <v>428</v>
      </c>
      <c r="J2361" t="s">
        <v>429</v>
      </c>
      <c r="L2361" t="s">
        <v>421</v>
      </c>
      <c r="M2361" t="s">
        <v>423</v>
      </c>
      <c r="N2361">
        <v>0</v>
      </c>
    </row>
    <row r="2362" spans="1:14" ht="15" customHeight="1" x14ac:dyDescent="0.25">
      <c r="A2362" s="82">
        <v>44637</v>
      </c>
      <c r="B2362" t="s">
        <v>421</v>
      </c>
      <c r="C2362" t="s">
        <v>425</v>
      </c>
      <c r="D2362" t="s">
        <v>424</v>
      </c>
      <c r="E2362" t="s">
        <v>427</v>
      </c>
      <c r="F2362" t="s">
        <v>430</v>
      </c>
      <c r="G2362" t="s">
        <v>522</v>
      </c>
      <c r="H2362" t="s">
        <v>455</v>
      </c>
      <c r="I2362" t="s">
        <v>428</v>
      </c>
      <c r="J2362" t="s">
        <v>429</v>
      </c>
      <c r="L2362" t="s">
        <v>421</v>
      </c>
      <c r="M2362" t="s">
        <v>423</v>
      </c>
      <c r="N2362">
        <v>0</v>
      </c>
    </row>
    <row r="2363" spans="1:14" ht="15" customHeight="1" x14ac:dyDescent="0.25">
      <c r="A2363" s="82">
        <v>44638</v>
      </c>
      <c r="B2363" t="s">
        <v>430</v>
      </c>
      <c r="C2363" t="s">
        <v>425</v>
      </c>
      <c r="D2363" t="s">
        <v>427</v>
      </c>
      <c r="E2363" t="s">
        <v>455</v>
      </c>
      <c r="F2363" t="s">
        <v>428</v>
      </c>
      <c r="G2363" t="s">
        <v>522</v>
      </c>
      <c r="H2363" t="s">
        <v>424</v>
      </c>
      <c r="I2363" t="s">
        <v>425</v>
      </c>
      <c r="J2363" t="s">
        <v>421</v>
      </c>
      <c r="L2363" t="s">
        <v>421</v>
      </c>
      <c r="M2363" t="s">
        <v>423</v>
      </c>
      <c r="N2363">
        <v>0</v>
      </c>
    </row>
    <row r="2364" spans="1:14" ht="15" customHeight="1" x14ac:dyDescent="0.25">
      <c r="A2364" s="82">
        <v>44639</v>
      </c>
      <c r="B2364" t="s">
        <v>430</v>
      </c>
      <c r="C2364" t="s">
        <v>421</v>
      </c>
      <c r="D2364" t="s">
        <v>455</v>
      </c>
      <c r="E2364" t="s">
        <v>429</v>
      </c>
      <c r="F2364" t="s">
        <v>428</v>
      </c>
      <c r="G2364" t="s">
        <v>522</v>
      </c>
      <c r="H2364" t="s">
        <v>424</v>
      </c>
      <c r="I2364" t="s">
        <v>425</v>
      </c>
      <c r="J2364" t="s">
        <v>427</v>
      </c>
      <c r="L2364" t="s">
        <v>421</v>
      </c>
      <c r="M2364" t="s">
        <v>423</v>
      </c>
      <c r="N2364">
        <v>0</v>
      </c>
    </row>
    <row r="2365" spans="1:14" ht="15" customHeight="1" x14ac:dyDescent="0.25">
      <c r="A2365" s="82">
        <v>44640</v>
      </c>
      <c r="B2365" t="s">
        <v>430</v>
      </c>
      <c r="C2365" t="s">
        <v>421</v>
      </c>
      <c r="D2365" t="s">
        <v>427</v>
      </c>
      <c r="E2365" t="s">
        <v>429</v>
      </c>
      <c r="F2365" t="s">
        <v>428</v>
      </c>
      <c r="G2365" t="s">
        <v>522</v>
      </c>
      <c r="H2365" t="s">
        <v>424</v>
      </c>
      <c r="I2365" t="s">
        <v>425</v>
      </c>
      <c r="J2365" t="s">
        <v>455</v>
      </c>
      <c r="L2365" t="s">
        <v>421</v>
      </c>
      <c r="M2365" t="s">
        <v>423</v>
      </c>
      <c r="N2365">
        <v>0</v>
      </c>
    </row>
    <row r="2366" spans="1:14" ht="15" customHeight="1" x14ac:dyDescent="0.25">
      <c r="A2366" s="82">
        <v>44641</v>
      </c>
      <c r="B2366" t="s">
        <v>430</v>
      </c>
      <c r="C2366" t="s">
        <v>427</v>
      </c>
      <c r="D2366" t="s">
        <v>455</v>
      </c>
      <c r="E2366" t="s">
        <v>429</v>
      </c>
      <c r="F2366" t="s">
        <v>428</v>
      </c>
      <c r="G2366" t="s">
        <v>522</v>
      </c>
      <c r="H2366" t="s">
        <v>424</v>
      </c>
      <c r="I2366" t="s">
        <v>425</v>
      </c>
      <c r="J2366" t="s">
        <v>421</v>
      </c>
      <c r="L2366" t="s">
        <v>423</v>
      </c>
      <c r="M2366" t="s">
        <v>421</v>
      </c>
      <c r="N2366">
        <v>0</v>
      </c>
    </row>
    <row r="2367" spans="1:14" ht="15" customHeight="1" x14ac:dyDescent="0.25">
      <c r="A2367" s="82">
        <v>44642</v>
      </c>
      <c r="B2367" t="s">
        <v>430</v>
      </c>
      <c r="C2367" t="s">
        <v>455</v>
      </c>
      <c r="D2367" t="s">
        <v>421</v>
      </c>
      <c r="E2367" t="s">
        <v>429</v>
      </c>
      <c r="F2367" t="s">
        <v>428</v>
      </c>
      <c r="G2367" t="s">
        <v>522</v>
      </c>
      <c r="H2367" t="s">
        <v>424</v>
      </c>
      <c r="I2367" t="s">
        <v>425</v>
      </c>
      <c r="J2367" t="s">
        <v>427</v>
      </c>
      <c r="L2367" t="s">
        <v>423</v>
      </c>
      <c r="M2367" t="s">
        <v>421</v>
      </c>
      <c r="N2367">
        <v>0</v>
      </c>
    </row>
    <row r="2368" spans="1:14" ht="15" customHeight="1" x14ac:dyDescent="0.25">
      <c r="A2368" s="82">
        <v>44643</v>
      </c>
      <c r="B2368" t="s">
        <v>430</v>
      </c>
      <c r="C2368" t="s">
        <v>427</v>
      </c>
      <c r="D2368" t="s">
        <v>421</v>
      </c>
      <c r="E2368" t="s">
        <v>429</v>
      </c>
      <c r="F2368" t="s">
        <v>428</v>
      </c>
      <c r="G2368" t="s">
        <v>522</v>
      </c>
      <c r="H2368" t="s">
        <v>424</v>
      </c>
      <c r="I2368" t="s">
        <v>425</v>
      </c>
      <c r="J2368" t="s">
        <v>455</v>
      </c>
      <c r="L2368" t="s">
        <v>423</v>
      </c>
      <c r="M2368" t="s">
        <v>421</v>
      </c>
      <c r="N2368">
        <v>0</v>
      </c>
    </row>
    <row r="2369" spans="1:14" ht="15" customHeight="1" x14ac:dyDescent="0.25">
      <c r="A2369" s="82">
        <v>44644</v>
      </c>
      <c r="B2369" t="s">
        <v>430</v>
      </c>
      <c r="C2369" t="s">
        <v>455</v>
      </c>
      <c r="D2369" t="s">
        <v>427</v>
      </c>
      <c r="E2369" t="s">
        <v>429</v>
      </c>
      <c r="F2369" t="s">
        <v>428</v>
      </c>
      <c r="G2369" t="s">
        <v>522</v>
      </c>
      <c r="H2369" t="s">
        <v>424</v>
      </c>
      <c r="I2369" t="s">
        <v>425</v>
      </c>
      <c r="J2369" t="s">
        <v>421</v>
      </c>
      <c r="L2369" t="s">
        <v>423</v>
      </c>
      <c r="M2369" t="s">
        <v>421</v>
      </c>
      <c r="N2369">
        <v>0</v>
      </c>
    </row>
    <row r="2370" spans="1:14" ht="15" customHeight="1" x14ac:dyDescent="0.25">
      <c r="A2370" s="82">
        <v>44645</v>
      </c>
      <c r="B2370" t="s">
        <v>428</v>
      </c>
      <c r="C2370" t="s">
        <v>424</v>
      </c>
      <c r="D2370" t="s">
        <v>455</v>
      </c>
      <c r="E2370" t="s">
        <v>421</v>
      </c>
      <c r="F2370" t="s">
        <v>425</v>
      </c>
      <c r="G2370" t="s">
        <v>522</v>
      </c>
      <c r="H2370" t="s">
        <v>427</v>
      </c>
      <c r="I2370" t="s">
        <v>425</v>
      </c>
      <c r="J2370" t="s">
        <v>430</v>
      </c>
      <c r="L2370" t="s">
        <v>421</v>
      </c>
      <c r="M2370" t="s">
        <v>423</v>
      </c>
      <c r="N2370">
        <v>0</v>
      </c>
    </row>
    <row r="2371" spans="1:14" ht="15" customHeight="1" x14ac:dyDescent="0.25">
      <c r="A2371" s="82">
        <v>44646</v>
      </c>
      <c r="B2371" t="s">
        <v>428</v>
      </c>
      <c r="C2371" t="s">
        <v>424</v>
      </c>
      <c r="D2371" t="s">
        <v>429</v>
      </c>
      <c r="E2371" t="s">
        <v>427</v>
      </c>
      <c r="F2371" t="s">
        <v>425</v>
      </c>
      <c r="G2371" t="s">
        <v>522</v>
      </c>
      <c r="H2371" t="s">
        <v>455</v>
      </c>
      <c r="I2371" t="s">
        <v>421</v>
      </c>
      <c r="J2371" t="s">
        <v>430</v>
      </c>
      <c r="L2371" t="s">
        <v>421</v>
      </c>
      <c r="M2371" t="s">
        <v>423</v>
      </c>
      <c r="N2371">
        <v>0</v>
      </c>
    </row>
    <row r="2372" spans="1:14" ht="15" customHeight="1" x14ac:dyDescent="0.25">
      <c r="A2372" s="82">
        <v>44647</v>
      </c>
      <c r="B2372" t="s">
        <v>428</v>
      </c>
      <c r="C2372" t="s">
        <v>424</v>
      </c>
      <c r="D2372" t="s">
        <v>429</v>
      </c>
      <c r="E2372" t="s">
        <v>455</v>
      </c>
      <c r="F2372" t="s">
        <v>425</v>
      </c>
      <c r="G2372" t="s">
        <v>522</v>
      </c>
      <c r="H2372" t="s">
        <v>427</v>
      </c>
      <c r="I2372" t="s">
        <v>421</v>
      </c>
      <c r="J2372" t="s">
        <v>430</v>
      </c>
      <c r="L2372" t="s">
        <v>421</v>
      </c>
      <c r="M2372" t="s">
        <v>423</v>
      </c>
      <c r="N2372">
        <v>0</v>
      </c>
    </row>
    <row r="2373" spans="1:14" ht="15" customHeight="1" x14ac:dyDescent="0.25">
      <c r="A2373" s="82">
        <v>44648</v>
      </c>
      <c r="B2373" t="s">
        <v>428</v>
      </c>
      <c r="C2373" t="s">
        <v>424</v>
      </c>
      <c r="D2373" t="s">
        <v>429</v>
      </c>
      <c r="E2373" t="s">
        <v>421</v>
      </c>
      <c r="F2373" t="s">
        <v>425</v>
      </c>
      <c r="G2373" t="s">
        <v>522</v>
      </c>
      <c r="H2373" t="s">
        <v>455</v>
      </c>
      <c r="I2373" t="s">
        <v>427</v>
      </c>
      <c r="J2373" t="s">
        <v>430</v>
      </c>
      <c r="L2373" t="s">
        <v>421</v>
      </c>
      <c r="M2373" t="s">
        <v>423</v>
      </c>
      <c r="N2373">
        <v>0</v>
      </c>
    </row>
    <row r="2374" spans="1:14" ht="15" customHeight="1" x14ac:dyDescent="0.25">
      <c r="A2374" s="82">
        <v>44649</v>
      </c>
      <c r="B2374" t="s">
        <v>428</v>
      </c>
      <c r="C2374" t="s">
        <v>424</v>
      </c>
      <c r="D2374" t="s">
        <v>429</v>
      </c>
      <c r="E2374" t="s">
        <v>427</v>
      </c>
      <c r="F2374" t="s">
        <v>425</v>
      </c>
      <c r="G2374" t="s">
        <v>522</v>
      </c>
      <c r="H2374" t="s">
        <v>421</v>
      </c>
      <c r="I2374" t="s">
        <v>455</v>
      </c>
      <c r="J2374" t="s">
        <v>430</v>
      </c>
      <c r="L2374" t="s">
        <v>421</v>
      </c>
      <c r="M2374" t="s">
        <v>423</v>
      </c>
      <c r="N2374">
        <v>0</v>
      </c>
    </row>
    <row r="2375" spans="1:14" ht="15" customHeight="1" x14ac:dyDescent="0.25">
      <c r="A2375" s="82">
        <v>44650</v>
      </c>
      <c r="B2375" t="s">
        <v>428</v>
      </c>
      <c r="C2375" t="s">
        <v>424</v>
      </c>
      <c r="D2375" t="s">
        <v>429</v>
      </c>
      <c r="E2375" t="s">
        <v>455</v>
      </c>
      <c r="F2375" t="s">
        <v>425</v>
      </c>
      <c r="G2375" t="s">
        <v>522</v>
      </c>
      <c r="H2375" t="s">
        <v>421</v>
      </c>
      <c r="I2375" t="s">
        <v>427</v>
      </c>
      <c r="J2375" t="s">
        <v>430</v>
      </c>
      <c r="L2375" t="s">
        <v>421</v>
      </c>
      <c r="M2375" t="s">
        <v>423</v>
      </c>
      <c r="N2375">
        <v>0</v>
      </c>
    </row>
    <row r="2376" spans="1:14" ht="15" customHeight="1" x14ac:dyDescent="0.25">
      <c r="A2376" s="82">
        <v>44651</v>
      </c>
      <c r="B2376" t="s">
        <v>428</v>
      </c>
      <c r="C2376" t="s">
        <v>424</v>
      </c>
      <c r="D2376" t="s">
        <v>429</v>
      </c>
      <c r="E2376" t="s">
        <v>421</v>
      </c>
      <c r="F2376" t="s">
        <v>425</v>
      </c>
      <c r="G2376" t="s">
        <v>522</v>
      </c>
      <c r="H2376" t="s">
        <v>427</v>
      </c>
      <c r="I2376" t="s">
        <v>455</v>
      </c>
      <c r="J2376" t="s">
        <v>430</v>
      </c>
      <c r="L2376" t="s">
        <v>423</v>
      </c>
      <c r="M2376" t="s">
        <v>421</v>
      </c>
      <c r="N2376">
        <v>0</v>
      </c>
    </row>
    <row r="2377" spans="1:14" ht="15" customHeight="1" x14ac:dyDescent="0.25">
      <c r="A2377" s="82">
        <v>44652</v>
      </c>
      <c r="B2377" t="s">
        <v>425</v>
      </c>
      <c r="C2377" t="s">
        <v>427</v>
      </c>
      <c r="D2377" t="s">
        <v>421</v>
      </c>
      <c r="E2377" t="s">
        <v>430</v>
      </c>
      <c r="F2377" t="s">
        <v>425</v>
      </c>
      <c r="G2377" t="s">
        <v>522</v>
      </c>
      <c r="H2377" t="s">
        <v>455</v>
      </c>
      <c r="I2377" t="s">
        <v>424</v>
      </c>
      <c r="J2377" t="s">
        <v>428</v>
      </c>
      <c r="L2377" t="s">
        <v>423</v>
      </c>
      <c r="M2377" t="s">
        <v>421</v>
      </c>
      <c r="N2377">
        <v>0</v>
      </c>
    </row>
    <row r="2378" spans="1:14" ht="15" customHeight="1" x14ac:dyDescent="0.25">
      <c r="A2378" s="82">
        <v>44653</v>
      </c>
      <c r="B2378" t="s">
        <v>425</v>
      </c>
      <c r="C2378" t="s">
        <v>455</v>
      </c>
      <c r="D2378" t="s">
        <v>427</v>
      </c>
      <c r="E2378" t="s">
        <v>430</v>
      </c>
      <c r="F2378" t="s">
        <v>421</v>
      </c>
      <c r="G2378" t="s">
        <v>522</v>
      </c>
      <c r="H2378" t="s">
        <v>429</v>
      </c>
      <c r="I2378" t="s">
        <v>424</v>
      </c>
      <c r="J2378" t="s">
        <v>428</v>
      </c>
      <c r="L2378" t="s">
        <v>423</v>
      </c>
      <c r="M2378" t="s">
        <v>421</v>
      </c>
      <c r="N2378">
        <v>0</v>
      </c>
    </row>
    <row r="2379" spans="1:14" ht="15" customHeight="1" x14ac:dyDescent="0.25">
      <c r="A2379" s="82">
        <v>44654</v>
      </c>
      <c r="B2379" t="s">
        <v>425</v>
      </c>
      <c r="C2379" t="s">
        <v>427</v>
      </c>
      <c r="D2379" t="s">
        <v>455</v>
      </c>
      <c r="E2379" t="s">
        <v>430</v>
      </c>
      <c r="F2379" t="s">
        <v>421</v>
      </c>
      <c r="G2379" t="s">
        <v>522</v>
      </c>
      <c r="H2379" t="s">
        <v>429</v>
      </c>
      <c r="I2379" t="s">
        <v>424</v>
      </c>
      <c r="J2379" t="s">
        <v>428</v>
      </c>
      <c r="L2379" t="s">
        <v>423</v>
      </c>
      <c r="M2379" t="s">
        <v>421</v>
      </c>
      <c r="N2379">
        <v>0</v>
      </c>
    </row>
    <row r="2380" spans="1:14" ht="15" customHeight="1" x14ac:dyDescent="0.25">
      <c r="A2380" s="82">
        <v>44655</v>
      </c>
      <c r="B2380" t="s">
        <v>425</v>
      </c>
      <c r="C2380" t="s">
        <v>455</v>
      </c>
      <c r="D2380" t="s">
        <v>421</v>
      </c>
      <c r="E2380" t="s">
        <v>430</v>
      </c>
      <c r="F2380" t="s">
        <v>427</v>
      </c>
      <c r="G2380" t="s">
        <v>522</v>
      </c>
      <c r="H2380" t="s">
        <v>429</v>
      </c>
      <c r="I2380" t="s">
        <v>424</v>
      </c>
      <c r="J2380" t="s">
        <v>428</v>
      </c>
      <c r="L2380" t="s">
        <v>423</v>
      </c>
      <c r="M2380" t="s">
        <v>421</v>
      </c>
      <c r="N2380">
        <v>0</v>
      </c>
    </row>
    <row r="2381" spans="1:14" ht="15" customHeight="1" x14ac:dyDescent="0.25">
      <c r="A2381" s="82">
        <v>44656</v>
      </c>
      <c r="B2381" t="s">
        <v>425</v>
      </c>
      <c r="C2381" t="s">
        <v>421</v>
      </c>
      <c r="D2381" t="s">
        <v>427</v>
      </c>
      <c r="E2381" t="s">
        <v>430</v>
      </c>
      <c r="F2381" t="s">
        <v>455</v>
      </c>
      <c r="G2381" t="s">
        <v>522</v>
      </c>
      <c r="H2381" t="s">
        <v>429</v>
      </c>
      <c r="I2381" t="s">
        <v>424</v>
      </c>
      <c r="J2381" t="s">
        <v>428</v>
      </c>
      <c r="L2381" t="s">
        <v>423</v>
      </c>
      <c r="M2381" t="s">
        <v>421</v>
      </c>
      <c r="N2381">
        <v>0</v>
      </c>
    </row>
    <row r="2382" spans="1:14" ht="15" customHeight="1" x14ac:dyDescent="0.25">
      <c r="A2382" s="82">
        <v>44657</v>
      </c>
      <c r="B2382" t="s">
        <v>425</v>
      </c>
      <c r="C2382" t="s">
        <v>421</v>
      </c>
      <c r="D2382" t="s">
        <v>455</v>
      </c>
      <c r="E2382" t="s">
        <v>430</v>
      </c>
      <c r="F2382" t="s">
        <v>427</v>
      </c>
      <c r="G2382" t="s">
        <v>522</v>
      </c>
      <c r="H2382" t="s">
        <v>429</v>
      </c>
      <c r="I2382" t="s">
        <v>424</v>
      </c>
      <c r="J2382" t="s">
        <v>428</v>
      </c>
      <c r="L2382" t="s">
        <v>421</v>
      </c>
      <c r="M2382" t="s">
        <v>423</v>
      </c>
      <c r="N2382">
        <v>0</v>
      </c>
    </row>
    <row r="2383" spans="1:14" ht="15" customHeight="1" x14ac:dyDescent="0.25">
      <c r="A2383" s="82">
        <v>44658</v>
      </c>
      <c r="B2383" t="s">
        <v>425</v>
      </c>
      <c r="C2383" t="s">
        <v>427</v>
      </c>
      <c r="D2383" t="s">
        <v>421</v>
      </c>
      <c r="E2383" t="s">
        <v>430</v>
      </c>
      <c r="F2383" t="s">
        <v>455</v>
      </c>
      <c r="G2383" t="s">
        <v>522</v>
      </c>
      <c r="H2383" t="s">
        <v>429</v>
      </c>
      <c r="I2383" t="s">
        <v>424</v>
      </c>
      <c r="J2383" t="s">
        <v>428</v>
      </c>
      <c r="L2383" t="s">
        <v>421</v>
      </c>
      <c r="M2383" t="s">
        <v>423</v>
      </c>
      <c r="N2383">
        <v>0</v>
      </c>
    </row>
    <row r="2384" spans="1:14" ht="15" customHeight="1" x14ac:dyDescent="0.25">
      <c r="A2384" s="82">
        <v>44659</v>
      </c>
      <c r="B2384" t="s">
        <v>425</v>
      </c>
      <c r="C2384" t="s">
        <v>455</v>
      </c>
      <c r="D2384" t="s">
        <v>430</v>
      </c>
      <c r="E2384" t="s">
        <v>428</v>
      </c>
      <c r="F2384" t="s">
        <v>424</v>
      </c>
      <c r="G2384" t="s">
        <v>522</v>
      </c>
      <c r="H2384" t="s">
        <v>421</v>
      </c>
      <c r="I2384" t="s">
        <v>427</v>
      </c>
      <c r="J2384" t="s">
        <v>425</v>
      </c>
      <c r="L2384" t="s">
        <v>421</v>
      </c>
      <c r="M2384" t="s">
        <v>428</v>
      </c>
      <c r="N2384">
        <v>0</v>
      </c>
    </row>
    <row r="2385" spans="1:14" ht="15" customHeight="1" x14ac:dyDescent="0.25">
      <c r="A2385" s="82">
        <v>44660</v>
      </c>
      <c r="B2385" t="s">
        <v>421</v>
      </c>
      <c r="C2385" t="s">
        <v>429</v>
      </c>
      <c r="D2385" t="s">
        <v>430</v>
      </c>
      <c r="E2385" t="s">
        <v>428</v>
      </c>
      <c r="F2385" t="s">
        <v>424</v>
      </c>
      <c r="G2385" t="s">
        <v>522</v>
      </c>
      <c r="H2385" t="s">
        <v>427</v>
      </c>
      <c r="I2385" t="s">
        <v>455</v>
      </c>
      <c r="J2385" t="s">
        <v>425</v>
      </c>
      <c r="L2385" t="s">
        <v>421</v>
      </c>
      <c r="M2385" t="s">
        <v>428</v>
      </c>
      <c r="N2385">
        <v>0</v>
      </c>
    </row>
    <row r="2386" spans="1:14" ht="15" customHeight="1" x14ac:dyDescent="0.25">
      <c r="A2386" s="82">
        <v>44661</v>
      </c>
      <c r="B2386" t="s">
        <v>421</v>
      </c>
      <c r="C2386" t="s">
        <v>429</v>
      </c>
      <c r="D2386" t="s">
        <v>430</v>
      </c>
      <c r="E2386" t="s">
        <v>428</v>
      </c>
      <c r="F2386" t="s">
        <v>424</v>
      </c>
      <c r="G2386" t="s">
        <v>522</v>
      </c>
      <c r="H2386" t="s">
        <v>455</v>
      </c>
      <c r="I2386" t="s">
        <v>427</v>
      </c>
      <c r="J2386" t="s">
        <v>425</v>
      </c>
      <c r="L2386" t="s">
        <v>421</v>
      </c>
      <c r="M2386" t="s">
        <v>428</v>
      </c>
      <c r="N2386">
        <v>0</v>
      </c>
    </row>
    <row r="2387" spans="1:14" ht="15" customHeight="1" x14ac:dyDescent="0.25">
      <c r="A2387" s="82">
        <v>44662</v>
      </c>
      <c r="B2387" t="s">
        <v>427</v>
      </c>
      <c r="C2387" t="s">
        <v>429</v>
      </c>
      <c r="D2387" t="s">
        <v>430</v>
      </c>
      <c r="E2387" t="s">
        <v>428</v>
      </c>
      <c r="F2387" t="s">
        <v>424</v>
      </c>
      <c r="G2387" t="s">
        <v>522</v>
      </c>
      <c r="H2387" t="s">
        <v>421</v>
      </c>
      <c r="I2387" t="s">
        <v>455</v>
      </c>
      <c r="J2387" t="s">
        <v>425</v>
      </c>
      <c r="L2387" t="s">
        <v>421</v>
      </c>
      <c r="M2387" t="s">
        <v>428</v>
      </c>
      <c r="N2387">
        <v>0</v>
      </c>
    </row>
    <row r="2388" spans="1:14" ht="15" customHeight="1" x14ac:dyDescent="0.25">
      <c r="A2388" s="82">
        <v>44663</v>
      </c>
      <c r="B2388" t="s">
        <v>455</v>
      </c>
      <c r="C2388" t="s">
        <v>429</v>
      </c>
      <c r="D2388" t="s">
        <v>430</v>
      </c>
      <c r="E2388" t="s">
        <v>428</v>
      </c>
      <c r="F2388" t="s">
        <v>424</v>
      </c>
      <c r="G2388" t="s">
        <v>522</v>
      </c>
      <c r="H2388" t="s">
        <v>427</v>
      </c>
      <c r="I2388" t="s">
        <v>421</v>
      </c>
      <c r="J2388" t="s">
        <v>425</v>
      </c>
      <c r="L2388" t="s">
        <v>423</v>
      </c>
      <c r="M2388" t="s">
        <v>421</v>
      </c>
      <c r="N2388">
        <v>0</v>
      </c>
    </row>
    <row r="2389" spans="1:14" ht="15" customHeight="1" x14ac:dyDescent="0.25">
      <c r="A2389" s="82">
        <v>44664</v>
      </c>
      <c r="B2389" t="s">
        <v>427</v>
      </c>
      <c r="C2389" t="s">
        <v>429</v>
      </c>
      <c r="D2389" t="s">
        <v>430</v>
      </c>
      <c r="E2389" t="s">
        <v>428</v>
      </c>
      <c r="F2389" t="s">
        <v>424</v>
      </c>
      <c r="G2389" t="s">
        <v>522</v>
      </c>
      <c r="H2389" t="s">
        <v>455</v>
      </c>
      <c r="I2389" t="s">
        <v>421</v>
      </c>
      <c r="J2389" t="s">
        <v>425</v>
      </c>
      <c r="L2389" t="s">
        <v>423</v>
      </c>
      <c r="M2389" t="s">
        <v>421</v>
      </c>
      <c r="N2389">
        <v>0</v>
      </c>
    </row>
    <row r="2390" spans="1:14" ht="15" customHeight="1" x14ac:dyDescent="0.25">
      <c r="A2390" s="82">
        <v>44665</v>
      </c>
      <c r="B2390" t="s">
        <v>455</v>
      </c>
      <c r="C2390" t="s">
        <v>429</v>
      </c>
      <c r="D2390" t="s">
        <v>430</v>
      </c>
      <c r="E2390" t="s">
        <v>428</v>
      </c>
      <c r="F2390" t="s">
        <v>424</v>
      </c>
      <c r="G2390" t="s">
        <v>522</v>
      </c>
      <c r="H2390" t="s">
        <v>421</v>
      </c>
      <c r="I2390" t="s">
        <v>427</v>
      </c>
      <c r="J2390" t="s">
        <v>425</v>
      </c>
      <c r="L2390" t="s">
        <v>423</v>
      </c>
      <c r="M2390" t="s">
        <v>421</v>
      </c>
      <c r="N2390">
        <v>0</v>
      </c>
    </row>
    <row r="2391" spans="1:14" ht="15" customHeight="1" x14ac:dyDescent="0.25">
      <c r="A2391" s="82">
        <v>44666</v>
      </c>
      <c r="B2391" t="s">
        <v>424</v>
      </c>
      <c r="C2391" t="s">
        <v>421</v>
      </c>
      <c r="D2391" t="s">
        <v>428</v>
      </c>
      <c r="E2391" t="s">
        <v>425</v>
      </c>
      <c r="F2391" t="s">
        <v>427</v>
      </c>
      <c r="G2391" t="s">
        <v>522</v>
      </c>
      <c r="H2391" t="s">
        <v>430</v>
      </c>
      <c r="I2391" t="s">
        <v>455</v>
      </c>
      <c r="J2391" t="s">
        <v>425</v>
      </c>
      <c r="L2391" t="s">
        <v>423</v>
      </c>
      <c r="M2391" t="s">
        <v>421</v>
      </c>
      <c r="N2391">
        <v>0</v>
      </c>
    </row>
    <row r="2392" spans="1:14" ht="15" customHeight="1" x14ac:dyDescent="0.25">
      <c r="A2392" s="82">
        <v>44667</v>
      </c>
      <c r="B2392" t="s">
        <v>424</v>
      </c>
      <c r="C2392" t="s">
        <v>427</v>
      </c>
      <c r="D2392" t="s">
        <v>428</v>
      </c>
      <c r="E2392" t="s">
        <v>425</v>
      </c>
      <c r="F2392" t="s">
        <v>455</v>
      </c>
      <c r="G2392" t="s">
        <v>522</v>
      </c>
      <c r="H2392" t="s">
        <v>430</v>
      </c>
      <c r="I2392" t="s">
        <v>429</v>
      </c>
      <c r="J2392" t="s">
        <v>421</v>
      </c>
      <c r="L2392" t="s">
        <v>423</v>
      </c>
      <c r="M2392" t="s">
        <v>421</v>
      </c>
      <c r="N2392">
        <v>0</v>
      </c>
    </row>
    <row r="2393" spans="1:14" ht="15" customHeight="1" x14ac:dyDescent="0.25">
      <c r="A2393" s="82">
        <v>44668</v>
      </c>
      <c r="B2393" t="s">
        <v>424</v>
      </c>
      <c r="C2393" t="s">
        <v>455</v>
      </c>
      <c r="D2393" t="s">
        <v>428</v>
      </c>
      <c r="E2393" t="s">
        <v>425</v>
      </c>
      <c r="F2393" t="s">
        <v>427</v>
      </c>
      <c r="G2393" t="s">
        <v>522</v>
      </c>
      <c r="H2393" t="s">
        <v>430</v>
      </c>
      <c r="I2393" t="s">
        <v>429</v>
      </c>
      <c r="J2393" t="s">
        <v>421</v>
      </c>
      <c r="L2393" t="s">
        <v>423</v>
      </c>
      <c r="M2393" t="s">
        <v>421</v>
      </c>
      <c r="N2393">
        <v>0</v>
      </c>
    </row>
    <row r="2394" spans="1:14" ht="15" customHeight="1" x14ac:dyDescent="0.25">
      <c r="A2394" s="82">
        <v>44669</v>
      </c>
      <c r="B2394" t="s">
        <v>424</v>
      </c>
      <c r="C2394" t="s">
        <v>421</v>
      </c>
      <c r="D2394" t="s">
        <v>428</v>
      </c>
      <c r="E2394" t="s">
        <v>425</v>
      </c>
      <c r="F2394" t="s">
        <v>455</v>
      </c>
      <c r="G2394" t="s">
        <v>522</v>
      </c>
      <c r="H2394" t="s">
        <v>430</v>
      </c>
      <c r="I2394" t="s">
        <v>429</v>
      </c>
      <c r="J2394" t="s">
        <v>427</v>
      </c>
      <c r="L2394" t="s">
        <v>421</v>
      </c>
      <c r="M2394" t="s">
        <v>423</v>
      </c>
      <c r="N2394">
        <v>0</v>
      </c>
    </row>
    <row r="2395" spans="1:14" ht="15" customHeight="1" x14ac:dyDescent="0.25">
      <c r="A2395" s="82">
        <v>44670</v>
      </c>
      <c r="B2395" t="s">
        <v>424</v>
      </c>
      <c r="C2395" t="s">
        <v>427</v>
      </c>
      <c r="D2395" t="s">
        <v>428</v>
      </c>
      <c r="E2395" t="s">
        <v>425</v>
      </c>
      <c r="F2395" t="s">
        <v>421</v>
      </c>
      <c r="G2395" t="s">
        <v>522</v>
      </c>
      <c r="H2395" t="s">
        <v>430</v>
      </c>
      <c r="I2395" t="s">
        <v>429</v>
      </c>
      <c r="J2395" t="s">
        <v>455</v>
      </c>
      <c r="L2395" t="s">
        <v>421</v>
      </c>
      <c r="M2395" t="s">
        <v>423</v>
      </c>
      <c r="N2395">
        <v>0</v>
      </c>
    </row>
    <row r="2396" spans="1:14" ht="15" customHeight="1" x14ac:dyDescent="0.25">
      <c r="A2396" s="82">
        <v>44671</v>
      </c>
      <c r="B2396" t="s">
        <v>424</v>
      </c>
      <c r="C2396" t="s">
        <v>455</v>
      </c>
      <c r="D2396" t="s">
        <v>428</v>
      </c>
      <c r="E2396" t="s">
        <v>425</v>
      </c>
      <c r="F2396" t="s">
        <v>421</v>
      </c>
      <c r="G2396" t="s">
        <v>522</v>
      </c>
      <c r="H2396" t="s">
        <v>430</v>
      </c>
      <c r="I2396" t="s">
        <v>429</v>
      </c>
      <c r="J2396" t="s">
        <v>427</v>
      </c>
      <c r="L2396" t="s">
        <v>421</v>
      </c>
      <c r="M2396" t="s">
        <v>423</v>
      </c>
      <c r="N2396">
        <v>0</v>
      </c>
    </row>
    <row r="2397" spans="1:14" ht="15" customHeight="1" x14ac:dyDescent="0.25">
      <c r="A2397" s="82">
        <v>44672</v>
      </c>
      <c r="B2397" t="s">
        <v>424</v>
      </c>
      <c r="C2397" t="s">
        <v>421</v>
      </c>
      <c r="D2397" t="s">
        <v>428</v>
      </c>
      <c r="E2397" t="s">
        <v>425</v>
      </c>
      <c r="F2397" t="s">
        <v>427</v>
      </c>
      <c r="G2397" t="s">
        <v>522</v>
      </c>
      <c r="H2397" t="s">
        <v>430</v>
      </c>
      <c r="I2397" t="s">
        <v>429</v>
      </c>
      <c r="J2397" t="s">
        <v>455</v>
      </c>
      <c r="L2397" t="s">
        <v>421</v>
      </c>
      <c r="M2397" t="s">
        <v>423</v>
      </c>
      <c r="N2397">
        <v>0</v>
      </c>
    </row>
    <row r="2398" spans="1:14" ht="15" customHeight="1" x14ac:dyDescent="0.25">
      <c r="A2398" s="82">
        <v>44673</v>
      </c>
      <c r="B2398" t="s">
        <v>427</v>
      </c>
      <c r="C2398" t="s">
        <v>430</v>
      </c>
      <c r="D2398" t="s">
        <v>425</v>
      </c>
      <c r="E2398" t="s">
        <v>425</v>
      </c>
      <c r="F2398" t="s">
        <v>455</v>
      </c>
      <c r="G2398" t="s">
        <v>522</v>
      </c>
      <c r="H2398" t="s">
        <v>428</v>
      </c>
      <c r="I2398" t="s">
        <v>421</v>
      </c>
      <c r="J2398" t="s">
        <v>424</v>
      </c>
      <c r="L2398" t="s">
        <v>423</v>
      </c>
      <c r="M2398" t="s">
        <v>421</v>
      </c>
      <c r="N2398">
        <v>0</v>
      </c>
    </row>
    <row r="2399" spans="1:14" ht="15" customHeight="1" x14ac:dyDescent="0.25">
      <c r="A2399" s="82">
        <v>44674</v>
      </c>
      <c r="B2399" t="s">
        <v>455</v>
      </c>
      <c r="C2399" t="s">
        <v>430</v>
      </c>
      <c r="D2399" t="s">
        <v>425</v>
      </c>
      <c r="E2399" t="s">
        <v>421</v>
      </c>
      <c r="F2399" t="s">
        <v>429</v>
      </c>
      <c r="G2399" t="s">
        <v>522</v>
      </c>
      <c r="H2399" t="s">
        <v>428</v>
      </c>
      <c r="I2399" t="s">
        <v>427</v>
      </c>
      <c r="J2399" t="s">
        <v>424</v>
      </c>
      <c r="L2399" t="s">
        <v>423</v>
      </c>
      <c r="M2399" t="s">
        <v>421</v>
      </c>
      <c r="N2399">
        <v>0</v>
      </c>
    </row>
    <row r="2400" spans="1:14" ht="15" customHeight="1" x14ac:dyDescent="0.25">
      <c r="A2400" s="82">
        <v>44675</v>
      </c>
      <c r="B2400" t="s">
        <v>427</v>
      </c>
      <c r="C2400" t="s">
        <v>430</v>
      </c>
      <c r="D2400" t="s">
        <v>425</v>
      </c>
      <c r="E2400" t="s">
        <v>421</v>
      </c>
      <c r="F2400" t="s">
        <v>429</v>
      </c>
      <c r="G2400" t="s">
        <v>522</v>
      </c>
      <c r="H2400" t="s">
        <v>428</v>
      </c>
      <c r="I2400" t="s">
        <v>455</v>
      </c>
      <c r="J2400" t="s">
        <v>424</v>
      </c>
      <c r="L2400" t="s">
        <v>423</v>
      </c>
      <c r="M2400" t="s">
        <v>421</v>
      </c>
      <c r="N2400">
        <v>0</v>
      </c>
    </row>
    <row r="2401" spans="1:14" ht="15" customHeight="1" x14ac:dyDescent="0.25">
      <c r="A2401" s="82">
        <v>44676</v>
      </c>
      <c r="B2401" t="s">
        <v>455</v>
      </c>
      <c r="C2401" t="s">
        <v>430</v>
      </c>
      <c r="D2401" t="s">
        <v>425</v>
      </c>
      <c r="E2401" t="s">
        <v>427</v>
      </c>
      <c r="F2401" t="s">
        <v>429</v>
      </c>
      <c r="G2401" t="s">
        <v>522</v>
      </c>
      <c r="H2401" t="s">
        <v>428</v>
      </c>
      <c r="I2401" t="s">
        <v>421</v>
      </c>
      <c r="J2401" t="s">
        <v>424</v>
      </c>
      <c r="L2401" t="s">
        <v>423</v>
      </c>
      <c r="M2401" t="s">
        <v>421</v>
      </c>
      <c r="N2401">
        <v>0</v>
      </c>
    </row>
    <row r="2402" spans="1:14" ht="15" customHeight="1" x14ac:dyDescent="0.25">
      <c r="A2402" s="82">
        <v>44677</v>
      </c>
      <c r="B2402" t="s">
        <v>421</v>
      </c>
      <c r="C2402" t="s">
        <v>430</v>
      </c>
      <c r="D2402" t="s">
        <v>425</v>
      </c>
      <c r="E2402" t="s">
        <v>455</v>
      </c>
      <c r="F2402" t="s">
        <v>429</v>
      </c>
      <c r="G2402" t="s">
        <v>522</v>
      </c>
      <c r="H2402" t="s">
        <v>428</v>
      </c>
      <c r="I2402" t="s">
        <v>427</v>
      </c>
      <c r="J2402" t="s">
        <v>424</v>
      </c>
      <c r="L2402" t="s">
        <v>423</v>
      </c>
      <c r="M2402" t="s">
        <v>421</v>
      </c>
      <c r="N2402">
        <v>0</v>
      </c>
    </row>
    <row r="2403" spans="1:14" ht="15" customHeight="1" x14ac:dyDescent="0.25">
      <c r="A2403" s="82">
        <v>44678</v>
      </c>
      <c r="B2403" t="s">
        <v>421</v>
      </c>
      <c r="C2403" t="s">
        <v>430</v>
      </c>
      <c r="D2403" t="s">
        <v>425</v>
      </c>
      <c r="E2403" t="s">
        <v>427</v>
      </c>
      <c r="F2403" t="s">
        <v>429</v>
      </c>
      <c r="G2403" t="s">
        <v>522</v>
      </c>
      <c r="H2403" t="s">
        <v>428</v>
      </c>
      <c r="I2403" t="s">
        <v>455</v>
      </c>
      <c r="J2403" t="s">
        <v>424</v>
      </c>
      <c r="L2403" t="s">
        <v>423</v>
      </c>
      <c r="M2403" t="s">
        <v>421</v>
      </c>
      <c r="N2403">
        <v>0</v>
      </c>
    </row>
    <row r="2404" spans="1:14" ht="15" customHeight="1" x14ac:dyDescent="0.25">
      <c r="A2404" s="82">
        <v>44679</v>
      </c>
      <c r="B2404" t="s">
        <v>427</v>
      </c>
      <c r="C2404" t="s">
        <v>430</v>
      </c>
      <c r="D2404" t="s">
        <v>425</v>
      </c>
      <c r="E2404" t="s">
        <v>455</v>
      </c>
      <c r="F2404" t="s">
        <v>429</v>
      </c>
      <c r="G2404" t="s">
        <v>522</v>
      </c>
      <c r="H2404" t="s">
        <v>428</v>
      </c>
      <c r="I2404" t="s">
        <v>421</v>
      </c>
      <c r="J2404" t="s">
        <v>424</v>
      </c>
      <c r="L2404" t="s">
        <v>421</v>
      </c>
      <c r="M2404" t="s">
        <v>423</v>
      </c>
      <c r="N2404">
        <v>0</v>
      </c>
    </row>
    <row r="2405" spans="1:14" ht="15" customHeight="1" x14ac:dyDescent="0.25">
      <c r="A2405" s="82">
        <v>44680</v>
      </c>
      <c r="B2405" t="s">
        <v>455</v>
      </c>
      <c r="C2405" t="s">
        <v>428</v>
      </c>
      <c r="D2405" t="s">
        <v>425</v>
      </c>
      <c r="E2405" t="s">
        <v>424</v>
      </c>
      <c r="F2405" t="s">
        <v>421</v>
      </c>
      <c r="G2405" t="s">
        <v>522</v>
      </c>
      <c r="H2405" t="s">
        <v>425</v>
      </c>
      <c r="I2405" t="s">
        <v>430</v>
      </c>
      <c r="J2405" t="s">
        <v>427</v>
      </c>
      <c r="L2405" t="s">
        <v>421</v>
      </c>
      <c r="M2405" t="s">
        <v>423</v>
      </c>
      <c r="N2405">
        <v>0</v>
      </c>
    </row>
    <row r="2406" spans="1:14" ht="15" customHeight="1" x14ac:dyDescent="0.25">
      <c r="A2406" s="82">
        <v>44681</v>
      </c>
      <c r="B2406" t="s">
        <v>429</v>
      </c>
      <c r="C2406" t="s">
        <v>428</v>
      </c>
      <c r="D2406" t="s">
        <v>421</v>
      </c>
      <c r="E2406" t="s">
        <v>424</v>
      </c>
      <c r="F2406" t="s">
        <v>427</v>
      </c>
      <c r="G2406" t="s">
        <v>522</v>
      </c>
      <c r="H2406" t="s">
        <v>425</v>
      </c>
      <c r="I2406" t="s">
        <v>430</v>
      </c>
      <c r="J2406" t="s">
        <v>455</v>
      </c>
      <c r="L2406" t="s">
        <v>421</v>
      </c>
      <c r="M2406" t="s">
        <v>423</v>
      </c>
      <c r="N2406">
        <v>0</v>
      </c>
    </row>
    <row r="2407" spans="1:14" ht="15" customHeight="1" x14ac:dyDescent="0.25">
      <c r="A2407" s="82">
        <v>44682</v>
      </c>
      <c r="B2407" t="s">
        <v>429</v>
      </c>
      <c r="C2407" t="s">
        <v>428</v>
      </c>
      <c r="D2407" t="s">
        <v>421</v>
      </c>
      <c r="E2407" t="s">
        <v>424</v>
      </c>
      <c r="F2407" t="s">
        <v>455</v>
      </c>
      <c r="G2407" t="s">
        <v>522</v>
      </c>
      <c r="H2407" t="s">
        <v>425</v>
      </c>
      <c r="I2407" t="s">
        <v>430</v>
      </c>
      <c r="J2407" t="s">
        <v>427</v>
      </c>
      <c r="L2407" t="s">
        <v>421</v>
      </c>
      <c r="M2407" t="s">
        <v>423</v>
      </c>
      <c r="N2407">
        <v>0</v>
      </c>
    </row>
    <row r="2408" spans="1:14" ht="15" customHeight="1" x14ac:dyDescent="0.25">
      <c r="A2408" s="82">
        <v>44683</v>
      </c>
      <c r="B2408" t="s">
        <v>429</v>
      </c>
      <c r="C2408" t="s">
        <v>428</v>
      </c>
      <c r="D2408" t="s">
        <v>427</v>
      </c>
      <c r="E2408" t="s">
        <v>424</v>
      </c>
      <c r="F2408" t="s">
        <v>421</v>
      </c>
      <c r="G2408" t="s">
        <v>522</v>
      </c>
      <c r="H2408" t="s">
        <v>425</v>
      </c>
      <c r="I2408" t="s">
        <v>430</v>
      </c>
      <c r="J2408" t="s">
        <v>455</v>
      </c>
      <c r="L2408" t="s">
        <v>421</v>
      </c>
      <c r="M2408" t="s">
        <v>423</v>
      </c>
      <c r="N2408">
        <v>0</v>
      </c>
    </row>
    <row r="2409" spans="1:14" ht="15" customHeight="1" x14ac:dyDescent="0.25">
      <c r="A2409" s="82">
        <v>44684</v>
      </c>
      <c r="B2409" t="s">
        <v>429</v>
      </c>
      <c r="C2409" t="s">
        <v>428</v>
      </c>
      <c r="D2409" t="s">
        <v>455</v>
      </c>
      <c r="E2409" t="s">
        <v>424</v>
      </c>
      <c r="F2409" t="s">
        <v>427</v>
      </c>
      <c r="G2409" t="s">
        <v>522</v>
      </c>
      <c r="H2409" t="s">
        <v>425</v>
      </c>
      <c r="I2409" t="s">
        <v>430</v>
      </c>
      <c r="J2409" t="s">
        <v>421</v>
      </c>
      <c r="L2409" t="s">
        <v>421</v>
      </c>
      <c r="M2409" t="s">
        <v>423</v>
      </c>
      <c r="N2409">
        <v>0</v>
      </c>
    </row>
    <row r="2410" spans="1:14" ht="15" customHeight="1" x14ac:dyDescent="0.25">
      <c r="A2410" s="82">
        <v>44685</v>
      </c>
      <c r="B2410" t="s">
        <v>429</v>
      </c>
      <c r="C2410" t="s">
        <v>428</v>
      </c>
      <c r="D2410" t="s">
        <v>427</v>
      </c>
      <c r="E2410" t="s">
        <v>424</v>
      </c>
      <c r="F2410" t="s">
        <v>455</v>
      </c>
      <c r="G2410" t="s">
        <v>522</v>
      </c>
      <c r="H2410" t="s">
        <v>425</v>
      </c>
      <c r="I2410" t="s">
        <v>430</v>
      </c>
      <c r="J2410" t="s">
        <v>421</v>
      </c>
      <c r="L2410" t="s">
        <v>423</v>
      </c>
      <c r="M2410" t="s">
        <v>421</v>
      </c>
      <c r="N2410">
        <v>0</v>
      </c>
    </row>
    <row r="2411" spans="1:14" ht="15" customHeight="1" x14ac:dyDescent="0.25">
      <c r="A2411" s="82">
        <v>44686</v>
      </c>
      <c r="B2411" t="s">
        <v>429</v>
      </c>
      <c r="C2411" t="s">
        <v>428</v>
      </c>
      <c r="D2411" t="s">
        <v>455</v>
      </c>
      <c r="E2411" t="s">
        <v>424</v>
      </c>
      <c r="F2411" t="s">
        <v>421</v>
      </c>
      <c r="G2411" t="s">
        <v>522</v>
      </c>
      <c r="H2411" t="s">
        <v>425</v>
      </c>
      <c r="I2411" t="s">
        <v>430</v>
      </c>
      <c r="J2411" t="s">
        <v>427</v>
      </c>
      <c r="L2411" t="s">
        <v>423</v>
      </c>
      <c r="M2411" t="s">
        <v>421</v>
      </c>
      <c r="N2411">
        <v>0</v>
      </c>
    </row>
    <row r="2412" spans="1:14" ht="15" customHeight="1" x14ac:dyDescent="0.25">
      <c r="A2412" s="82">
        <v>44687</v>
      </c>
      <c r="B2412" t="s">
        <v>421</v>
      </c>
      <c r="C2412" t="s">
        <v>425</v>
      </c>
      <c r="D2412" t="s">
        <v>424</v>
      </c>
      <c r="E2412" t="s">
        <v>427</v>
      </c>
      <c r="F2412" t="s">
        <v>430</v>
      </c>
      <c r="G2412" t="s">
        <v>522</v>
      </c>
      <c r="H2412" t="s">
        <v>425</v>
      </c>
      <c r="I2412" t="s">
        <v>428</v>
      </c>
      <c r="J2412" t="s">
        <v>455</v>
      </c>
      <c r="L2412" t="s">
        <v>428</v>
      </c>
      <c r="M2412" t="s">
        <v>421</v>
      </c>
      <c r="N2412">
        <v>0</v>
      </c>
    </row>
    <row r="2413" spans="1:14" ht="15" customHeight="1" x14ac:dyDescent="0.25">
      <c r="A2413" s="82">
        <v>44688</v>
      </c>
      <c r="B2413" t="s">
        <v>427</v>
      </c>
      <c r="C2413" t="s">
        <v>425</v>
      </c>
      <c r="D2413" t="s">
        <v>424</v>
      </c>
      <c r="E2413" t="s">
        <v>455</v>
      </c>
      <c r="F2413" t="s">
        <v>430</v>
      </c>
      <c r="G2413" t="s">
        <v>522</v>
      </c>
      <c r="H2413" t="s">
        <v>421</v>
      </c>
      <c r="I2413" t="s">
        <v>428</v>
      </c>
      <c r="J2413" t="s">
        <v>429</v>
      </c>
      <c r="L2413" t="s">
        <v>428</v>
      </c>
      <c r="M2413" t="s">
        <v>421</v>
      </c>
      <c r="N2413">
        <v>0</v>
      </c>
    </row>
    <row r="2414" spans="1:14" ht="15" customHeight="1" x14ac:dyDescent="0.25">
      <c r="A2414" s="82">
        <v>44689</v>
      </c>
      <c r="B2414" t="s">
        <v>455</v>
      </c>
      <c r="C2414" t="s">
        <v>425</v>
      </c>
      <c r="D2414" t="s">
        <v>424</v>
      </c>
      <c r="E2414" t="s">
        <v>427</v>
      </c>
      <c r="F2414" t="s">
        <v>430</v>
      </c>
      <c r="G2414" t="s">
        <v>522</v>
      </c>
      <c r="H2414" t="s">
        <v>421</v>
      </c>
      <c r="I2414" t="s">
        <v>428</v>
      </c>
      <c r="J2414" t="s">
        <v>429</v>
      </c>
      <c r="L2414" t="s">
        <v>428</v>
      </c>
      <c r="M2414" t="s">
        <v>421</v>
      </c>
      <c r="N2414">
        <v>0</v>
      </c>
    </row>
    <row r="2415" spans="1:14" ht="15" customHeight="1" x14ac:dyDescent="0.25">
      <c r="A2415" s="82">
        <v>44690</v>
      </c>
      <c r="B2415" t="s">
        <v>421</v>
      </c>
      <c r="C2415" t="s">
        <v>425</v>
      </c>
      <c r="D2415" t="s">
        <v>424</v>
      </c>
      <c r="E2415" t="s">
        <v>455</v>
      </c>
      <c r="F2415" t="s">
        <v>430</v>
      </c>
      <c r="G2415" t="s">
        <v>522</v>
      </c>
      <c r="H2415" t="s">
        <v>427</v>
      </c>
      <c r="I2415" t="s">
        <v>428</v>
      </c>
      <c r="J2415" t="s">
        <v>429</v>
      </c>
      <c r="L2415" t="s">
        <v>428</v>
      </c>
      <c r="M2415" t="s">
        <v>421</v>
      </c>
      <c r="N2415">
        <v>0</v>
      </c>
    </row>
    <row r="2416" spans="1:14" ht="15" customHeight="1" x14ac:dyDescent="0.25">
      <c r="A2416" s="82">
        <v>44691</v>
      </c>
      <c r="B2416" t="s">
        <v>427</v>
      </c>
      <c r="C2416" t="s">
        <v>425</v>
      </c>
      <c r="D2416" t="s">
        <v>424</v>
      </c>
      <c r="E2416" t="s">
        <v>421</v>
      </c>
      <c r="F2416" t="s">
        <v>430</v>
      </c>
      <c r="G2416" t="s">
        <v>522</v>
      </c>
      <c r="H2416" t="s">
        <v>455</v>
      </c>
      <c r="I2416" t="s">
        <v>428</v>
      </c>
      <c r="J2416" t="s">
        <v>429</v>
      </c>
      <c r="L2416" t="s">
        <v>421</v>
      </c>
      <c r="M2416" t="s">
        <v>423</v>
      </c>
      <c r="N2416">
        <v>0</v>
      </c>
    </row>
    <row r="2417" spans="1:14" ht="15" customHeight="1" x14ac:dyDescent="0.25">
      <c r="A2417" s="82">
        <v>44692</v>
      </c>
      <c r="B2417" t="s">
        <v>455</v>
      </c>
      <c r="C2417" t="s">
        <v>425</v>
      </c>
      <c r="D2417" t="s">
        <v>427</v>
      </c>
      <c r="E2417" t="s">
        <v>421</v>
      </c>
      <c r="F2417" t="s">
        <v>430</v>
      </c>
      <c r="G2417" t="s">
        <v>522</v>
      </c>
      <c r="H2417" t="s">
        <v>424</v>
      </c>
      <c r="I2417" t="s">
        <v>428</v>
      </c>
      <c r="J2417" t="s">
        <v>429</v>
      </c>
      <c r="L2417" t="s">
        <v>421</v>
      </c>
      <c r="M2417" t="s">
        <v>423</v>
      </c>
      <c r="N2417">
        <v>0</v>
      </c>
    </row>
    <row r="2418" spans="1:14" ht="15" customHeight="1" x14ac:dyDescent="0.25">
      <c r="A2418" s="82">
        <v>44693</v>
      </c>
      <c r="B2418" t="s">
        <v>421</v>
      </c>
      <c r="C2418" t="s">
        <v>425</v>
      </c>
      <c r="D2418" t="s">
        <v>455</v>
      </c>
      <c r="E2418" t="s">
        <v>427</v>
      </c>
      <c r="F2418" t="s">
        <v>430</v>
      </c>
      <c r="G2418" t="s">
        <v>522</v>
      </c>
      <c r="H2418" t="s">
        <v>424</v>
      </c>
      <c r="I2418" t="s">
        <v>428</v>
      </c>
      <c r="J2418" t="s">
        <v>429</v>
      </c>
      <c r="L2418" t="s">
        <v>421</v>
      </c>
      <c r="M2418" t="s">
        <v>423</v>
      </c>
      <c r="N2418">
        <v>0</v>
      </c>
    </row>
    <row r="2419" spans="1:14" ht="15" customHeight="1" x14ac:dyDescent="0.25">
      <c r="A2419" s="82">
        <v>44694</v>
      </c>
      <c r="B2419" t="s">
        <v>430</v>
      </c>
      <c r="C2419" t="s">
        <v>425</v>
      </c>
      <c r="D2419" t="s">
        <v>427</v>
      </c>
      <c r="E2419" t="s">
        <v>455</v>
      </c>
      <c r="F2419" t="s">
        <v>428</v>
      </c>
      <c r="G2419" t="s">
        <v>522</v>
      </c>
      <c r="H2419" t="s">
        <v>424</v>
      </c>
      <c r="I2419" t="s">
        <v>425</v>
      </c>
      <c r="J2419" t="s">
        <v>421</v>
      </c>
      <c r="L2419" t="s">
        <v>421</v>
      </c>
      <c r="M2419" t="s">
        <v>423</v>
      </c>
      <c r="N2419">
        <v>0</v>
      </c>
    </row>
    <row r="2420" spans="1:14" ht="15" customHeight="1" x14ac:dyDescent="0.25">
      <c r="A2420" s="82">
        <v>44695</v>
      </c>
      <c r="B2420" t="s">
        <v>430</v>
      </c>
      <c r="C2420" t="s">
        <v>421</v>
      </c>
      <c r="D2420" t="s">
        <v>455</v>
      </c>
      <c r="E2420" t="s">
        <v>429</v>
      </c>
      <c r="F2420" t="s">
        <v>428</v>
      </c>
      <c r="G2420" t="s">
        <v>522</v>
      </c>
      <c r="H2420" t="s">
        <v>424</v>
      </c>
      <c r="I2420" t="s">
        <v>425</v>
      </c>
      <c r="J2420" t="s">
        <v>427</v>
      </c>
      <c r="L2420" t="s">
        <v>421</v>
      </c>
      <c r="M2420" t="s">
        <v>423</v>
      </c>
      <c r="N2420">
        <v>0</v>
      </c>
    </row>
    <row r="2421" spans="1:14" ht="15" customHeight="1" x14ac:dyDescent="0.25">
      <c r="A2421" s="82">
        <v>44696</v>
      </c>
      <c r="B2421" t="s">
        <v>430</v>
      </c>
      <c r="C2421" t="s">
        <v>421</v>
      </c>
      <c r="D2421" t="s">
        <v>427</v>
      </c>
      <c r="E2421" t="s">
        <v>429</v>
      </c>
      <c r="F2421" t="s">
        <v>428</v>
      </c>
      <c r="G2421" t="s">
        <v>522</v>
      </c>
      <c r="H2421" t="s">
        <v>424</v>
      </c>
      <c r="I2421" t="s">
        <v>425</v>
      </c>
      <c r="J2421" t="s">
        <v>455</v>
      </c>
      <c r="L2421" t="s">
        <v>421</v>
      </c>
      <c r="M2421" t="s">
        <v>423</v>
      </c>
      <c r="N2421">
        <v>0</v>
      </c>
    </row>
    <row r="2422" spans="1:14" ht="15" customHeight="1" x14ac:dyDescent="0.25">
      <c r="A2422" s="82">
        <v>44697</v>
      </c>
      <c r="B2422" t="s">
        <v>430</v>
      </c>
      <c r="C2422" t="s">
        <v>427</v>
      </c>
      <c r="D2422" t="s">
        <v>455</v>
      </c>
      <c r="E2422" t="s">
        <v>429</v>
      </c>
      <c r="F2422" t="s">
        <v>428</v>
      </c>
      <c r="G2422" t="s">
        <v>522</v>
      </c>
      <c r="H2422" t="s">
        <v>424</v>
      </c>
      <c r="I2422" t="s">
        <v>425</v>
      </c>
      <c r="J2422" t="s">
        <v>421</v>
      </c>
      <c r="L2422" t="s">
        <v>423</v>
      </c>
      <c r="M2422" t="s">
        <v>421</v>
      </c>
      <c r="N2422">
        <v>0</v>
      </c>
    </row>
    <row r="2423" spans="1:14" ht="15" customHeight="1" x14ac:dyDescent="0.25">
      <c r="A2423" s="82">
        <v>44698</v>
      </c>
      <c r="B2423" t="s">
        <v>430</v>
      </c>
      <c r="C2423" t="s">
        <v>455</v>
      </c>
      <c r="D2423" t="s">
        <v>421</v>
      </c>
      <c r="E2423" t="s">
        <v>429</v>
      </c>
      <c r="F2423" t="s">
        <v>428</v>
      </c>
      <c r="G2423" t="s">
        <v>522</v>
      </c>
      <c r="H2423" t="s">
        <v>424</v>
      </c>
      <c r="I2423" t="s">
        <v>425</v>
      </c>
      <c r="J2423" t="s">
        <v>427</v>
      </c>
      <c r="L2423" t="s">
        <v>423</v>
      </c>
      <c r="M2423" t="s">
        <v>421</v>
      </c>
      <c r="N2423">
        <v>0</v>
      </c>
    </row>
    <row r="2424" spans="1:14" ht="15" customHeight="1" x14ac:dyDescent="0.25">
      <c r="A2424" s="82">
        <v>44699</v>
      </c>
      <c r="B2424" t="s">
        <v>430</v>
      </c>
      <c r="C2424" t="s">
        <v>427</v>
      </c>
      <c r="D2424" t="s">
        <v>421</v>
      </c>
      <c r="E2424" t="s">
        <v>429</v>
      </c>
      <c r="F2424" t="s">
        <v>428</v>
      </c>
      <c r="G2424" t="s">
        <v>522</v>
      </c>
      <c r="H2424" t="s">
        <v>424</v>
      </c>
      <c r="I2424" t="s">
        <v>425</v>
      </c>
      <c r="J2424" t="s">
        <v>455</v>
      </c>
      <c r="L2424" t="s">
        <v>423</v>
      </c>
      <c r="M2424" t="s">
        <v>421</v>
      </c>
      <c r="N2424">
        <v>0</v>
      </c>
    </row>
    <row r="2425" spans="1:14" ht="15" customHeight="1" x14ac:dyDescent="0.25">
      <c r="A2425" s="82">
        <v>44700</v>
      </c>
      <c r="B2425" t="s">
        <v>430</v>
      </c>
      <c r="C2425" t="s">
        <v>455</v>
      </c>
      <c r="D2425" t="s">
        <v>427</v>
      </c>
      <c r="E2425" t="s">
        <v>429</v>
      </c>
      <c r="F2425" t="s">
        <v>428</v>
      </c>
      <c r="G2425" t="s">
        <v>522</v>
      </c>
      <c r="H2425" t="s">
        <v>424</v>
      </c>
      <c r="I2425" t="s">
        <v>425</v>
      </c>
      <c r="J2425" t="s">
        <v>421</v>
      </c>
      <c r="L2425" t="s">
        <v>423</v>
      </c>
      <c r="M2425" t="s">
        <v>421</v>
      </c>
      <c r="N2425">
        <v>0</v>
      </c>
    </row>
    <row r="2426" spans="1:14" ht="15" customHeight="1" x14ac:dyDescent="0.25">
      <c r="A2426" s="82">
        <v>44701</v>
      </c>
      <c r="B2426" t="s">
        <v>428</v>
      </c>
      <c r="C2426" t="s">
        <v>424</v>
      </c>
      <c r="D2426" t="s">
        <v>455</v>
      </c>
      <c r="E2426" t="s">
        <v>421</v>
      </c>
      <c r="F2426" t="s">
        <v>425</v>
      </c>
      <c r="G2426" t="s">
        <v>522</v>
      </c>
      <c r="H2426" t="s">
        <v>427</v>
      </c>
      <c r="I2426" t="s">
        <v>425</v>
      </c>
      <c r="J2426" t="s">
        <v>430</v>
      </c>
      <c r="L2426" t="s">
        <v>421</v>
      </c>
      <c r="M2426" t="s">
        <v>423</v>
      </c>
      <c r="N2426">
        <v>0</v>
      </c>
    </row>
    <row r="2427" spans="1:14" ht="15" customHeight="1" x14ac:dyDescent="0.25">
      <c r="A2427" s="82">
        <v>44702</v>
      </c>
      <c r="B2427" t="s">
        <v>428</v>
      </c>
      <c r="C2427" t="s">
        <v>424</v>
      </c>
      <c r="D2427" t="s">
        <v>429</v>
      </c>
      <c r="E2427" t="s">
        <v>427</v>
      </c>
      <c r="F2427" t="s">
        <v>425</v>
      </c>
      <c r="G2427" t="s">
        <v>522</v>
      </c>
      <c r="H2427" t="s">
        <v>455</v>
      </c>
      <c r="I2427" t="s">
        <v>421</v>
      </c>
      <c r="J2427" t="s">
        <v>430</v>
      </c>
      <c r="L2427" t="s">
        <v>421</v>
      </c>
      <c r="M2427" t="s">
        <v>423</v>
      </c>
      <c r="N2427">
        <v>0</v>
      </c>
    </row>
    <row r="2428" spans="1:14" ht="15" customHeight="1" x14ac:dyDescent="0.25">
      <c r="A2428" s="82">
        <v>44703</v>
      </c>
      <c r="B2428" t="s">
        <v>428</v>
      </c>
      <c r="C2428" t="s">
        <v>424</v>
      </c>
      <c r="D2428" t="s">
        <v>429</v>
      </c>
      <c r="E2428" t="s">
        <v>455</v>
      </c>
      <c r="F2428" t="s">
        <v>425</v>
      </c>
      <c r="G2428" t="s">
        <v>522</v>
      </c>
      <c r="H2428" t="s">
        <v>427</v>
      </c>
      <c r="I2428" t="s">
        <v>421</v>
      </c>
      <c r="J2428" t="s">
        <v>430</v>
      </c>
      <c r="L2428" t="s">
        <v>421</v>
      </c>
      <c r="M2428" t="s">
        <v>423</v>
      </c>
      <c r="N2428">
        <v>0</v>
      </c>
    </row>
    <row r="2429" spans="1:14" ht="15" customHeight="1" x14ac:dyDescent="0.25">
      <c r="A2429" s="82">
        <v>44704</v>
      </c>
      <c r="B2429" t="s">
        <v>428</v>
      </c>
      <c r="C2429" t="s">
        <v>424</v>
      </c>
      <c r="D2429" t="s">
        <v>429</v>
      </c>
      <c r="E2429" t="s">
        <v>421</v>
      </c>
      <c r="F2429" t="s">
        <v>425</v>
      </c>
      <c r="G2429" t="s">
        <v>522</v>
      </c>
      <c r="H2429" t="s">
        <v>455</v>
      </c>
      <c r="I2429" t="s">
        <v>427</v>
      </c>
      <c r="J2429" t="s">
        <v>430</v>
      </c>
      <c r="L2429" t="s">
        <v>421</v>
      </c>
      <c r="M2429" t="s">
        <v>423</v>
      </c>
      <c r="N2429">
        <v>0</v>
      </c>
    </row>
    <row r="2430" spans="1:14" ht="15" customHeight="1" x14ac:dyDescent="0.25">
      <c r="A2430" s="82">
        <v>44705</v>
      </c>
      <c r="B2430" t="s">
        <v>428</v>
      </c>
      <c r="C2430" t="s">
        <v>424</v>
      </c>
      <c r="D2430" t="s">
        <v>429</v>
      </c>
      <c r="E2430" t="s">
        <v>427</v>
      </c>
      <c r="F2430" t="s">
        <v>425</v>
      </c>
      <c r="G2430" t="s">
        <v>522</v>
      </c>
      <c r="H2430" t="s">
        <v>421</v>
      </c>
      <c r="I2430" t="s">
        <v>455</v>
      </c>
      <c r="J2430" t="s">
        <v>430</v>
      </c>
      <c r="L2430" t="s">
        <v>421</v>
      </c>
      <c r="M2430" t="s">
        <v>423</v>
      </c>
      <c r="N2430">
        <v>0</v>
      </c>
    </row>
    <row r="2431" spans="1:14" ht="15" customHeight="1" x14ac:dyDescent="0.25">
      <c r="A2431" s="82">
        <v>44706</v>
      </c>
      <c r="B2431" t="s">
        <v>428</v>
      </c>
      <c r="C2431" t="s">
        <v>424</v>
      </c>
      <c r="D2431" t="s">
        <v>429</v>
      </c>
      <c r="E2431" t="s">
        <v>455</v>
      </c>
      <c r="F2431" t="s">
        <v>425</v>
      </c>
      <c r="G2431" t="s">
        <v>522</v>
      </c>
      <c r="H2431" t="s">
        <v>421</v>
      </c>
      <c r="I2431" t="s">
        <v>427</v>
      </c>
      <c r="J2431" t="s">
        <v>430</v>
      </c>
      <c r="L2431" t="s">
        <v>421</v>
      </c>
      <c r="M2431" t="s">
        <v>423</v>
      </c>
      <c r="N2431">
        <v>0</v>
      </c>
    </row>
    <row r="2432" spans="1:14" ht="15" customHeight="1" x14ac:dyDescent="0.25">
      <c r="A2432" s="82">
        <v>44707</v>
      </c>
      <c r="B2432" t="s">
        <v>428</v>
      </c>
      <c r="C2432" t="s">
        <v>424</v>
      </c>
      <c r="D2432" t="s">
        <v>429</v>
      </c>
      <c r="E2432" t="s">
        <v>421</v>
      </c>
      <c r="F2432" t="s">
        <v>425</v>
      </c>
      <c r="G2432" t="s">
        <v>522</v>
      </c>
      <c r="H2432" t="s">
        <v>427</v>
      </c>
      <c r="I2432" t="s">
        <v>455</v>
      </c>
      <c r="J2432" t="s">
        <v>430</v>
      </c>
      <c r="L2432" t="s">
        <v>423</v>
      </c>
      <c r="M2432" t="s">
        <v>421</v>
      </c>
      <c r="N2432">
        <v>0</v>
      </c>
    </row>
    <row r="2433" spans="1:14" ht="15" customHeight="1" x14ac:dyDescent="0.25">
      <c r="A2433" s="82">
        <v>44708</v>
      </c>
      <c r="B2433" t="s">
        <v>427</v>
      </c>
      <c r="C2433" t="s">
        <v>423</v>
      </c>
      <c r="D2433" t="s">
        <v>421</v>
      </c>
      <c r="E2433" t="s">
        <v>429</v>
      </c>
      <c r="F2433" t="s">
        <v>425</v>
      </c>
      <c r="G2433" t="s">
        <v>424</v>
      </c>
      <c r="H2433" t="s">
        <v>455</v>
      </c>
      <c r="I2433" t="s">
        <v>425</v>
      </c>
      <c r="J2433" t="s">
        <v>426</v>
      </c>
      <c r="L2433" t="s">
        <v>423</v>
      </c>
      <c r="M2433" t="s">
        <v>421</v>
      </c>
      <c r="N2433">
        <v>0</v>
      </c>
    </row>
    <row r="2434" spans="1:14" ht="15" customHeight="1" x14ac:dyDescent="0.25">
      <c r="A2434" s="82">
        <v>44709</v>
      </c>
      <c r="B2434" t="s">
        <v>455</v>
      </c>
      <c r="C2434" t="s">
        <v>421</v>
      </c>
      <c r="D2434" t="s">
        <v>427</v>
      </c>
      <c r="E2434" t="s">
        <v>429</v>
      </c>
      <c r="F2434" t="s">
        <v>428</v>
      </c>
      <c r="G2434" t="s">
        <v>424</v>
      </c>
      <c r="H2434" t="s">
        <v>430</v>
      </c>
      <c r="I2434" t="s">
        <v>425</v>
      </c>
      <c r="J2434" t="s">
        <v>426</v>
      </c>
      <c r="L2434" t="s">
        <v>423</v>
      </c>
      <c r="M2434" t="s">
        <v>421</v>
      </c>
      <c r="N2434">
        <v>0</v>
      </c>
    </row>
    <row r="2435" spans="1:14" ht="15" customHeight="1" x14ac:dyDescent="0.25">
      <c r="A2435" s="82">
        <v>44710</v>
      </c>
      <c r="B2435" t="s">
        <v>427</v>
      </c>
      <c r="C2435" t="s">
        <v>421</v>
      </c>
      <c r="D2435" t="s">
        <v>455</v>
      </c>
      <c r="E2435" t="s">
        <v>429</v>
      </c>
      <c r="F2435" t="s">
        <v>428</v>
      </c>
      <c r="G2435" t="s">
        <v>424</v>
      </c>
      <c r="H2435" t="s">
        <v>430</v>
      </c>
      <c r="I2435" t="s">
        <v>425</v>
      </c>
      <c r="J2435" t="s">
        <v>426</v>
      </c>
      <c r="L2435" t="s">
        <v>423</v>
      </c>
      <c r="M2435" t="s">
        <v>421</v>
      </c>
      <c r="N2435">
        <v>0</v>
      </c>
    </row>
    <row r="2436" spans="1:14" ht="15" customHeight="1" x14ac:dyDescent="0.25">
      <c r="A2436" s="82">
        <v>44711</v>
      </c>
      <c r="B2436" t="s">
        <v>455</v>
      </c>
      <c r="C2436" t="s">
        <v>427</v>
      </c>
      <c r="D2436" t="s">
        <v>421</v>
      </c>
      <c r="E2436" t="s">
        <v>429</v>
      </c>
      <c r="F2436" t="s">
        <v>428</v>
      </c>
      <c r="G2436" t="s">
        <v>424</v>
      </c>
      <c r="H2436" t="s">
        <v>430</v>
      </c>
      <c r="I2436" t="s">
        <v>425</v>
      </c>
      <c r="J2436" t="s">
        <v>426</v>
      </c>
      <c r="L2436" t="s">
        <v>423</v>
      </c>
      <c r="M2436" t="s">
        <v>421</v>
      </c>
      <c r="N2436">
        <v>0</v>
      </c>
    </row>
    <row r="2437" spans="1:14" ht="15" customHeight="1" x14ac:dyDescent="0.25">
      <c r="A2437" s="82">
        <v>44712</v>
      </c>
      <c r="B2437" t="s">
        <v>421</v>
      </c>
      <c r="C2437" t="s">
        <v>455</v>
      </c>
      <c r="D2437" t="s">
        <v>424</v>
      </c>
      <c r="E2437" t="s">
        <v>429</v>
      </c>
      <c r="F2437" t="s">
        <v>428</v>
      </c>
      <c r="G2437" t="s">
        <v>427</v>
      </c>
      <c r="H2437" t="s">
        <v>430</v>
      </c>
      <c r="I2437" t="s">
        <v>425</v>
      </c>
      <c r="J2437" t="s">
        <v>426</v>
      </c>
      <c r="L2437" t="s">
        <v>423</v>
      </c>
      <c r="M2437" t="s">
        <v>421</v>
      </c>
      <c r="N2437">
        <v>0</v>
      </c>
    </row>
    <row r="2438" spans="1:14" ht="15" customHeight="1" x14ac:dyDescent="0.25">
      <c r="A2438" s="82">
        <v>44713</v>
      </c>
      <c r="B2438" t="s">
        <v>421</v>
      </c>
      <c r="C2438" t="s">
        <v>427</v>
      </c>
      <c r="D2438" t="s">
        <v>424</v>
      </c>
      <c r="E2438" t="s">
        <v>429</v>
      </c>
      <c r="F2438" t="s">
        <v>428</v>
      </c>
      <c r="G2438" t="s">
        <v>455</v>
      </c>
      <c r="H2438" t="s">
        <v>430</v>
      </c>
      <c r="I2438" t="s">
        <v>425</v>
      </c>
      <c r="J2438" t="s">
        <v>426</v>
      </c>
      <c r="L2438" t="s">
        <v>421</v>
      </c>
      <c r="M2438" t="s">
        <v>423</v>
      </c>
      <c r="N2438">
        <v>0</v>
      </c>
    </row>
    <row r="2439" spans="1:14" ht="15" customHeight="1" x14ac:dyDescent="0.25">
      <c r="A2439" s="82">
        <v>44714</v>
      </c>
      <c r="B2439" t="s">
        <v>427</v>
      </c>
      <c r="C2439" t="s">
        <v>455</v>
      </c>
      <c r="D2439" t="s">
        <v>421</v>
      </c>
      <c r="E2439" t="s">
        <v>429</v>
      </c>
      <c r="F2439" t="s">
        <v>428</v>
      </c>
      <c r="G2439" t="s">
        <v>424</v>
      </c>
      <c r="H2439" t="s">
        <v>430</v>
      </c>
      <c r="I2439" t="s">
        <v>425</v>
      </c>
      <c r="J2439" t="s">
        <v>426</v>
      </c>
      <c r="L2439" t="s">
        <v>421</v>
      </c>
      <c r="M2439" t="s">
        <v>423</v>
      </c>
      <c r="N2439">
        <v>0</v>
      </c>
    </row>
    <row r="2440" spans="1:14" ht="15" customHeight="1" x14ac:dyDescent="0.25">
      <c r="A2440" s="82">
        <v>44715</v>
      </c>
      <c r="B2440" t="s">
        <v>455</v>
      </c>
      <c r="C2440" t="s">
        <v>424</v>
      </c>
      <c r="D2440" t="s">
        <v>429</v>
      </c>
      <c r="E2440" t="s">
        <v>426</v>
      </c>
      <c r="F2440" t="s">
        <v>424</v>
      </c>
      <c r="G2440" t="s">
        <v>425</v>
      </c>
      <c r="H2440" t="s">
        <v>421</v>
      </c>
      <c r="I2440" t="s">
        <v>425</v>
      </c>
      <c r="J2440" t="s">
        <v>427</v>
      </c>
      <c r="L2440" t="s">
        <v>421</v>
      </c>
      <c r="M2440" t="s">
        <v>428</v>
      </c>
      <c r="N2440">
        <v>0</v>
      </c>
    </row>
    <row r="2441" spans="1:14" ht="15" customHeight="1" x14ac:dyDescent="0.25">
      <c r="A2441" s="82">
        <v>44716</v>
      </c>
      <c r="B2441" t="s">
        <v>428</v>
      </c>
      <c r="C2441" t="s">
        <v>424</v>
      </c>
      <c r="D2441" t="s">
        <v>429</v>
      </c>
      <c r="E2441" t="s">
        <v>426</v>
      </c>
      <c r="F2441" t="s">
        <v>430</v>
      </c>
      <c r="G2441" t="s">
        <v>425</v>
      </c>
      <c r="H2441" t="s">
        <v>427</v>
      </c>
      <c r="I2441" t="s">
        <v>421</v>
      </c>
      <c r="J2441" t="s">
        <v>455</v>
      </c>
      <c r="L2441" t="s">
        <v>421</v>
      </c>
      <c r="M2441" t="s">
        <v>428</v>
      </c>
      <c r="N2441">
        <v>0</v>
      </c>
    </row>
    <row r="2442" spans="1:14" ht="15" customHeight="1" x14ac:dyDescent="0.25">
      <c r="A2442" s="82">
        <v>44717</v>
      </c>
      <c r="B2442" t="s">
        <v>428</v>
      </c>
      <c r="C2442" t="s">
        <v>424</v>
      </c>
      <c r="D2442" t="s">
        <v>429</v>
      </c>
      <c r="E2442" t="s">
        <v>426</v>
      </c>
      <c r="F2442" t="s">
        <v>430</v>
      </c>
      <c r="G2442" t="s">
        <v>425</v>
      </c>
      <c r="H2442" t="s">
        <v>455</v>
      </c>
      <c r="I2442" t="s">
        <v>421</v>
      </c>
      <c r="J2442" t="s">
        <v>427</v>
      </c>
      <c r="L2442" t="s">
        <v>421</v>
      </c>
      <c r="M2442" t="s">
        <v>428</v>
      </c>
      <c r="N2442">
        <v>0</v>
      </c>
    </row>
    <row r="2443" spans="1:14" ht="15" customHeight="1" x14ac:dyDescent="0.25">
      <c r="A2443" s="82">
        <v>44718</v>
      </c>
      <c r="B2443" t="s">
        <v>428</v>
      </c>
      <c r="C2443" t="s">
        <v>424</v>
      </c>
      <c r="D2443" t="s">
        <v>429</v>
      </c>
      <c r="E2443" t="s">
        <v>426</v>
      </c>
      <c r="F2443" t="s">
        <v>430</v>
      </c>
      <c r="G2443" t="s">
        <v>425</v>
      </c>
      <c r="H2443" t="s">
        <v>421</v>
      </c>
      <c r="I2443" t="s">
        <v>427</v>
      </c>
      <c r="J2443" t="s">
        <v>455</v>
      </c>
      <c r="L2443" t="s">
        <v>421</v>
      </c>
      <c r="M2443" t="s">
        <v>428</v>
      </c>
      <c r="N2443">
        <v>0</v>
      </c>
    </row>
    <row r="2444" spans="1:14" ht="15" customHeight="1" x14ac:dyDescent="0.25">
      <c r="A2444" s="82">
        <v>44719</v>
      </c>
      <c r="B2444" t="s">
        <v>428</v>
      </c>
      <c r="C2444" t="s">
        <v>424</v>
      </c>
      <c r="D2444" t="s">
        <v>429</v>
      </c>
      <c r="E2444" t="s">
        <v>426</v>
      </c>
      <c r="F2444" t="s">
        <v>430</v>
      </c>
      <c r="G2444" t="s">
        <v>425</v>
      </c>
      <c r="H2444" t="s">
        <v>427</v>
      </c>
      <c r="I2444" t="s">
        <v>455</v>
      </c>
      <c r="J2444" t="s">
        <v>421</v>
      </c>
      <c r="L2444" t="s">
        <v>423</v>
      </c>
      <c r="M2444" t="s">
        <v>421</v>
      </c>
      <c r="N2444">
        <v>0</v>
      </c>
    </row>
    <row r="2445" spans="1:14" ht="15" customHeight="1" x14ac:dyDescent="0.25">
      <c r="A2445" s="82">
        <v>44720</v>
      </c>
      <c r="B2445" t="s">
        <v>428</v>
      </c>
      <c r="C2445" t="s">
        <v>424</v>
      </c>
      <c r="D2445" t="s">
        <v>429</v>
      </c>
      <c r="E2445" t="s">
        <v>426</v>
      </c>
      <c r="F2445" t="s">
        <v>430</v>
      </c>
      <c r="G2445" t="s">
        <v>425</v>
      </c>
      <c r="H2445" t="s">
        <v>455</v>
      </c>
      <c r="I2445" t="s">
        <v>427</v>
      </c>
      <c r="J2445" t="s">
        <v>421</v>
      </c>
      <c r="L2445" t="s">
        <v>423</v>
      </c>
      <c r="M2445" t="s">
        <v>421</v>
      </c>
      <c r="N2445">
        <v>0</v>
      </c>
    </row>
    <row r="2446" spans="1:14" ht="15" customHeight="1" x14ac:dyDescent="0.25">
      <c r="A2446" s="82">
        <v>44721</v>
      </c>
      <c r="B2446" t="s">
        <v>428</v>
      </c>
      <c r="C2446" t="s">
        <v>424</v>
      </c>
      <c r="D2446" t="s">
        <v>429</v>
      </c>
      <c r="E2446" t="s">
        <v>426</v>
      </c>
      <c r="F2446" t="s">
        <v>430</v>
      </c>
      <c r="G2446" t="s">
        <v>425</v>
      </c>
      <c r="H2446" t="s">
        <v>421</v>
      </c>
      <c r="I2446" t="s">
        <v>455</v>
      </c>
      <c r="J2446" t="s">
        <v>427</v>
      </c>
      <c r="L2446" t="s">
        <v>423</v>
      </c>
      <c r="M2446" t="s">
        <v>421</v>
      </c>
      <c r="N2446">
        <v>0</v>
      </c>
    </row>
    <row r="2447" spans="1:14" ht="15" customHeight="1" x14ac:dyDescent="0.25">
      <c r="A2447" s="82">
        <v>44722</v>
      </c>
      <c r="B2447" t="s">
        <v>425</v>
      </c>
      <c r="C2447" t="s">
        <v>424</v>
      </c>
      <c r="D2447" t="s">
        <v>426</v>
      </c>
      <c r="E2447" t="s">
        <v>427</v>
      </c>
      <c r="F2447" t="s">
        <v>421</v>
      </c>
      <c r="G2447" t="s">
        <v>425</v>
      </c>
      <c r="H2447" t="s">
        <v>429</v>
      </c>
      <c r="I2447" t="s">
        <v>424</v>
      </c>
      <c r="J2447" t="s">
        <v>455</v>
      </c>
      <c r="L2447" t="s">
        <v>423</v>
      </c>
      <c r="M2447" t="s">
        <v>421</v>
      </c>
      <c r="N2447">
        <v>0</v>
      </c>
    </row>
    <row r="2448" spans="1:14" ht="15" customHeight="1" x14ac:dyDescent="0.25">
      <c r="A2448" s="82">
        <v>44723</v>
      </c>
      <c r="B2448" t="s">
        <v>425</v>
      </c>
      <c r="C2448" t="s">
        <v>430</v>
      </c>
      <c r="D2448" t="s">
        <v>426</v>
      </c>
      <c r="E2448" t="s">
        <v>455</v>
      </c>
      <c r="F2448" t="s">
        <v>427</v>
      </c>
      <c r="G2448" t="s">
        <v>421</v>
      </c>
      <c r="H2448" t="s">
        <v>429</v>
      </c>
      <c r="I2448" t="s">
        <v>424</v>
      </c>
      <c r="J2448" t="s">
        <v>428</v>
      </c>
      <c r="L2448" t="s">
        <v>423</v>
      </c>
      <c r="M2448" t="s">
        <v>421</v>
      </c>
      <c r="N2448">
        <v>0</v>
      </c>
    </row>
    <row r="2449" spans="1:14" ht="15" customHeight="1" x14ac:dyDescent="0.25">
      <c r="A2449" s="82">
        <v>44724</v>
      </c>
      <c r="B2449" t="s">
        <v>425</v>
      </c>
      <c r="C2449" t="s">
        <v>430</v>
      </c>
      <c r="D2449" t="s">
        <v>426</v>
      </c>
      <c r="E2449" t="s">
        <v>427</v>
      </c>
      <c r="F2449" t="s">
        <v>455</v>
      </c>
      <c r="G2449" t="s">
        <v>421</v>
      </c>
      <c r="H2449" t="s">
        <v>429</v>
      </c>
      <c r="I2449" t="s">
        <v>424</v>
      </c>
      <c r="J2449" t="s">
        <v>428</v>
      </c>
      <c r="L2449" t="s">
        <v>423</v>
      </c>
      <c r="M2449" t="s">
        <v>421</v>
      </c>
      <c r="N2449">
        <v>0</v>
      </c>
    </row>
    <row r="2450" spans="1:14" ht="15" customHeight="1" x14ac:dyDescent="0.25">
      <c r="A2450" s="82">
        <v>44725</v>
      </c>
      <c r="B2450" t="s">
        <v>425</v>
      </c>
      <c r="C2450" t="s">
        <v>430</v>
      </c>
      <c r="D2450" t="s">
        <v>426</v>
      </c>
      <c r="E2450" t="s">
        <v>455</v>
      </c>
      <c r="F2450" t="s">
        <v>421</v>
      </c>
      <c r="G2450" t="s">
        <v>427</v>
      </c>
      <c r="H2450" t="s">
        <v>429</v>
      </c>
      <c r="I2450" t="s">
        <v>424</v>
      </c>
      <c r="J2450" t="s">
        <v>428</v>
      </c>
      <c r="L2450" t="s">
        <v>421</v>
      </c>
      <c r="M2450" t="s">
        <v>423</v>
      </c>
      <c r="N2450">
        <v>0</v>
      </c>
    </row>
    <row r="2451" spans="1:14" ht="15" customHeight="1" x14ac:dyDescent="0.25">
      <c r="A2451" s="82">
        <v>44726</v>
      </c>
      <c r="B2451" t="s">
        <v>425</v>
      </c>
      <c r="C2451" t="s">
        <v>430</v>
      </c>
      <c r="D2451" t="s">
        <v>426</v>
      </c>
      <c r="E2451" t="s">
        <v>421</v>
      </c>
      <c r="F2451" t="s">
        <v>427</v>
      </c>
      <c r="G2451" t="s">
        <v>455</v>
      </c>
      <c r="H2451" t="s">
        <v>429</v>
      </c>
      <c r="I2451" t="s">
        <v>424</v>
      </c>
      <c r="J2451" t="s">
        <v>428</v>
      </c>
      <c r="L2451" t="s">
        <v>421</v>
      </c>
      <c r="M2451" t="s">
        <v>423</v>
      </c>
      <c r="N2451">
        <v>0</v>
      </c>
    </row>
    <row r="2452" spans="1:14" ht="15" customHeight="1" x14ac:dyDescent="0.25">
      <c r="A2452" s="82">
        <v>44727</v>
      </c>
      <c r="B2452" t="s">
        <v>425</v>
      </c>
      <c r="C2452" t="s">
        <v>430</v>
      </c>
      <c r="D2452" t="s">
        <v>426</v>
      </c>
      <c r="E2452" t="s">
        <v>421</v>
      </c>
      <c r="F2452" t="s">
        <v>455</v>
      </c>
      <c r="G2452" t="s">
        <v>427</v>
      </c>
      <c r="H2452" t="s">
        <v>429</v>
      </c>
      <c r="I2452" t="s">
        <v>424</v>
      </c>
      <c r="J2452" t="s">
        <v>428</v>
      </c>
      <c r="L2452" t="s">
        <v>421</v>
      </c>
      <c r="M2452" t="s">
        <v>423</v>
      </c>
      <c r="N2452">
        <v>0</v>
      </c>
    </row>
    <row r="2453" spans="1:14" ht="15" customHeight="1" x14ac:dyDescent="0.25">
      <c r="A2453" s="82">
        <v>44728</v>
      </c>
      <c r="B2453" t="s">
        <v>425</v>
      </c>
      <c r="C2453" t="s">
        <v>430</v>
      </c>
      <c r="D2453" t="s">
        <v>426</v>
      </c>
      <c r="E2453" t="s">
        <v>427</v>
      </c>
      <c r="F2453" t="s">
        <v>421</v>
      </c>
      <c r="G2453" t="s">
        <v>455</v>
      </c>
      <c r="H2453" t="s">
        <v>429</v>
      </c>
      <c r="I2453" t="s">
        <v>424</v>
      </c>
      <c r="J2453" t="s">
        <v>428</v>
      </c>
      <c r="L2453" t="s">
        <v>421</v>
      </c>
      <c r="M2453" t="s">
        <v>423</v>
      </c>
      <c r="N2453">
        <v>0</v>
      </c>
    </row>
    <row r="2454" spans="1:14" ht="15" customHeight="1" x14ac:dyDescent="0.25">
      <c r="A2454" s="82">
        <v>44729</v>
      </c>
      <c r="B2454" t="s">
        <v>425</v>
      </c>
      <c r="C2454" t="s">
        <v>421</v>
      </c>
      <c r="D2454" t="s">
        <v>427</v>
      </c>
      <c r="E2454" t="s">
        <v>455</v>
      </c>
      <c r="F2454" t="s">
        <v>424</v>
      </c>
      <c r="G2454" t="s">
        <v>514</v>
      </c>
      <c r="H2454" t="s">
        <v>426</v>
      </c>
      <c r="I2454" t="s">
        <v>424</v>
      </c>
      <c r="J2454" t="s">
        <v>425</v>
      </c>
      <c r="L2454" t="s">
        <v>423</v>
      </c>
      <c r="M2454" t="s">
        <v>421</v>
      </c>
      <c r="N2454">
        <v>0</v>
      </c>
    </row>
    <row r="2455" spans="1:14" ht="15" customHeight="1" x14ac:dyDescent="0.25">
      <c r="A2455" s="82">
        <v>44730</v>
      </c>
      <c r="B2455" t="s">
        <v>421</v>
      </c>
      <c r="C2455" t="s">
        <v>427</v>
      </c>
      <c r="D2455" t="s">
        <v>455</v>
      </c>
      <c r="E2455" t="s">
        <v>428</v>
      </c>
      <c r="F2455" t="s">
        <v>424</v>
      </c>
      <c r="G2455" t="s">
        <v>514</v>
      </c>
      <c r="H2455" t="s">
        <v>426</v>
      </c>
      <c r="I2455" t="s">
        <v>430</v>
      </c>
      <c r="J2455" t="s">
        <v>425</v>
      </c>
      <c r="L2455" t="s">
        <v>423</v>
      </c>
      <c r="M2455" t="s">
        <v>421</v>
      </c>
      <c r="N2455">
        <v>0</v>
      </c>
    </row>
    <row r="2456" spans="1:14" ht="15" customHeight="1" x14ac:dyDescent="0.25">
      <c r="A2456" s="82">
        <v>44731</v>
      </c>
      <c r="B2456" t="s">
        <v>421</v>
      </c>
      <c r="C2456" t="s">
        <v>455</v>
      </c>
      <c r="D2456" t="s">
        <v>427</v>
      </c>
      <c r="E2456" t="s">
        <v>428</v>
      </c>
      <c r="F2456" t="s">
        <v>424</v>
      </c>
      <c r="G2456" t="s">
        <v>514</v>
      </c>
      <c r="H2456" t="s">
        <v>426</v>
      </c>
      <c r="I2456" t="s">
        <v>430</v>
      </c>
      <c r="J2456" t="s">
        <v>425</v>
      </c>
      <c r="L2456" t="s">
        <v>423</v>
      </c>
      <c r="M2456" t="s">
        <v>421</v>
      </c>
      <c r="N2456">
        <v>0</v>
      </c>
    </row>
    <row r="2457" spans="1:14" ht="15" customHeight="1" x14ac:dyDescent="0.25">
      <c r="A2457" s="82">
        <v>44732</v>
      </c>
      <c r="B2457" t="s">
        <v>427</v>
      </c>
      <c r="C2457" t="s">
        <v>421</v>
      </c>
      <c r="D2457" t="s">
        <v>455</v>
      </c>
      <c r="E2457" t="s">
        <v>428</v>
      </c>
      <c r="F2457" t="s">
        <v>424</v>
      </c>
      <c r="G2457" t="s">
        <v>514</v>
      </c>
      <c r="H2457" t="s">
        <v>426</v>
      </c>
      <c r="I2457" t="s">
        <v>430</v>
      </c>
      <c r="J2457" t="s">
        <v>425</v>
      </c>
      <c r="L2457" t="s">
        <v>423</v>
      </c>
      <c r="M2457" t="s">
        <v>421</v>
      </c>
      <c r="N2457">
        <v>0</v>
      </c>
    </row>
    <row r="2458" spans="1:14" ht="15" customHeight="1" x14ac:dyDescent="0.25">
      <c r="A2458" s="82">
        <v>44733</v>
      </c>
      <c r="B2458" t="s">
        <v>455</v>
      </c>
      <c r="C2458" t="s">
        <v>427</v>
      </c>
      <c r="D2458" t="s">
        <v>421</v>
      </c>
      <c r="E2458" t="s">
        <v>428</v>
      </c>
      <c r="F2458" t="s">
        <v>424</v>
      </c>
      <c r="G2458" t="s">
        <v>514</v>
      </c>
      <c r="H2458" t="s">
        <v>426</v>
      </c>
      <c r="I2458" t="s">
        <v>430</v>
      </c>
      <c r="J2458" t="s">
        <v>425</v>
      </c>
      <c r="L2458" t="s">
        <v>423</v>
      </c>
      <c r="M2458" t="s">
        <v>421</v>
      </c>
      <c r="N2458">
        <v>0</v>
      </c>
    </row>
    <row r="2459" spans="1:14" ht="15" customHeight="1" x14ac:dyDescent="0.25">
      <c r="A2459" s="82">
        <v>44734</v>
      </c>
      <c r="B2459" t="s">
        <v>427</v>
      </c>
      <c r="C2459" t="s">
        <v>455</v>
      </c>
      <c r="D2459" t="s">
        <v>421</v>
      </c>
      <c r="E2459" t="s">
        <v>428</v>
      </c>
      <c r="F2459" t="s">
        <v>424</v>
      </c>
      <c r="G2459" t="s">
        <v>514</v>
      </c>
      <c r="H2459" t="s">
        <v>426</v>
      </c>
      <c r="I2459" t="s">
        <v>430</v>
      </c>
      <c r="J2459" t="s">
        <v>425</v>
      </c>
      <c r="L2459" t="s">
        <v>423</v>
      </c>
      <c r="M2459" t="s">
        <v>421</v>
      </c>
      <c r="N2459">
        <v>0</v>
      </c>
    </row>
    <row r="2460" spans="1:14" ht="15" customHeight="1" x14ac:dyDescent="0.25">
      <c r="A2460" s="82">
        <v>44735</v>
      </c>
      <c r="B2460" t="s">
        <v>455</v>
      </c>
      <c r="C2460" t="s">
        <v>517</v>
      </c>
      <c r="D2460" t="s">
        <v>427</v>
      </c>
      <c r="E2460" t="s">
        <v>428</v>
      </c>
      <c r="F2460" t="s">
        <v>424</v>
      </c>
      <c r="G2460" t="s">
        <v>514</v>
      </c>
      <c r="H2460" t="s">
        <v>426</v>
      </c>
      <c r="I2460" t="s">
        <v>430</v>
      </c>
      <c r="J2460" t="s">
        <v>425</v>
      </c>
      <c r="L2460" t="s">
        <v>421</v>
      </c>
      <c r="M2460" t="s">
        <v>423</v>
      </c>
      <c r="N2460">
        <v>0</v>
      </c>
    </row>
    <row r="2461" spans="1:14" ht="15" customHeight="1" x14ac:dyDescent="0.25">
      <c r="A2461" s="82">
        <v>44736</v>
      </c>
      <c r="B2461" t="s">
        <v>424</v>
      </c>
      <c r="C2461" t="s">
        <v>514</v>
      </c>
      <c r="D2461" t="s">
        <v>455</v>
      </c>
      <c r="E2461" t="s">
        <v>425</v>
      </c>
      <c r="F2461" t="s">
        <v>424</v>
      </c>
      <c r="G2461" t="s">
        <v>426</v>
      </c>
      <c r="H2461" t="s">
        <v>427</v>
      </c>
      <c r="I2461" t="s">
        <v>421</v>
      </c>
      <c r="J2461" t="s">
        <v>425</v>
      </c>
      <c r="L2461" t="s">
        <v>421</v>
      </c>
      <c r="M2461" t="s">
        <v>423</v>
      </c>
      <c r="N2461">
        <v>0</v>
      </c>
    </row>
    <row r="2462" spans="1:14" ht="15" customHeight="1" x14ac:dyDescent="0.25">
      <c r="A2462" s="82">
        <v>44737</v>
      </c>
      <c r="B2462" t="s">
        <v>424</v>
      </c>
      <c r="C2462" t="s">
        <v>514</v>
      </c>
      <c r="D2462" t="s">
        <v>428</v>
      </c>
      <c r="E2462" t="s">
        <v>425</v>
      </c>
      <c r="F2462" t="s">
        <v>430</v>
      </c>
      <c r="G2462" t="s">
        <v>426</v>
      </c>
      <c r="H2462" t="s">
        <v>455</v>
      </c>
      <c r="I2462" t="s">
        <v>427</v>
      </c>
      <c r="J2462" t="s">
        <v>421</v>
      </c>
      <c r="L2462" t="s">
        <v>421</v>
      </c>
      <c r="M2462" t="s">
        <v>423</v>
      </c>
      <c r="N2462">
        <v>0</v>
      </c>
    </row>
    <row r="2463" spans="1:14" ht="15" customHeight="1" x14ac:dyDescent="0.25">
      <c r="A2463" s="82">
        <v>44738</v>
      </c>
      <c r="B2463" t="s">
        <v>424</v>
      </c>
      <c r="C2463" t="s">
        <v>514</v>
      </c>
      <c r="D2463" t="s">
        <v>428</v>
      </c>
      <c r="E2463" t="s">
        <v>425</v>
      </c>
      <c r="F2463" t="s">
        <v>430</v>
      </c>
      <c r="G2463" t="s">
        <v>426</v>
      </c>
      <c r="H2463" t="s">
        <v>427</v>
      </c>
      <c r="I2463" t="s">
        <v>455</v>
      </c>
      <c r="J2463" t="s">
        <v>421</v>
      </c>
      <c r="L2463" t="s">
        <v>421</v>
      </c>
      <c r="M2463" t="s">
        <v>423</v>
      </c>
      <c r="N2463">
        <v>0</v>
      </c>
    </row>
    <row r="2464" spans="1:14" ht="15" customHeight="1" x14ac:dyDescent="0.25">
      <c r="A2464" s="82">
        <v>44739</v>
      </c>
      <c r="B2464" t="s">
        <v>424</v>
      </c>
      <c r="C2464" t="s">
        <v>514</v>
      </c>
      <c r="D2464" t="s">
        <v>428</v>
      </c>
      <c r="E2464" t="s">
        <v>425</v>
      </c>
      <c r="F2464" t="s">
        <v>430</v>
      </c>
      <c r="G2464" t="s">
        <v>426</v>
      </c>
      <c r="H2464" t="s">
        <v>455</v>
      </c>
      <c r="I2464" t="s">
        <v>421</v>
      </c>
      <c r="J2464" t="s">
        <v>427</v>
      </c>
      <c r="L2464" t="s">
        <v>421</v>
      </c>
      <c r="M2464" t="s">
        <v>423</v>
      </c>
      <c r="N2464">
        <v>0</v>
      </c>
    </row>
    <row r="2465" spans="1:14" ht="15" customHeight="1" x14ac:dyDescent="0.25">
      <c r="A2465" s="82">
        <v>44740</v>
      </c>
      <c r="B2465" t="s">
        <v>424</v>
      </c>
      <c r="C2465" t="s">
        <v>514</v>
      </c>
      <c r="D2465" t="s">
        <v>428</v>
      </c>
      <c r="E2465" t="s">
        <v>425</v>
      </c>
      <c r="F2465" t="s">
        <v>430</v>
      </c>
      <c r="G2465" t="s">
        <v>426</v>
      </c>
      <c r="H2465" t="s">
        <v>421</v>
      </c>
      <c r="I2465" t="s">
        <v>427</v>
      </c>
      <c r="J2465" t="s">
        <v>455</v>
      </c>
      <c r="L2465" t="s">
        <v>421</v>
      </c>
      <c r="M2465" t="s">
        <v>423</v>
      </c>
      <c r="N2465">
        <v>0</v>
      </c>
    </row>
    <row r="2466" spans="1:14" ht="15" customHeight="1" x14ac:dyDescent="0.25">
      <c r="A2466" s="82">
        <v>44741</v>
      </c>
      <c r="B2466" t="s">
        <v>424</v>
      </c>
      <c r="C2466" t="s">
        <v>514</v>
      </c>
      <c r="D2466" t="s">
        <v>428</v>
      </c>
      <c r="E2466" t="s">
        <v>425</v>
      </c>
      <c r="F2466" t="s">
        <v>430</v>
      </c>
      <c r="G2466" t="s">
        <v>426</v>
      </c>
      <c r="H2466" t="s">
        <v>421</v>
      </c>
      <c r="I2466" t="s">
        <v>455</v>
      </c>
      <c r="J2466" t="s">
        <v>427</v>
      </c>
      <c r="L2466" t="s">
        <v>423</v>
      </c>
      <c r="M2466" t="s">
        <v>421</v>
      </c>
      <c r="N2466">
        <v>0</v>
      </c>
    </row>
    <row r="2467" spans="1:14" ht="15" customHeight="1" x14ac:dyDescent="0.25">
      <c r="A2467" s="82">
        <v>44742</v>
      </c>
      <c r="B2467" t="s">
        <v>424</v>
      </c>
      <c r="C2467" t="s">
        <v>514</v>
      </c>
      <c r="D2467" t="s">
        <v>428</v>
      </c>
      <c r="E2467" t="s">
        <v>425</v>
      </c>
      <c r="F2467" t="s">
        <v>430</v>
      </c>
      <c r="G2467" t="s">
        <v>426</v>
      </c>
      <c r="H2467" t="s">
        <v>427</v>
      </c>
      <c r="I2467" t="s">
        <v>517</v>
      </c>
      <c r="J2467" t="s">
        <v>455</v>
      </c>
      <c r="L2467" t="s">
        <v>423</v>
      </c>
      <c r="M2467" t="s">
        <v>421</v>
      </c>
      <c r="N2467">
        <v>0</v>
      </c>
    </row>
    <row r="2468" spans="1:14" ht="15" customHeight="1" x14ac:dyDescent="0.25">
      <c r="A2468" s="82">
        <v>44743</v>
      </c>
      <c r="B2468" t="s">
        <v>424</v>
      </c>
      <c r="C2468" t="s">
        <v>426</v>
      </c>
      <c r="D2468" t="s">
        <v>425</v>
      </c>
      <c r="E2468" t="s">
        <v>425</v>
      </c>
      <c r="F2468" t="s">
        <v>421</v>
      </c>
      <c r="G2468" t="s">
        <v>427</v>
      </c>
      <c r="H2468" t="s">
        <v>455</v>
      </c>
      <c r="I2468" t="s">
        <v>514</v>
      </c>
      <c r="J2468" t="s">
        <v>516</v>
      </c>
      <c r="L2468" t="s">
        <v>428</v>
      </c>
      <c r="M2468" t="s">
        <v>421</v>
      </c>
      <c r="N2468">
        <v>0</v>
      </c>
    </row>
    <row r="2469" spans="1:14" ht="15" customHeight="1" x14ac:dyDescent="0.25">
      <c r="A2469" s="82">
        <v>44744</v>
      </c>
      <c r="B2469" t="s">
        <v>430</v>
      </c>
      <c r="C2469" t="s">
        <v>426</v>
      </c>
      <c r="D2469" t="s">
        <v>425</v>
      </c>
      <c r="E2469" t="s">
        <v>421</v>
      </c>
      <c r="F2469" t="s">
        <v>427</v>
      </c>
      <c r="G2469" t="s">
        <v>455</v>
      </c>
      <c r="H2469" t="s">
        <v>428</v>
      </c>
      <c r="I2469" t="s">
        <v>514</v>
      </c>
      <c r="J2469" t="s">
        <v>516</v>
      </c>
      <c r="L2469" t="s">
        <v>428</v>
      </c>
      <c r="M2469" t="s">
        <v>421</v>
      </c>
      <c r="N2469">
        <v>0</v>
      </c>
    </row>
    <row r="2470" spans="1:14" ht="15" customHeight="1" x14ac:dyDescent="0.25">
      <c r="A2470" s="82">
        <v>44745</v>
      </c>
      <c r="B2470" t="s">
        <v>430</v>
      </c>
      <c r="C2470" t="s">
        <v>426</v>
      </c>
      <c r="D2470" t="s">
        <v>425</v>
      </c>
      <c r="E2470" t="s">
        <v>421</v>
      </c>
      <c r="F2470" t="s">
        <v>455</v>
      </c>
      <c r="G2470" t="s">
        <v>427</v>
      </c>
      <c r="H2470" t="s">
        <v>428</v>
      </c>
      <c r="I2470" t="s">
        <v>514</v>
      </c>
      <c r="J2470" t="s">
        <v>516</v>
      </c>
      <c r="L2470" t="s">
        <v>428</v>
      </c>
      <c r="M2470" t="s">
        <v>421</v>
      </c>
      <c r="N2470">
        <v>0</v>
      </c>
    </row>
    <row r="2471" spans="1:14" ht="15" customHeight="1" x14ac:dyDescent="0.25">
      <c r="A2471" s="82">
        <v>44746</v>
      </c>
      <c r="B2471" t="s">
        <v>430</v>
      </c>
      <c r="C2471" t="s">
        <v>426</v>
      </c>
      <c r="D2471" t="s">
        <v>425</v>
      </c>
      <c r="E2471" t="s">
        <v>427</v>
      </c>
      <c r="F2471" t="s">
        <v>421</v>
      </c>
      <c r="G2471" t="s">
        <v>455</v>
      </c>
      <c r="H2471" t="s">
        <v>428</v>
      </c>
      <c r="I2471" t="s">
        <v>514</v>
      </c>
      <c r="J2471" t="s">
        <v>516</v>
      </c>
      <c r="L2471" t="s">
        <v>428</v>
      </c>
      <c r="M2471" t="s">
        <v>421</v>
      </c>
      <c r="N2471">
        <v>0</v>
      </c>
    </row>
    <row r="2472" spans="1:14" ht="15" customHeight="1" x14ac:dyDescent="0.25">
      <c r="A2472" s="82">
        <v>44747</v>
      </c>
      <c r="B2472" t="s">
        <v>430</v>
      </c>
      <c r="C2472" t="s">
        <v>426</v>
      </c>
      <c r="D2472" t="s">
        <v>425</v>
      </c>
      <c r="E2472" t="s">
        <v>455</v>
      </c>
      <c r="F2472" t="s">
        <v>427</v>
      </c>
      <c r="G2472" t="s">
        <v>421</v>
      </c>
      <c r="H2472" t="s">
        <v>428</v>
      </c>
      <c r="I2472" t="s">
        <v>514</v>
      </c>
      <c r="J2472" t="s">
        <v>516</v>
      </c>
      <c r="L2472" t="s">
        <v>421</v>
      </c>
      <c r="M2472" t="s">
        <v>423</v>
      </c>
      <c r="N2472">
        <v>0</v>
      </c>
    </row>
    <row r="2473" spans="1:14" ht="15" customHeight="1" x14ac:dyDescent="0.25">
      <c r="A2473" s="82">
        <v>44748</v>
      </c>
      <c r="B2473" t="s">
        <v>430</v>
      </c>
      <c r="C2473" t="s">
        <v>426</v>
      </c>
      <c r="D2473" t="s">
        <v>425</v>
      </c>
      <c r="E2473" t="s">
        <v>427</v>
      </c>
      <c r="F2473" t="s">
        <v>455</v>
      </c>
      <c r="G2473" t="s">
        <v>421</v>
      </c>
      <c r="H2473" t="s">
        <v>428</v>
      </c>
      <c r="I2473" t="s">
        <v>514</v>
      </c>
      <c r="J2473" t="s">
        <v>516</v>
      </c>
      <c r="L2473" t="s">
        <v>421</v>
      </c>
      <c r="M2473" t="s">
        <v>423</v>
      </c>
      <c r="N2473">
        <v>0</v>
      </c>
    </row>
    <row r="2474" spans="1:14" ht="15" customHeight="1" x14ac:dyDescent="0.25">
      <c r="A2474" s="82">
        <v>44749</v>
      </c>
      <c r="B2474" t="s">
        <v>430</v>
      </c>
      <c r="C2474" t="s">
        <v>426</v>
      </c>
      <c r="D2474" t="s">
        <v>425</v>
      </c>
      <c r="E2474" t="s">
        <v>455</v>
      </c>
      <c r="F2474" t="s">
        <v>517</v>
      </c>
      <c r="G2474" t="s">
        <v>427</v>
      </c>
      <c r="H2474" t="s">
        <v>428</v>
      </c>
      <c r="I2474" t="s">
        <v>514</v>
      </c>
      <c r="J2474" t="s">
        <v>516</v>
      </c>
      <c r="L2474" t="s">
        <v>421</v>
      </c>
      <c r="M2474" t="s">
        <v>423</v>
      </c>
      <c r="N2474">
        <v>0</v>
      </c>
    </row>
    <row r="2475" spans="1:14" ht="15" customHeight="1" x14ac:dyDescent="0.25">
      <c r="A2475" s="82">
        <v>44750</v>
      </c>
      <c r="B2475" t="s">
        <v>421</v>
      </c>
      <c r="C2475" t="s">
        <v>427</v>
      </c>
      <c r="D2475" t="s">
        <v>425</v>
      </c>
      <c r="E2475" t="s">
        <v>516</v>
      </c>
      <c r="F2475" t="s">
        <v>514</v>
      </c>
      <c r="G2475" t="s">
        <v>455</v>
      </c>
      <c r="H2475" t="s">
        <v>425</v>
      </c>
      <c r="I2475" t="s">
        <v>426</v>
      </c>
      <c r="J2475" t="s">
        <v>516</v>
      </c>
      <c r="L2475" t="s">
        <v>421</v>
      </c>
      <c r="M2475" t="s">
        <v>423</v>
      </c>
      <c r="N2475">
        <v>0</v>
      </c>
    </row>
    <row r="2476" spans="1:14" ht="15" customHeight="1" x14ac:dyDescent="0.25">
      <c r="A2476" s="82">
        <v>44751</v>
      </c>
      <c r="B2476" t="s">
        <v>427</v>
      </c>
      <c r="C2476" t="s">
        <v>455</v>
      </c>
      <c r="D2476" t="s">
        <v>421</v>
      </c>
      <c r="E2476" t="s">
        <v>516</v>
      </c>
      <c r="F2476" t="s">
        <v>514</v>
      </c>
      <c r="G2476" t="s">
        <v>428</v>
      </c>
      <c r="H2476" t="s">
        <v>425</v>
      </c>
      <c r="I2476" t="s">
        <v>426</v>
      </c>
      <c r="J2476" t="s">
        <v>430</v>
      </c>
      <c r="L2476" t="s">
        <v>421</v>
      </c>
      <c r="M2476" t="s">
        <v>423</v>
      </c>
      <c r="N2476">
        <v>0</v>
      </c>
    </row>
    <row r="2477" spans="1:14" ht="15" customHeight="1" x14ac:dyDescent="0.25">
      <c r="A2477" s="82">
        <v>44752</v>
      </c>
      <c r="B2477" t="s">
        <v>455</v>
      </c>
      <c r="C2477" t="s">
        <v>427</v>
      </c>
      <c r="D2477" t="s">
        <v>421</v>
      </c>
      <c r="E2477" t="s">
        <v>516</v>
      </c>
      <c r="F2477" t="s">
        <v>514</v>
      </c>
      <c r="G2477" t="s">
        <v>428</v>
      </c>
      <c r="H2477" t="s">
        <v>425</v>
      </c>
      <c r="I2477" t="s">
        <v>426</v>
      </c>
      <c r="J2477" t="s">
        <v>430</v>
      </c>
      <c r="L2477" t="s">
        <v>421</v>
      </c>
      <c r="M2477" t="s">
        <v>423</v>
      </c>
      <c r="N2477">
        <v>0</v>
      </c>
    </row>
    <row r="2478" spans="1:14" ht="15" customHeight="1" x14ac:dyDescent="0.25">
      <c r="A2478" s="82">
        <v>44753</v>
      </c>
      <c r="B2478" t="s">
        <v>421</v>
      </c>
      <c r="C2478" t="s">
        <v>455</v>
      </c>
      <c r="D2478" t="s">
        <v>427</v>
      </c>
      <c r="E2478" t="s">
        <v>516</v>
      </c>
      <c r="F2478" t="s">
        <v>514</v>
      </c>
      <c r="G2478" t="s">
        <v>428</v>
      </c>
      <c r="H2478" t="s">
        <v>425</v>
      </c>
      <c r="I2478" t="s">
        <v>426</v>
      </c>
      <c r="J2478" t="s">
        <v>430</v>
      </c>
      <c r="L2478" t="s">
        <v>423</v>
      </c>
      <c r="M2478" t="s">
        <v>421</v>
      </c>
      <c r="N2478">
        <v>0</v>
      </c>
    </row>
    <row r="2479" spans="1:14" ht="15" customHeight="1" x14ac:dyDescent="0.25">
      <c r="A2479" s="82">
        <v>44754</v>
      </c>
      <c r="B2479" t="s">
        <v>427</v>
      </c>
      <c r="C2479" t="s">
        <v>421</v>
      </c>
      <c r="D2479" t="s">
        <v>455</v>
      </c>
      <c r="E2479" t="s">
        <v>516</v>
      </c>
      <c r="F2479" t="s">
        <v>514</v>
      </c>
      <c r="G2479" t="s">
        <v>428</v>
      </c>
      <c r="H2479" t="s">
        <v>425</v>
      </c>
      <c r="I2479" t="s">
        <v>426</v>
      </c>
      <c r="J2479" t="s">
        <v>430</v>
      </c>
      <c r="L2479" t="s">
        <v>423</v>
      </c>
      <c r="M2479" t="s">
        <v>421</v>
      </c>
      <c r="N2479">
        <v>0</v>
      </c>
    </row>
    <row r="2480" spans="1:14" ht="15" customHeight="1" x14ac:dyDescent="0.25">
      <c r="A2480" s="82">
        <v>44755</v>
      </c>
      <c r="B2480" t="s">
        <v>455</v>
      </c>
      <c r="C2480" t="s">
        <v>421</v>
      </c>
      <c r="D2480" t="s">
        <v>427</v>
      </c>
      <c r="E2480" t="s">
        <v>516</v>
      </c>
      <c r="F2480" t="s">
        <v>514</v>
      </c>
      <c r="G2480" t="s">
        <v>428</v>
      </c>
      <c r="H2480" t="s">
        <v>425</v>
      </c>
      <c r="I2480" t="s">
        <v>426</v>
      </c>
      <c r="J2480" t="s">
        <v>430</v>
      </c>
      <c r="L2480" t="s">
        <v>423</v>
      </c>
      <c r="M2480" t="s">
        <v>421</v>
      </c>
      <c r="N2480">
        <v>0</v>
      </c>
    </row>
    <row r="2481" spans="1:14" ht="15" customHeight="1" x14ac:dyDescent="0.25">
      <c r="A2481" s="82">
        <v>44756</v>
      </c>
      <c r="B2481" t="s">
        <v>517</v>
      </c>
      <c r="C2481" t="s">
        <v>427</v>
      </c>
      <c r="D2481" t="s">
        <v>455</v>
      </c>
      <c r="E2481" t="s">
        <v>516</v>
      </c>
      <c r="F2481" t="s">
        <v>514</v>
      </c>
      <c r="G2481" t="s">
        <v>428</v>
      </c>
      <c r="H2481" t="s">
        <v>425</v>
      </c>
      <c r="I2481" t="s">
        <v>426</v>
      </c>
      <c r="J2481" t="s">
        <v>430</v>
      </c>
      <c r="L2481" t="s">
        <v>423</v>
      </c>
      <c r="M2481" t="s">
        <v>421</v>
      </c>
      <c r="N2481">
        <v>0</v>
      </c>
    </row>
    <row r="2482" spans="1:14" ht="15" customHeight="1" x14ac:dyDescent="0.25">
      <c r="A2482" s="82">
        <v>44757</v>
      </c>
      <c r="B2482" t="s">
        <v>514</v>
      </c>
      <c r="C2482" t="s">
        <v>455</v>
      </c>
      <c r="D2482" t="s">
        <v>516</v>
      </c>
      <c r="E2482" t="s">
        <v>516</v>
      </c>
      <c r="F2482" t="s">
        <v>426</v>
      </c>
      <c r="G2482" t="s">
        <v>425</v>
      </c>
      <c r="H2482" t="s">
        <v>425</v>
      </c>
      <c r="I2482" t="s">
        <v>427</v>
      </c>
      <c r="J2482" t="s">
        <v>421</v>
      </c>
      <c r="L2482" t="s">
        <v>421</v>
      </c>
      <c r="M2482" t="s">
        <v>423</v>
      </c>
      <c r="N2482">
        <v>0</v>
      </c>
    </row>
    <row r="2483" spans="1:14" ht="15" customHeight="1" x14ac:dyDescent="0.25">
      <c r="A2483" s="82">
        <v>44758</v>
      </c>
      <c r="B2483" t="s">
        <v>514</v>
      </c>
      <c r="C2483" t="s">
        <v>428</v>
      </c>
      <c r="D2483" t="s">
        <v>516</v>
      </c>
      <c r="E2483" t="s">
        <v>430</v>
      </c>
      <c r="F2483" t="s">
        <v>426</v>
      </c>
      <c r="G2483" t="s">
        <v>425</v>
      </c>
      <c r="H2483" t="s">
        <v>421</v>
      </c>
      <c r="I2483" t="s">
        <v>455</v>
      </c>
      <c r="J2483" t="s">
        <v>427</v>
      </c>
      <c r="L2483" t="s">
        <v>421</v>
      </c>
      <c r="M2483" t="s">
        <v>423</v>
      </c>
      <c r="N2483">
        <v>0</v>
      </c>
    </row>
    <row r="2484" spans="1:14" ht="15" customHeight="1" x14ac:dyDescent="0.25">
      <c r="A2484" s="82">
        <v>44759</v>
      </c>
      <c r="B2484" t="s">
        <v>514</v>
      </c>
      <c r="C2484" t="s">
        <v>428</v>
      </c>
      <c r="D2484" t="s">
        <v>516</v>
      </c>
      <c r="E2484" t="s">
        <v>430</v>
      </c>
      <c r="F2484" t="s">
        <v>426</v>
      </c>
      <c r="G2484" t="s">
        <v>425</v>
      </c>
      <c r="H2484" t="s">
        <v>421</v>
      </c>
      <c r="I2484" t="s">
        <v>427</v>
      </c>
      <c r="J2484" t="s">
        <v>455</v>
      </c>
      <c r="L2484" t="s">
        <v>421</v>
      </c>
      <c r="M2484" t="s">
        <v>423</v>
      </c>
      <c r="N2484">
        <v>0</v>
      </c>
    </row>
    <row r="2485" spans="1:14" ht="15" customHeight="1" x14ac:dyDescent="0.25">
      <c r="A2485" s="82">
        <v>44760</v>
      </c>
      <c r="B2485" t="s">
        <v>514</v>
      </c>
      <c r="C2485" t="s">
        <v>428</v>
      </c>
      <c r="D2485" t="s">
        <v>516</v>
      </c>
      <c r="E2485" t="s">
        <v>430</v>
      </c>
      <c r="F2485" t="s">
        <v>426</v>
      </c>
      <c r="G2485" t="s">
        <v>425</v>
      </c>
      <c r="H2485" t="s">
        <v>427</v>
      </c>
      <c r="I2485" t="s">
        <v>455</v>
      </c>
      <c r="J2485" t="s">
        <v>421</v>
      </c>
      <c r="L2485" t="s">
        <v>421</v>
      </c>
      <c r="M2485" t="s">
        <v>423</v>
      </c>
      <c r="N2485">
        <v>0</v>
      </c>
    </row>
    <row r="2486" spans="1:14" ht="15" customHeight="1" x14ac:dyDescent="0.25">
      <c r="A2486" s="82">
        <v>44761</v>
      </c>
      <c r="B2486" t="s">
        <v>514</v>
      </c>
      <c r="C2486" t="s">
        <v>428</v>
      </c>
      <c r="D2486" t="s">
        <v>516</v>
      </c>
      <c r="E2486" t="s">
        <v>430</v>
      </c>
      <c r="F2486" t="s">
        <v>426</v>
      </c>
      <c r="G2486" t="s">
        <v>425</v>
      </c>
      <c r="H2486" t="s">
        <v>455</v>
      </c>
      <c r="I2486" t="s">
        <v>421</v>
      </c>
      <c r="J2486" t="s">
        <v>427</v>
      </c>
      <c r="L2486" t="s">
        <v>421</v>
      </c>
      <c r="M2486" t="s">
        <v>423</v>
      </c>
      <c r="N2486">
        <v>0</v>
      </c>
    </row>
    <row r="2487" spans="1:14" ht="15" customHeight="1" x14ac:dyDescent="0.25">
      <c r="A2487" s="82">
        <v>44762</v>
      </c>
      <c r="B2487" t="s">
        <v>514</v>
      </c>
      <c r="C2487" t="s">
        <v>428</v>
      </c>
      <c r="D2487" t="s">
        <v>516</v>
      </c>
      <c r="E2487" t="s">
        <v>430</v>
      </c>
      <c r="F2487" t="s">
        <v>426</v>
      </c>
      <c r="G2487" t="s">
        <v>425</v>
      </c>
      <c r="H2487" t="s">
        <v>427</v>
      </c>
      <c r="I2487" t="s">
        <v>421</v>
      </c>
      <c r="J2487" t="s">
        <v>455</v>
      </c>
      <c r="L2487" t="s">
        <v>421</v>
      </c>
      <c r="M2487" t="s">
        <v>423</v>
      </c>
      <c r="N2487">
        <v>0</v>
      </c>
    </row>
    <row r="2488" spans="1:14" ht="15" customHeight="1" x14ac:dyDescent="0.25">
      <c r="A2488" s="82">
        <v>44763</v>
      </c>
      <c r="B2488" t="s">
        <v>514</v>
      </c>
      <c r="C2488" t="s">
        <v>428</v>
      </c>
      <c r="D2488" t="s">
        <v>516</v>
      </c>
      <c r="E2488" t="s">
        <v>430</v>
      </c>
      <c r="F2488" t="s">
        <v>426</v>
      </c>
      <c r="G2488" t="s">
        <v>425</v>
      </c>
      <c r="H2488" t="s">
        <v>455</v>
      </c>
      <c r="I2488" t="s">
        <v>427</v>
      </c>
      <c r="J2488" t="s">
        <v>517</v>
      </c>
      <c r="L2488" t="s">
        <v>423</v>
      </c>
      <c r="M2488" t="s">
        <v>421</v>
      </c>
      <c r="N2488">
        <v>0</v>
      </c>
    </row>
    <row r="2489" spans="1:14" ht="15" customHeight="1" x14ac:dyDescent="0.25">
      <c r="A2489" s="82">
        <v>44764</v>
      </c>
      <c r="B2489" t="s">
        <v>426</v>
      </c>
      <c r="C2489" t="s">
        <v>425</v>
      </c>
      <c r="D2489" t="s">
        <v>516</v>
      </c>
      <c r="E2489" t="s">
        <v>421</v>
      </c>
      <c r="F2489" t="s">
        <v>427</v>
      </c>
      <c r="G2489" t="s">
        <v>425</v>
      </c>
      <c r="H2489" t="s">
        <v>516</v>
      </c>
      <c r="I2489" t="s">
        <v>455</v>
      </c>
      <c r="J2489" t="s">
        <v>514</v>
      </c>
      <c r="L2489" t="s">
        <v>423</v>
      </c>
      <c r="M2489" t="s">
        <v>421</v>
      </c>
      <c r="N2489">
        <v>0</v>
      </c>
    </row>
    <row r="2490" spans="1:14" ht="15" customHeight="1" x14ac:dyDescent="0.25">
      <c r="A2490" s="82">
        <v>44765</v>
      </c>
      <c r="B2490" t="s">
        <v>426</v>
      </c>
      <c r="C2490" t="s">
        <v>425</v>
      </c>
      <c r="D2490" t="s">
        <v>430</v>
      </c>
      <c r="E2490" t="s">
        <v>427</v>
      </c>
      <c r="F2490" t="s">
        <v>455</v>
      </c>
      <c r="G2490" t="s">
        <v>421</v>
      </c>
      <c r="H2490" t="s">
        <v>516</v>
      </c>
      <c r="I2490" t="s">
        <v>428</v>
      </c>
      <c r="J2490" t="s">
        <v>514</v>
      </c>
      <c r="L2490" t="s">
        <v>423</v>
      </c>
      <c r="M2490" t="s">
        <v>421</v>
      </c>
      <c r="N2490">
        <v>0</v>
      </c>
    </row>
    <row r="2491" spans="1:14" ht="15" customHeight="1" x14ac:dyDescent="0.25">
      <c r="A2491" s="82">
        <v>44766</v>
      </c>
      <c r="B2491" t="s">
        <v>426</v>
      </c>
      <c r="C2491" t="s">
        <v>425</v>
      </c>
      <c r="D2491" t="s">
        <v>430</v>
      </c>
      <c r="E2491" t="s">
        <v>455</v>
      </c>
      <c r="F2491" t="s">
        <v>427</v>
      </c>
      <c r="G2491" t="s">
        <v>421</v>
      </c>
      <c r="H2491" t="s">
        <v>516</v>
      </c>
      <c r="I2491" t="s">
        <v>428</v>
      </c>
      <c r="J2491" t="s">
        <v>514</v>
      </c>
      <c r="L2491" t="s">
        <v>423</v>
      </c>
      <c r="M2491" t="s">
        <v>421</v>
      </c>
      <c r="N2491">
        <v>0</v>
      </c>
    </row>
    <row r="2492" spans="1:14" ht="15" customHeight="1" x14ac:dyDescent="0.25">
      <c r="A2492" s="82">
        <v>44767</v>
      </c>
      <c r="B2492" t="s">
        <v>426</v>
      </c>
      <c r="C2492" t="s">
        <v>425</v>
      </c>
      <c r="D2492" t="s">
        <v>430</v>
      </c>
      <c r="E2492" t="s">
        <v>421</v>
      </c>
      <c r="F2492" t="s">
        <v>455</v>
      </c>
      <c r="G2492" t="s">
        <v>427</v>
      </c>
      <c r="H2492" t="s">
        <v>516</v>
      </c>
      <c r="I2492" t="s">
        <v>428</v>
      </c>
      <c r="J2492" t="s">
        <v>514</v>
      </c>
      <c r="L2492" t="s">
        <v>423</v>
      </c>
      <c r="M2492" t="s">
        <v>421</v>
      </c>
      <c r="N2492">
        <v>0</v>
      </c>
    </row>
    <row r="2493" spans="1:14" ht="15" customHeight="1" x14ac:dyDescent="0.25">
      <c r="A2493" s="82">
        <v>44768</v>
      </c>
      <c r="B2493" t="s">
        <v>426</v>
      </c>
      <c r="C2493" t="s">
        <v>425</v>
      </c>
      <c r="D2493" t="s">
        <v>430</v>
      </c>
      <c r="E2493" t="s">
        <v>427</v>
      </c>
      <c r="F2493" t="s">
        <v>421</v>
      </c>
      <c r="G2493" t="s">
        <v>455</v>
      </c>
      <c r="H2493" t="s">
        <v>516</v>
      </c>
      <c r="I2493" t="s">
        <v>428</v>
      </c>
      <c r="J2493" t="s">
        <v>514</v>
      </c>
      <c r="L2493" t="s">
        <v>423</v>
      </c>
      <c r="M2493" t="s">
        <v>421</v>
      </c>
      <c r="N2493">
        <v>0</v>
      </c>
    </row>
    <row r="2494" spans="1:14" ht="15" customHeight="1" x14ac:dyDescent="0.25">
      <c r="A2494" s="82">
        <v>44769</v>
      </c>
      <c r="B2494" t="s">
        <v>426</v>
      </c>
      <c r="C2494" t="s">
        <v>425</v>
      </c>
      <c r="D2494" t="s">
        <v>430</v>
      </c>
      <c r="E2494" t="s">
        <v>455</v>
      </c>
      <c r="F2494" t="s">
        <v>421</v>
      </c>
      <c r="G2494" t="s">
        <v>427</v>
      </c>
      <c r="H2494" t="s">
        <v>516</v>
      </c>
      <c r="I2494" t="s">
        <v>428</v>
      </c>
      <c r="J2494" t="s">
        <v>514</v>
      </c>
      <c r="L2494" t="s">
        <v>421</v>
      </c>
      <c r="M2494" t="s">
        <v>423</v>
      </c>
      <c r="N2494">
        <v>0</v>
      </c>
    </row>
    <row r="2495" spans="1:14" ht="15" customHeight="1" x14ac:dyDescent="0.25">
      <c r="A2495" s="82">
        <v>44770</v>
      </c>
      <c r="B2495" t="s">
        <v>426</v>
      </c>
      <c r="C2495" t="s">
        <v>425</v>
      </c>
      <c r="D2495" t="s">
        <v>430</v>
      </c>
      <c r="E2495" t="s">
        <v>517</v>
      </c>
      <c r="F2495" t="s">
        <v>427</v>
      </c>
      <c r="G2495" t="s">
        <v>455</v>
      </c>
      <c r="H2495" t="s">
        <v>516</v>
      </c>
      <c r="I2495" t="s">
        <v>428</v>
      </c>
      <c r="J2495" t="s">
        <v>514</v>
      </c>
      <c r="L2495" t="s">
        <v>421</v>
      </c>
      <c r="M2495" t="s">
        <v>423</v>
      </c>
      <c r="N2495">
        <v>0</v>
      </c>
    </row>
    <row r="2496" spans="1:14" ht="15" customHeight="1" x14ac:dyDescent="0.25">
      <c r="A2496" s="82">
        <v>44771</v>
      </c>
      <c r="B2496" t="s">
        <v>427</v>
      </c>
      <c r="C2496" t="s">
        <v>425</v>
      </c>
      <c r="D2496" t="s">
        <v>421</v>
      </c>
      <c r="E2496" t="s">
        <v>514</v>
      </c>
      <c r="F2496" t="s">
        <v>455</v>
      </c>
      <c r="G2496" t="s">
        <v>516</v>
      </c>
      <c r="H2496" t="s">
        <v>516</v>
      </c>
      <c r="I2496" t="s">
        <v>425</v>
      </c>
      <c r="J2496" t="s">
        <v>426</v>
      </c>
      <c r="L2496" t="s">
        <v>421</v>
      </c>
      <c r="M2496" t="s">
        <v>428</v>
      </c>
      <c r="N2496">
        <v>0</v>
      </c>
    </row>
    <row r="2497" spans="1:14" ht="15" customHeight="1" x14ac:dyDescent="0.25">
      <c r="A2497" s="82">
        <v>44772</v>
      </c>
      <c r="B2497" t="s">
        <v>455</v>
      </c>
      <c r="C2497" t="s">
        <v>421</v>
      </c>
      <c r="D2497" t="s">
        <v>427</v>
      </c>
      <c r="E2497" t="s">
        <v>514</v>
      </c>
      <c r="F2497" t="s">
        <v>428</v>
      </c>
      <c r="G2497" t="s">
        <v>516</v>
      </c>
      <c r="H2497" t="s">
        <v>430</v>
      </c>
      <c r="I2497" t="s">
        <v>425</v>
      </c>
      <c r="J2497" t="s">
        <v>426</v>
      </c>
      <c r="L2497" t="s">
        <v>421</v>
      </c>
      <c r="M2497" t="s">
        <v>428</v>
      </c>
      <c r="N2497">
        <v>0</v>
      </c>
    </row>
    <row r="2498" spans="1:14" ht="15" customHeight="1" x14ac:dyDescent="0.25">
      <c r="A2498" s="82">
        <v>44773</v>
      </c>
      <c r="B2498" t="s">
        <v>427</v>
      </c>
      <c r="C2498" t="s">
        <v>421</v>
      </c>
      <c r="D2498" t="s">
        <v>455</v>
      </c>
      <c r="E2498" t="s">
        <v>514</v>
      </c>
      <c r="F2498" t="s">
        <v>428</v>
      </c>
      <c r="G2498" t="s">
        <v>516</v>
      </c>
      <c r="H2498" t="s">
        <v>430</v>
      </c>
      <c r="I2498" t="s">
        <v>425</v>
      </c>
      <c r="J2498" t="s">
        <v>426</v>
      </c>
      <c r="L2498" t="s">
        <v>421</v>
      </c>
      <c r="M2498" t="s">
        <v>428</v>
      </c>
      <c r="N2498">
        <v>0</v>
      </c>
    </row>
    <row r="2499" spans="1:14" ht="15" customHeight="1" x14ac:dyDescent="0.25">
      <c r="A2499" s="82">
        <v>44774</v>
      </c>
      <c r="B2499" t="s">
        <v>455</v>
      </c>
      <c r="C2499" t="s">
        <v>427</v>
      </c>
      <c r="D2499" t="s">
        <v>421</v>
      </c>
      <c r="E2499" t="s">
        <v>514</v>
      </c>
      <c r="F2499" t="s">
        <v>428</v>
      </c>
      <c r="G2499" t="s">
        <v>516</v>
      </c>
      <c r="H2499" t="s">
        <v>430</v>
      </c>
      <c r="I2499" t="s">
        <v>425</v>
      </c>
      <c r="J2499" t="s">
        <v>426</v>
      </c>
      <c r="L2499" t="s">
        <v>421</v>
      </c>
      <c r="M2499" t="s">
        <v>428</v>
      </c>
      <c r="N2499">
        <v>0</v>
      </c>
    </row>
    <row r="2500" spans="1:14" ht="15" customHeight="1" x14ac:dyDescent="0.25">
      <c r="A2500" s="82">
        <v>44775</v>
      </c>
      <c r="B2500" t="s">
        <v>421</v>
      </c>
      <c r="C2500" t="s">
        <v>455</v>
      </c>
      <c r="D2500" t="s">
        <v>427</v>
      </c>
      <c r="E2500" t="s">
        <v>514</v>
      </c>
      <c r="F2500" t="s">
        <v>428</v>
      </c>
      <c r="G2500" t="s">
        <v>516</v>
      </c>
      <c r="H2500" t="s">
        <v>430</v>
      </c>
      <c r="I2500" t="s">
        <v>425</v>
      </c>
      <c r="J2500" t="s">
        <v>426</v>
      </c>
      <c r="L2500" t="s">
        <v>423</v>
      </c>
      <c r="M2500" t="s">
        <v>421</v>
      </c>
      <c r="N2500">
        <v>0</v>
      </c>
    </row>
    <row r="2501" spans="1:14" ht="15" customHeight="1" x14ac:dyDescent="0.25">
      <c r="A2501" s="82">
        <v>44776</v>
      </c>
      <c r="B2501" t="s">
        <v>421</v>
      </c>
      <c r="C2501" t="s">
        <v>427</v>
      </c>
      <c r="D2501" t="s">
        <v>455</v>
      </c>
      <c r="E2501" t="s">
        <v>514</v>
      </c>
      <c r="F2501" t="s">
        <v>428</v>
      </c>
      <c r="G2501" t="s">
        <v>516</v>
      </c>
      <c r="H2501" t="s">
        <v>430</v>
      </c>
      <c r="I2501" t="s">
        <v>425</v>
      </c>
      <c r="J2501" t="s">
        <v>426</v>
      </c>
      <c r="L2501" t="s">
        <v>423</v>
      </c>
      <c r="M2501" t="s">
        <v>421</v>
      </c>
      <c r="N2501">
        <v>0</v>
      </c>
    </row>
    <row r="2502" spans="1:14" ht="15" customHeight="1" x14ac:dyDescent="0.25">
      <c r="A2502" s="82">
        <v>44777</v>
      </c>
      <c r="B2502" t="s">
        <v>427</v>
      </c>
      <c r="C2502" t="s">
        <v>455</v>
      </c>
      <c r="D2502" t="s">
        <v>517</v>
      </c>
      <c r="E2502" t="s">
        <v>514</v>
      </c>
      <c r="F2502" t="s">
        <v>428</v>
      </c>
      <c r="G2502" t="s">
        <v>516</v>
      </c>
      <c r="H2502" t="s">
        <v>430</v>
      </c>
      <c r="I2502" t="s">
        <v>425</v>
      </c>
      <c r="J2502" t="s">
        <v>426</v>
      </c>
      <c r="L2502" t="s">
        <v>423</v>
      </c>
      <c r="M2502" t="s">
        <v>421</v>
      </c>
      <c r="N2502">
        <v>0</v>
      </c>
    </row>
    <row r="2503" spans="1:14" ht="15" customHeight="1" x14ac:dyDescent="0.25">
      <c r="A2503" s="82">
        <v>44778</v>
      </c>
      <c r="B2503" t="s">
        <v>455</v>
      </c>
      <c r="C2503" t="s">
        <v>516</v>
      </c>
      <c r="D2503" t="s">
        <v>514</v>
      </c>
      <c r="E2503" t="s">
        <v>426</v>
      </c>
      <c r="F2503" t="s">
        <v>425</v>
      </c>
      <c r="G2503" t="s">
        <v>516</v>
      </c>
      <c r="H2503" t="s">
        <v>421</v>
      </c>
      <c r="I2503" t="s">
        <v>425</v>
      </c>
      <c r="J2503" t="s">
        <v>427</v>
      </c>
      <c r="L2503" t="s">
        <v>423</v>
      </c>
      <c r="M2503" t="s">
        <v>421</v>
      </c>
      <c r="N2503">
        <v>0</v>
      </c>
    </row>
    <row r="2504" spans="1:14" ht="15" customHeight="1" x14ac:dyDescent="0.25">
      <c r="A2504" s="82">
        <v>44779</v>
      </c>
      <c r="B2504" t="s">
        <v>428</v>
      </c>
      <c r="C2504" t="s">
        <v>516</v>
      </c>
      <c r="D2504" t="s">
        <v>514</v>
      </c>
      <c r="E2504" t="s">
        <v>426</v>
      </c>
      <c r="F2504" t="s">
        <v>425</v>
      </c>
      <c r="G2504" t="s">
        <v>430</v>
      </c>
      <c r="H2504" t="s">
        <v>427</v>
      </c>
      <c r="I2504" t="s">
        <v>421</v>
      </c>
      <c r="J2504" t="s">
        <v>455</v>
      </c>
      <c r="L2504" t="s">
        <v>423</v>
      </c>
      <c r="M2504" t="s">
        <v>421</v>
      </c>
      <c r="N2504">
        <v>0</v>
      </c>
    </row>
    <row r="2505" spans="1:14" ht="15" customHeight="1" x14ac:dyDescent="0.25">
      <c r="A2505" s="82">
        <v>44780</v>
      </c>
      <c r="B2505" t="s">
        <v>428</v>
      </c>
      <c r="C2505" t="s">
        <v>516</v>
      </c>
      <c r="D2505" t="s">
        <v>514</v>
      </c>
      <c r="E2505" t="s">
        <v>426</v>
      </c>
      <c r="F2505" t="s">
        <v>425</v>
      </c>
      <c r="G2505" t="s">
        <v>430</v>
      </c>
      <c r="H2505" t="s">
        <v>455</v>
      </c>
      <c r="I2505" t="s">
        <v>421</v>
      </c>
      <c r="J2505" t="s">
        <v>427</v>
      </c>
      <c r="L2505" t="s">
        <v>423</v>
      </c>
      <c r="M2505" t="s">
        <v>421</v>
      </c>
      <c r="N2505">
        <v>0</v>
      </c>
    </row>
    <row r="2506" spans="1:14" ht="15" customHeight="1" x14ac:dyDescent="0.25">
      <c r="A2506" s="82">
        <v>44781</v>
      </c>
      <c r="B2506" t="s">
        <v>428</v>
      </c>
      <c r="C2506" t="s">
        <v>516</v>
      </c>
      <c r="D2506" t="s">
        <v>514</v>
      </c>
      <c r="E2506" t="s">
        <v>426</v>
      </c>
      <c r="F2506" t="s">
        <v>425</v>
      </c>
      <c r="G2506" t="s">
        <v>430</v>
      </c>
      <c r="H2506" t="s">
        <v>421</v>
      </c>
      <c r="I2506" t="s">
        <v>427</v>
      </c>
      <c r="J2506" t="s">
        <v>455</v>
      </c>
      <c r="L2506" t="s">
        <v>421</v>
      </c>
      <c r="M2506" t="s">
        <v>423</v>
      </c>
      <c r="N2506">
        <v>0</v>
      </c>
    </row>
    <row r="2507" spans="1:14" ht="15" customHeight="1" x14ac:dyDescent="0.25">
      <c r="A2507" s="82">
        <v>44782</v>
      </c>
      <c r="B2507" t="s">
        <v>428</v>
      </c>
      <c r="C2507" t="s">
        <v>516</v>
      </c>
      <c r="D2507" t="s">
        <v>514</v>
      </c>
      <c r="E2507" t="s">
        <v>426</v>
      </c>
      <c r="F2507" t="s">
        <v>425</v>
      </c>
      <c r="G2507" t="s">
        <v>430</v>
      </c>
      <c r="H2507" t="s">
        <v>427</v>
      </c>
      <c r="I2507" t="s">
        <v>455</v>
      </c>
      <c r="J2507" t="s">
        <v>421</v>
      </c>
      <c r="L2507" t="s">
        <v>421</v>
      </c>
      <c r="M2507" t="s">
        <v>423</v>
      </c>
      <c r="N2507">
        <v>0</v>
      </c>
    </row>
    <row r="2508" spans="1:14" ht="15" customHeight="1" x14ac:dyDescent="0.25">
      <c r="A2508" s="82">
        <v>44783</v>
      </c>
      <c r="B2508" t="s">
        <v>428</v>
      </c>
      <c r="C2508" t="s">
        <v>516</v>
      </c>
      <c r="D2508" t="s">
        <v>514</v>
      </c>
      <c r="E2508" t="s">
        <v>426</v>
      </c>
      <c r="F2508" t="s">
        <v>425</v>
      </c>
      <c r="G2508" t="s">
        <v>430</v>
      </c>
      <c r="H2508" t="s">
        <v>455</v>
      </c>
      <c r="I2508" t="s">
        <v>427</v>
      </c>
      <c r="J2508" t="s">
        <v>421</v>
      </c>
      <c r="L2508" t="s">
        <v>421</v>
      </c>
      <c r="M2508" t="s">
        <v>423</v>
      </c>
      <c r="N2508">
        <v>0</v>
      </c>
    </row>
    <row r="2509" spans="1:14" ht="15" customHeight="1" x14ac:dyDescent="0.25">
      <c r="A2509" s="82">
        <v>44784</v>
      </c>
      <c r="B2509" t="s">
        <v>428</v>
      </c>
      <c r="C2509" t="s">
        <v>516</v>
      </c>
      <c r="D2509" t="s">
        <v>514</v>
      </c>
      <c r="E2509" t="s">
        <v>426</v>
      </c>
      <c r="F2509" t="s">
        <v>425</v>
      </c>
      <c r="G2509" t="s">
        <v>430</v>
      </c>
      <c r="H2509" t="s">
        <v>517</v>
      </c>
      <c r="I2509" t="s">
        <v>455</v>
      </c>
      <c r="J2509" t="s">
        <v>427</v>
      </c>
      <c r="L2509" t="s">
        <v>421</v>
      </c>
      <c r="M2509" t="s">
        <v>423</v>
      </c>
      <c r="N2509">
        <v>0</v>
      </c>
    </row>
    <row r="2510" spans="1:14" ht="15" customHeight="1" x14ac:dyDescent="0.25">
      <c r="A2510" s="82">
        <v>44785</v>
      </c>
      <c r="B2510" t="s">
        <v>425</v>
      </c>
      <c r="C2510" t="s">
        <v>516</v>
      </c>
      <c r="D2510" t="s">
        <v>426</v>
      </c>
      <c r="E2510" t="s">
        <v>427</v>
      </c>
      <c r="F2510" t="s">
        <v>425</v>
      </c>
      <c r="G2510" t="s">
        <v>421</v>
      </c>
      <c r="H2510" t="s">
        <v>514</v>
      </c>
      <c r="I2510" t="s">
        <v>516</v>
      </c>
      <c r="J2510" t="s">
        <v>455</v>
      </c>
      <c r="L2510" t="s">
        <v>423</v>
      </c>
      <c r="M2510" t="s">
        <v>421</v>
      </c>
      <c r="N2510">
        <v>0</v>
      </c>
    </row>
    <row r="2511" spans="1:14" ht="15" customHeight="1" x14ac:dyDescent="0.25">
      <c r="A2511" s="82">
        <v>44786</v>
      </c>
      <c r="B2511" t="s">
        <v>425</v>
      </c>
      <c r="C2511" t="s">
        <v>430</v>
      </c>
      <c r="D2511" t="s">
        <v>426</v>
      </c>
      <c r="E2511" t="s">
        <v>455</v>
      </c>
      <c r="F2511" t="s">
        <v>421</v>
      </c>
      <c r="G2511" t="s">
        <v>427</v>
      </c>
      <c r="H2511" t="s">
        <v>514</v>
      </c>
      <c r="I2511" t="s">
        <v>516</v>
      </c>
      <c r="J2511" t="s">
        <v>428</v>
      </c>
      <c r="L2511" t="s">
        <v>423</v>
      </c>
      <c r="M2511" t="s">
        <v>421</v>
      </c>
      <c r="N2511">
        <v>0</v>
      </c>
    </row>
    <row r="2512" spans="1:14" ht="15" customHeight="1" x14ac:dyDescent="0.25">
      <c r="A2512" s="82">
        <v>44787</v>
      </c>
      <c r="B2512" t="s">
        <v>425</v>
      </c>
      <c r="C2512" t="s">
        <v>430</v>
      </c>
      <c r="D2512" t="s">
        <v>426</v>
      </c>
      <c r="E2512" t="s">
        <v>427</v>
      </c>
      <c r="F2512" t="s">
        <v>421</v>
      </c>
      <c r="G2512" t="s">
        <v>455</v>
      </c>
      <c r="H2512" t="s">
        <v>514</v>
      </c>
      <c r="I2512" t="s">
        <v>516</v>
      </c>
      <c r="J2512" t="s">
        <v>428</v>
      </c>
      <c r="L2512" t="s">
        <v>423</v>
      </c>
      <c r="M2512" t="s">
        <v>421</v>
      </c>
      <c r="N2512">
        <v>0</v>
      </c>
    </row>
    <row r="2513" spans="1:14" ht="15" customHeight="1" x14ac:dyDescent="0.25">
      <c r="A2513" s="82">
        <v>44788</v>
      </c>
      <c r="B2513" t="s">
        <v>425</v>
      </c>
      <c r="C2513" t="s">
        <v>430</v>
      </c>
      <c r="D2513" t="s">
        <v>426</v>
      </c>
      <c r="E2513" t="s">
        <v>455</v>
      </c>
      <c r="F2513" t="s">
        <v>427</v>
      </c>
      <c r="G2513" t="s">
        <v>421</v>
      </c>
      <c r="H2513" t="s">
        <v>514</v>
      </c>
      <c r="I2513" t="s">
        <v>516</v>
      </c>
      <c r="J2513" t="s">
        <v>428</v>
      </c>
      <c r="L2513" t="s">
        <v>423</v>
      </c>
      <c r="M2513" t="s">
        <v>421</v>
      </c>
      <c r="N2513">
        <v>0</v>
      </c>
    </row>
    <row r="2514" spans="1:14" ht="15" customHeight="1" x14ac:dyDescent="0.25">
      <c r="A2514" s="82">
        <v>44789</v>
      </c>
      <c r="B2514" t="s">
        <v>425</v>
      </c>
      <c r="C2514" t="s">
        <v>430</v>
      </c>
      <c r="D2514" t="s">
        <v>426</v>
      </c>
      <c r="E2514" t="s">
        <v>421</v>
      </c>
      <c r="F2514" t="s">
        <v>455</v>
      </c>
      <c r="G2514" t="s">
        <v>427</v>
      </c>
      <c r="H2514" t="s">
        <v>514</v>
      </c>
      <c r="I2514" t="s">
        <v>516</v>
      </c>
      <c r="J2514" t="s">
        <v>428</v>
      </c>
      <c r="L2514" t="s">
        <v>423</v>
      </c>
      <c r="M2514" t="s">
        <v>421</v>
      </c>
      <c r="N2514">
        <v>0</v>
      </c>
    </row>
    <row r="2515" spans="1:14" ht="15" customHeight="1" x14ac:dyDescent="0.25">
      <c r="A2515" s="82">
        <v>44790</v>
      </c>
      <c r="B2515" t="s">
        <v>425</v>
      </c>
      <c r="C2515" t="s">
        <v>430</v>
      </c>
      <c r="D2515" t="s">
        <v>426</v>
      </c>
      <c r="E2515" t="s">
        <v>421</v>
      </c>
      <c r="F2515" t="s">
        <v>427</v>
      </c>
      <c r="G2515" t="s">
        <v>455</v>
      </c>
      <c r="H2515" t="s">
        <v>514</v>
      </c>
      <c r="I2515" t="s">
        <v>516</v>
      </c>
      <c r="J2515" t="s">
        <v>428</v>
      </c>
      <c r="L2515" t="s">
        <v>423</v>
      </c>
      <c r="M2515" t="s">
        <v>421</v>
      </c>
      <c r="N2515">
        <v>0</v>
      </c>
    </row>
    <row r="2516" spans="1:14" ht="15" customHeight="1" x14ac:dyDescent="0.25">
      <c r="A2516" s="82">
        <v>44791</v>
      </c>
      <c r="B2516" t="s">
        <v>425</v>
      </c>
      <c r="C2516" t="s">
        <v>430</v>
      </c>
      <c r="D2516" t="s">
        <v>426</v>
      </c>
      <c r="E2516" t="s">
        <v>427</v>
      </c>
      <c r="F2516" t="s">
        <v>455</v>
      </c>
      <c r="G2516" t="s">
        <v>517</v>
      </c>
      <c r="H2516" t="s">
        <v>514</v>
      </c>
      <c r="I2516" t="s">
        <v>516</v>
      </c>
      <c r="J2516" t="s">
        <v>428</v>
      </c>
      <c r="L2516" t="s">
        <v>421</v>
      </c>
      <c r="M2516" t="s">
        <v>423</v>
      </c>
      <c r="N2516">
        <v>0</v>
      </c>
    </row>
    <row r="2517" spans="1:14" ht="15" customHeight="1" x14ac:dyDescent="0.25">
      <c r="A2517" s="82">
        <v>44792</v>
      </c>
      <c r="B2517" t="s">
        <v>425</v>
      </c>
      <c r="C2517" t="s">
        <v>421</v>
      </c>
      <c r="D2517" t="s">
        <v>427</v>
      </c>
      <c r="E2517" t="s">
        <v>455</v>
      </c>
      <c r="F2517" t="s">
        <v>516</v>
      </c>
      <c r="G2517" t="s">
        <v>514</v>
      </c>
      <c r="H2517" t="s">
        <v>426</v>
      </c>
      <c r="I2517" t="s">
        <v>516</v>
      </c>
      <c r="J2517" t="s">
        <v>425</v>
      </c>
      <c r="L2517" t="s">
        <v>421</v>
      </c>
      <c r="M2517" t="s">
        <v>423</v>
      </c>
      <c r="N2517">
        <v>0</v>
      </c>
    </row>
    <row r="2518" spans="1:14" ht="15" customHeight="1" x14ac:dyDescent="0.25">
      <c r="A2518" s="82">
        <v>44793</v>
      </c>
      <c r="B2518" t="s">
        <v>421</v>
      </c>
      <c r="C2518" t="s">
        <v>427</v>
      </c>
      <c r="D2518" t="s">
        <v>455</v>
      </c>
      <c r="E2518" t="s">
        <v>428</v>
      </c>
      <c r="F2518" t="s">
        <v>516</v>
      </c>
      <c r="G2518" t="s">
        <v>514</v>
      </c>
      <c r="H2518" t="s">
        <v>426</v>
      </c>
      <c r="I2518" t="s">
        <v>430</v>
      </c>
      <c r="J2518" t="s">
        <v>425</v>
      </c>
      <c r="L2518" t="s">
        <v>421</v>
      </c>
      <c r="M2518" t="s">
        <v>423</v>
      </c>
      <c r="N2518">
        <v>0</v>
      </c>
    </row>
    <row r="2519" spans="1:14" ht="15" customHeight="1" x14ac:dyDescent="0.25">
      <c r="A2519" s="82">
        <v>44794</v>
      </c>
      <c r="B2519" t="s">
        <v>421</v>
      </c>
      <c r="C2519" t="s">
        <v>455</v>
      </c>
      <c r="D2519" t="s">
        <v>427</v>
      </c>
      <c r="E2519" t="s">
        <v>428</v>
      </c>
      <c r="F2519" t="s">
        <v>516</v>
      </c>
      <c r="G2519" t="s">
        <v>514</v>
      </c>
      <c r="H2519" t="s">
        <v>426</v>
      </c>
      <c r="I2519" t="s">
        <v>430</v>
      </c>
      <c r="J2519" t="s">
        <v>425</v>
      </c>
      <c r="L2519" t="s">
        <v>421</v>
      </c>
      <c r="M2519" t="s">
        <v>423</v>
      </c>
      <c r="N2519">
        <v>0</v>
      </c>
    </row>
    <row r="2520" spans="1:14" ht="15" customHeight="1" x14ac:dyDescent="0.25">
      <c r="A2520" s="82">
        <v>44795</v>
      </c>
      <c r="B2520" t="s">
        <v>427</v>
      </c>
      <c r="C2520" t="s">
        <v>421</v>
      </c>
      <c r="D2520" t="s">
        <v>455</v>
      </c>
      <c r="E2520" t="s">
        <v>428</v>
      </c>
      <c r="F2520" t="s">
        <v>516</v>
      </c>
      <c r="G2520" t="s">
        <v>514</v>
      </c>
      <c r="H2520" t="s">
        <v>426</v>
      </c>
      <c r="I2520" t="s">
        <v>430</v>
      </c>
      <c r="J2520" t="s">
        <v>425</v>
      </c>
      <c r="L2520" t="s">
        <v>421</v>
      </c>
      <c r="M2520" t="s">
        <v>423</v>
      </c>
      <c r="N2520">
        <v>0</v>
      </c>
    </row>
    <row r="2521" spans="1:14" ht="15" customHeight="1" x14ac:dyDescent="0.25">
      <c r="A2521" s="82">
        <v>44796</v>
      </c>
      <c r="B2521" t="s">
        <v>455</v>
      </c>
      <c r="C2521" t="s">
        <v>427</v>
      </c>
      <c r="D2521" t="s">
        <v>421</v>
      </c>
      <c r="E2521" t="s">
        <v>428</v>
      </c>
      <c r="F2521" t="s">
        <v>516</v>
      </c>
      <c r="G2521" t="s">
        <v>514</v>
      </c>
      <c r="H2521" t="s">
        <v>426</v>
      </c>
      <c r="I2521" t="s">
        <v>430</v>
      </c>
      <c r="J2521" t="s">
        <v>425</v>
      </c>
      <c r="L2521" t="s">
        <v>421</v>
      </c>
      <c r="M2521" t="s">
        <v>423</v>
      </c>
      <c r="N2521">
        <v>0</v>
      </c>
    </row>
    <row r="2522" spans="1:14" ht="15" customHeight="1" x14ac:dyDescent="0.25">
      <c r="A2522" s="82">
        <v>44797</v>
      </c>
      <c r="B2522" t="s">
        <v>427</v>
      </c>
      <c r="C2522" t="s">
        <v>455</v>
      </c>
      <c r="D2522" t="s">
        <v>421</v>
      </c>
      <c r="E2522" t="s">
        <v>428</v>
      </c>
      <c r="F2522" t="s">
        <v>516</v>
      </c>
      <c r="G2522" t="s">
        <v>514</v>
      </c>
      <c r="H2522" t="s">
        <v>426</v>
      </c>
      <c r="I2522" t="s">
        <v>430</v>
      </c>
      <c r="J2522" t="s">
        <v>425</v>
      </c>
      <c r="L2522" t="s">
        <v>423</v>
      </c>
      <c r="M2522" t="s">
        <v>421</v>
      </c>
      <c r="N2522">
        <v>0</v>
      </c>
    </row>
    <row r="2523" spans="1:14" ht="15" customHeight="1" x14ac:dyDescent="0.25">
      <c r="A2523" s="82">
        <v>44798</v>
      </c>
      <c r="B2523" t="s">
        <v>455</v>
      </c>
      <c r="C2523" t="s">
        <v>517</v>
      </c>
      <c r="D2523" t="s">
        <v>427</v>
      </c>
      <c r="E2523" t="s">
        <v>428</v>
      </c>
      <c r="F2523" t="s">
        <v>516</v>
      </c>
      <c r="G2523" t="s">
        <v>514</v>
      </c>
      <c r="H2523" t="s">
        <v>426</v>
      </c>
      <c r="I2523" t="s">
        <v>430</v>
      </c>
      <c r="J2523" t="s">
        <v>425</v>
      </c>
      <c r="L2523" t="s">
        <v>423</v>
      </c>
      <c r="M2523" t="s">
        <v>421</v>
      </c>
      <c r="N2523">
        <v>0</v>
      </c>
    </row>
    <row r="2524" spans="1:14" ht="15" customHeight="1" x14ac:dyDescent="0.25">
      <c r="A2524" s="82">
        <v>44799</v>
      </c>
      <c r="B2524" t="s">
        <v>516</v>
      </c>
      <c r="C2524" t="s">
        <v>514</v>
      </c>
      <c r="D2524" t="s">
        <v>455</v>
      </c>
      <c r="E2524" t="s">
        <v>425</v>
      </c>
      <c r="F2524" t="s">
        <v>516</v>
      </c>
      <c r="G2524" t="s">
        <v>426</v>
      </c>
      <c r="H2524" t="s">
        <v>427</v>
      </c>
      <c r="I2524" t="s">
        <v>421</v>
      </c>
      <c r="J2524" t="s">
        <v>425</v>
      </c>
      <c r="L2524" t="s">
        <v>428</v>
      </c>
      <c r="M2524" t="s">
        <v>421</v>
      </c>
      <c r="N2524">
        <v>0</v>
      </c>
    </row>
    <row r="2525" spans="1:14" ht="15" customHeight="1" x14ac:dyDescent="0.25">
      <c r="A2525" s="82">
        <v>44800</v>
      </c>
      <c r="B2525" t="s">
        <v>516</v>
      </c>
      <c r="C2525" t="s">
        <v>514</v>
      </c>
      <c r="D2525" t="s">
        <v>428</v>
      </c>
      <c r="E2525" t="s">
        <v>425</v>
      </c>
      <c r="F2525" t="s">
        <v>430</v>
      </c>
      <c r="G2525" t="s">
        <v>426</v>
      </c>
      <c r="H2525" t="s">
        <v>455</v>
      </c>
      <c r="I2525" t="s">
        <v>427</v>
      </c>
      <c r="J2525" t="s">
        <v>421</v>
      </c>
      <c r="L2525" t="s">
        <v>428</v>
      </c>
      <c r="M2525" t="s">
        <v>421</v>
      </c>
      <c r="N2525">
        <v>0</v>
      </c>
    </row>
    <row r="2526" spans="1:14" ht="15" customHeight="1" x14ac:dyDescent="0.25">
      <c r="A2526" s="82">
        <v>44801</v>
      </c>
      <c r="B2526" t="s">
        <v>516</v>
      </c>
      <c r="C2526" t="s">
        <v>514</v>
      </c>
      <c r="D2526" t="s">
        <v>428</v>
      </c>
      <c r="E2526" t="s">
        <v>425</v>
      </c>
      <c r="F2526" t="s">
        <v>430</v>
      </c>
      <c r="G2526" t="s">
        <v>426</v>
      </c>
      <c r="H2526" t="s">
        <v>427</v>
      </c>
      <c r="I2526" t="s">
        <v>455</v>
      </c>
      <c r="J2526" t="s">
        <v>421</v>
      </c>
      <c r="L2526" t="s">
        <v>428</v>
      </c>
      <c r="M2526" t="s">
        <v>421</v>
      </c>
      <c r="N2526">
        <v>0</v>
      </c>
    </row>
    <row r="2527" spans="1:14" ht="15" customHeight="1" x14ac:dyDescent="0.25">
      <c r="A2527" s="82">
        <v>44802</v>
      </c>
      <c r="B2527" t="s">
        <v>516</v>
      </c>
      <c r="C2527" t="s">
        <v>514</v>
      </c>
      <c r="D2527" t="s">
        <v>428</v>
      </c>
      <c r="E2527" t="s">
        <v>425</v>
      </c>
      <c r="F2527" t="s">
        <v>430</v>
      </c>
      <c r="G2527" t="s">
        <v>426</v>
      </c>
      <c r="H2527" t="s">
        <v>455</v>
      </c>
      <c r="I2527" t="s">
        <v>421</v>
      </c>
      <c r="J2527" t="s">
        <v>427</v>
      </c>
      <c r="L2527" t="s">
        <v>428</v>
      </c>
      <c r="M2527" t="s">
        <v>421</v>
      </c>
      <c r="N2527">
        <v>0</v>
      </c>
    </row>
    <row r="2528" spans="1:14" ht="15" customHeight="1" x14ac:dyDescent="0.25">
      <c r="A2528" s="82">
        <v>44803</v>
      </c>
      <c r="B2528" t="s">
        <v>424</v>
      </c>
      <c r="C2528" t="s">
        <v>514</v>
      </c>
      <c r="D2528" t="s">
        <v>428</v>
      </c>
      <c r="E2528" t="s">
        <v>425</v>
      </c>
      <c r="F2528" t="s">
        <v>430</v>
      </c>
      <c r="G2528" t="s">
        <v>426</v>
      </c>
      <c r="H2528" t="s">
        <v>421</v>
      </c>
      <c r="I2528" t="s">
        <v>427</v>
      </c>
      <c r="J2528" t="s">
        <v>455</v>
      </c>
      <c r="L2528" t="s">
        <v>421</v>
      </c>
      <c r="M2528" t="s">
        <v>423</v>
      </c>
      <c r="N2528">
        <v>0</v>
      </c>
    </row>
    <row r="2529" spans="1:14" ht="15" customHeight="1" x14ac:dyDescent="0.25">
      <c r="A2529" s="82">
        <v>44804</v>
      </c>
      <c r="B2529" t="s">
        <v>424</v>
      </c>
      <c r="C2529" t="s">
        <v>514</v>
      </c>
      <c r="D2529" t="s">
        <v>428</v>
      </c>
      <c r="E2529" t="s">
        <v>425</v>
      </c>
      <c r="F2529" t="s">
        <v>430</v>
      </c>
      <c r="G2529" t="s">
        <v>426</v>
      </c>
      <c r="H2529" t="s">
        <v>421</v>
      </c>
      <c r="I2529" t="s">
        <v>455</v>
      </c>
      <c r="J2529" t="s">
        <v>427</v>
      </c>
      <c r="L2529" t="s">
        <v>421</v>
      </c>
      <c r="M2529" t="s">
        <v>423</v>
      </c>
      <c r="N2529">
        <v>0</v>
      </c>
    </row>
    <row r="2530" spans="1:14" ht="15" customHeight="1" x14ac:dyDescent="0.25">
      <c r="A2530" s="82">
        <v>44805</v>
      </c>
      <c r="B2530" t="s">
        <v>424</v>
      </c>
      <c r="C2530" t="s">
        <v>514</v>
      </c>
      <c r="D2530" t="s">
        <v>428</v>
      </c>
      <c r="E2530" t="s">
        <v>425</v>
      </c>
      <c r="F2530" t="s">
        <v>430</v>
      </c>
      <c r="G2530" t="s">
        <v>426</v>
      </c>
      <c r="H2530" t="s">
        <v>427</v>
      </c>
      <c r="I2530" t="s">
        <v>517</v>
      </c>
      <c r="J2530" t="s">
        <v>455</v>
      </c>
      <c r="L2530" t="s">
        <v>421</v>
      </c>
      <c r="M2530" t="s">
        <v>423</v>
      </c>
      <c r="N2530">
        <v>0</v>
      </c>
    </row>
    <row r="2531" spans="1:14" ht="15" customHeight="1" x14ac:dyDescent="0.25">
      <c r="A2531" s="82">
        <v>44806</v>
      </c>
      <c r="B2531" t="s">
        <v>424</v>
      </c>
      <c r="C2531" t="s">
        <v>426</v>
      </c>
      <c r="D2531" t="s">
        <v>425</v>
      </c>
      <c r="E2531" t="s">
        <v>425</v>
      </c>
      <c r="F2531" t="s">
        <v>421</v>
      </c>
      <c r="G2531" t="s">
        <v>427</v>
      </c>
      <c r="H2531" t="s">
        <v>455</v>
      </c>
      <c r="I2531" t="s">
        <v>514</v>
      </c>
      <c r="J2531" t="s">
        <v>424</v>
      </c>
      <c r="L2531" t="s">
        <v>421</v>
      </c>
      <c r="M2531" t="s">
        <v>423</v>
      </c>
      <c r="N2531">
        <v>0</v>
      </c>
    </row>
    <row r="2532" spans="1:14" ht="15" customHeight="1" x14ac:dyDescent="0.25">
      <c r="A2532" s="82">
        <v>44807</v>
      </c>
      <c r="B2532" t="s">
        <v>430</v>
      </c>
      <c r="C2532" t="s">
        <v>426</v>
      </c>
      <c r="D2532" t="s">
        <v>425</v>
      </c>
      <c r="E2532" t="s">
        <v>421</v>
      </c>
      <c r="F2532" t="s">
        <v>427</v>
      </c>
      <c r="G2532" t="s">
        <v>455</v>
      </c>
      <c r="H2532" t="s">
        <v>428</v>
      </c>
      <c r="I2532" t="s">
        <v>514</v>
      </c>
      <c r="J2532" t="s">
        <v>424</v>
      </c>
      <c r="L2532" t="s">
        <v>421</v>
      </c>
      <c r="M2532" t="s">
        <v>423</v>
      </c>
      <c r="N2532">
        <v>0</v>
      </c>
    </row>
    <row r="2533" spans="1:14" ht="15" customHeight="1" x14ac:dyDescent="0.25">
      <c r="A2533" s="82">
        <v>44808</v>
      </c>
      <c r="B2533" t="s">
        <v>430</v>
      </c>
      <c r="C2533" t="s">
        <v>426</v>
      </c>
      <c r="D2533" t="s">
        <v>425</v>
      </c>
      <c r="E2533" t="s">
        <v>421</v>
      </c>
      <c r="F2533" t="s">
        <v>455</v>
      </c>
      <c r="G2533" t="s">
        <v>427</v>
      </c>
      <c r="H2533" t="s">
        <v>428</v>
      </c>
      <c r="I2533" t="s">
        <v>514</v>
      </c>
      <c r="J2533" t="s">
        <v>424</v>
      </c>
      <c r="L2533" t="s">
        <v>421</v>
      </c>
      <c r="M2533" t="s">
        <v>423</v>
      </c>
      <c r="N2533">
        <v>0</v>
      </c>
    </row>
    <row r="2534" spans="1:14" ht="15" customHeight="1" x14ac:dyDescent="0.25">
      <c r="A2534" s="82">
        <v>44809</v>
      </c>
      <c r="B2534" t="s">
        <v>430</v>
      </c>
      <c r="C2534" t="s">
        <v>426</v>
      </c>
      <c r="D2534" t="s">
        <v>425</v>
      </c>
      <c r="E2534" t="s">
        <v>427</v>
      </c>
      <c r="F2534" t="s">
        <v>421</v>
      </c>
      <c r="G2534" t="s">
        <v>455</v>
      </c>
      <c r="H2534" t="s">
        <v>428</v>
      </c>
      <c r="I2534" t="s">
        <v>514</v>
      </c>
      <c r="J2534" t="s">
        <v>424</v>
      </c>
      <c r="L2534" t="s">
        <v>423</v>
      </c>
      <c r="M2534" t="s">
        <v>421</v>
      </c>
      <c r="N2534">
        <v>0</v>
      </c>
    </row>
    <row r="2535" spans="1:14" ht="15" customHeight="1" x14ac:dyDescent="0.25">
      <c r="A2535" s="82">
        <v>44810</v>
      </c>
      <c r="B2535" t="s">
        <v>430</v>
      </c>
      <c r="C2535" t="s">
        <v>426</v>
      </c>
      <c r="D2535" t="s">
        <v>425</v>
      </c>
      <c r="E2535" t="s">
        <v>455</v>
      </c>
      <c r="F2535" t="s">
        <v>427</v>
      </c>
      <c r="G2535" t="s">
        <v>421</v>
      </c>
      <c r="H2535" t="s">
        <v>428</v>
      </c>
      <c r="I2535" t="s">
        <v>514</v>
      </c>
      <c r="J2535" t="s">
        <v>424</v>
      </c>
      <c r="L2535" t="s">
        <v>423</v>
      </c>
      <c r="M2535" t="s">
        <v>421</v>
      </c>
      <c r="N2535">
        <v>0</v>
      </c>
    </row>
    <row r="2536" spans="1:14" ht="15" customHeight="1" x14ac:dyDescent="0.25">
      <c r="A2536" s="82">
        <v>44811</v>
      </c>
      <c r="B2536" t="s">
        <v>430</v>
      </c>
      <c r="C2536" t="s">
        <v>426</v>
      </c>
      <c r="D2536" t="s">
        <v>425</v>
      </c>
      <c r="E2536" t="s">
        <v>427</v>
      </c>
      <c r="F2536" t="s">
        <v>455</v>
      </c>
      <c r="G2536" t="s">
        <v>421</v>
      </c>
      <c r="H2536" t="s">
        <v>428</v>
      </c>
      <c r="I2536" t="s">
        <v>514</v>
      </c>
      <c r="J2536" t="s">
        <v>424</v>
      </c>
      <c r="L2536" t="s">
        <v>423</v>
      </c>
      <c r="M2536" t="s">
        <v>421</v>
      </c>
      <c r="N2536">
        <v>0</v>
      </c>
    </row>
    <row r="2537" spans="1:14" ht="15" customHeight="1" x14ac:dyDescent="0.25">
      <c r="A2537" s="82">
        <v>44812</v>
      </c>
      <c r="B2537" t="s">
        <v>430</v>
      </c>
      <c r="C2537" t="s">
        <v>426</v>
      </c>
      <c r="D2537" t="s">
        <v>425</v>
      </c>
      <c r="E2537" t="s">
        <v>455</v>
      </c>
      <c r="F2537" t="s">
        <v>517</v>
      </c>
      <c r="G2537" t="s">
        <v>427</v>
      </c>
      <c r="H2537" t="s">
        <v>428</v>
      </c>
      <c r="I2537" t="s">
        <v>514</v>
      </c>
      <c r="J2537" t="s">
        <v>424</v>
      </c>
      <c r="L2537" t="s">
        <v>423</v>
      </c>
      <c r="M2537" t="s">
        <v>421</v>
      </c>
      <c r="N2537">
        <v>0</v>
      </c>
    </row>
    <row r="2538" spans="1:14" ht="15" customHeight="1" x14ac:dyDescent="0.25">
      <c r="A2538" s="82">
        <v>44813</v>
      </c>
      <c r="B2538" t="s">
        <v>421</v>
      </c>
      <c r="C2538" t="s">
        <v>427</v>
      </c>
      <c r="D2538" t="s">
        <v>425</v>
      </c>
      <c r="E2538" t="s">
        <v>424</v>
      </c>
      <c r="F2538" t="s">
        <v>514</v>
      </c>
      <c r="G2538" t="s">
        <v>455</v>
      </c>
      <c r="H2538" t="s">
        <v>425</v>
      </c>
      <c r="I2538" t="s">
        <v>426</v>
      </c>
      <c r="J2538" t="s">
        <v>424</v>
      </c>
      <c r="L2538" t="s">
        <v>421</v>
      </c>
      <c r="M2538" t="s">
        <v>423</v>
      </c>
      <c r="N2538">
        <v>0</v>
      </c>
    </row>
    <row r="2539" spans="1:14" ht="15" customHeight="1" x14ac:dyDescent="0.25">
      <c r="A2539" s="82">
        <v>44814</v>
      </c>
      <c r="B2539" t="s">
        <v>427</v>
      </c>
      <c r="C2539" t="s">
        <v>455</v>
      </c>
      <c r="D2539" t="s">
        <v>421</v>
      </c>
      <c r="E2539" t="s">
        <v>424</v>
      </c>
      <c r="F2539" t="s">
        <v>514</v>
      </c>
      <c r="G2539" t="s">
        <v>428</v>
      </c>
      <c r="H2539" t="s">
        <v>425</v>
      </c>
      <c r="I2539" t="s">
        <v>426</v>
      </c>
      <c r="J2539" t="s">
        <v>430</v>
      </c>
      <c r="L2539" t="s">
        <v>421</v>
      </c>
      <c r="M2539" t="s">
        <v>423</v>
      </c>
      <c r="N2539">
        <v>0</v>
      </c>
    </row>
    <row r="2540" spans="1:14" ht="15" customHeight="1" x14ac:dyDescent="0.25">
      <c r="A2540" s="82">
        <v>44815</v>
      </c>
      <c r="B2540" t="s">
        <v>455</v>
      </c>
      <c r="C2540" t="s">
        <v>427</v>
      </c>
      <c r="D2540" t="s">
        <v>421</v>
      </c>
      <c r="E2540" t="s">
        <v>424</v>
      </c>
      <c r="F2540" t="s">
        <v>514</v>
      </c>
      <c r="G2540" t="s">
        <v>428</v>
      </c>
      <c r="H2540" t="s">
        <v>425</v>
      </c>
      <c r="I2540" t="s">
        <v>426</v>
      </c>
      <c r="J2540" t="s">
        <v>430</v>
      </c>
      <c r="L2540" t="s">
        <v>421</v>
      </c>
      <c r="M2540" t="s">
        <v>423</v>
      </c>
      <c r="N2540">
        <v>0</v>
      </c>
    </row>
    <row r="2541" spans="1:14" ht="15" customHeight="1" x14ac:dyDescent="0.25">
      <c r="A2541" s="82">
        <v>44816</v>
      </c>
      <c r="B2541" t="s">
        <v>421</v>
      </c>
      <c r="C2541" t="s">
        <v>455</v>
      </c>
      <c r="D2541" t="s">
        <v>427</v>
      </c>
      <c r="E2541" t="s">
        <v>424</v>
      </c>
      <c r="F2541" t="s">
        <v>514</v>
      </c>
      <c r="G2541" t="s">
        <v>428</v>
      </c>
      <c r="H2541" t="s">
        <v>425</v>
      </c>
      <c r="I2541" t="s">
        <v>426</v>
      </c>
      <c r="J2541" t="s">
        <v>430</v>
      </c>
      <c r="L2541" t="s">
        <v>421</v>
      </c>
      <c r="M2541" t="s">
        <v>423</v>
      </c>
      <c r="N2541">
        <v>0</v>
      </c>
    </row>
    <row r="2542" spans="1:14" ht="15" customHeight="1" x14ac:dyDescent="0.25">
      <c r="A2542" s="82">
        <v>44817</v>
      </c>
      <c r="B2542" t="s">
        <v>427</v>
      </c>
      <c r="C2542" t="s">
        <v>421</v>
      </c>
      <c r="D2542" t="s">
        <v>455</v>
      </c>
      <c r="E2542" t="s">
        <v>424</v>
      </c>
      <c r="F2542" t="s">
        <v>514</v>
      </c>
      <c r="G2542" t="s">
        <v>428</v>
      </c>
      <c r="H2542" t="s">
        <v>425</v>
      </c>
      <c r="I2542" t="s">
        <v>426</v>
      </c>
      <c r="J2542" t="s">
        <v>430</v>
      </c>
      <c r="L2542" t="s">
        <v>421</v>
      </c>
      <c r="M2542" t="s">
        <v>423</v>
      </c>
      <c r="N2542">
        <v>0</v>
      </c>
    </row>
    <row r="2543" spans="1:14" ht="15" customHeight="1" x14ac:dyDescent="0.25">
      <c r="A2543" s="82">
        <v>44818</v>
      </c>
      <c r="B2543" t="s">
        <v>455</v>
      </c>
      <c r="C2543" t="s">
        <v>421</v>
      </c>
      <c r="D2543" t="s">
        <v>427</v>
      </c>
      <c r="E2543" t="s">
        <v>424</v>
      </c>
      <c r="F2543" t="s">
        <v>514</v>
      </c>
      <c r="G2543" t="s">
        <v>428</v>
      </c>
      <c r="H2543" t="s">
        <v>425</v>
      </c>
      <c r="I2543" t="s">
        <v>426</v>
      </c>
      <c r="J2543" t="s">
        <v>430</v>
      </c>
      <c r="L2543" t="s">
        <v>421</v>
      </c>
      <c r="M2543" t="s">
        <v>423</v>
      </c>
      <c r="N2543">
        <v>0</v>
      </c>
    </row>
    <row r="2544" spans="1:14" ht="15" customHeight="1" x14ac:dyDescent="0.25">
      <c r="A2544" s="82">
        <v>44819</v>
      </c>
      <c r="B2544" t="s">
        <v>421</v>
      </c>
      <c r="C2544" t="s">
        <v>427</v>
      </c>
      <c r="D2544" t="s">
        <v>455</v>
      </c>
      <c r="E2544" t="s">
        <v>424</v>
      </c>
      <c r="F2544" t="s">
        <v>514</v>
      </c>
      <c r="G2544" t="s">
        <v>428</v>
      </c>
      <c r="H2544" t="s">
        <v>425</v>
      </c>
      <c r="I2544" t="s">
        <v>426</v>
      </c>
      <c r="J2544" t="s">
        <v>430</v>
      </c>
      <c r="L2544" t="s">
        <v>423</v>
      </c>
      <c r="M2544" t="s">
        <v>421</v>
      </c>
      <c r="N2544">
        <v>0</v>
      </c>
    </row>
    <row r="2545" spans="1:14" ht="15" customHeight="1" x14ac:dyDescent="0.25">
      <c r="A2545" s="82">
        <v>44820</v>
      </c>
      <c r="B2545" t="s">
        <v>429</v>
      </c>
      <c r="C2545" t="s">
        <v>455</v>
      </c>
      <c r="D2545" t="s">
        <v>424</v>
      </c>
      <c r="E2545" t="s">
        <v>424</v>
      </c>
      <c r="F2545" t="s">
        <v>426</v>
      </c>
      <c r="G2545" t="s">
        <v>425</v>
      </c>
      <c r="H2545" t="s">
        <v>425</v>
      </c>
      <c r="I2545" t="s">
        <v>427</v>
      </c>
      <c r="J2545" t="s">
        <v>421</v>
      </c>
      <c r="L2545" t="s">
        <v>423</v>
      </c>
      <c r="M2545" t="s">
        <v>421</v>
      </c>
      <c r="N2545">
        <v>0</v>
      </c>
    </row>
    <row r="2546" spans="1:14" ht="15" customHeight="1" x14ac:dyDescent="0.25">
      <c r="A2546" s="82">
        <v>44821</v>
      </c>
      <c r="B2546" t="s">
        <v>429</v>
      </c>
      <c r="C2546" t="s">
        <v>428</v>
      </c>
      <c r="D2546" t="s">
        <v>424</v>
      </c>
      <c r="E2546" t="s">
        <v>430</v>
      </c>
      <c r="F2546" t="s">
        <v>426</v>
      </c>
      <c r="G2546" t="s">
        <v>425</v>
      </c>
      <c r="H2546" t="s">
        <v>421</v>
      </c>
      <c r="I2546" t="s">
        <v>455</v>
      </c>
      <c r="J2546" t="s">
        <v>427</v>
      </c>
      <c r="L2546" t="s">
        <v>423</v>
      </c>
      <c r="M2546" t="s">
        <v>421</v>
      </c>
      <c r="N2546">
        <v>0</v>
      </c>
    </row>
    <row r="2547" spans="1:14" ht="15" customHeight="1" x14ac:dyDescent="0.25">
      <c r="A2547" s="82">
        <v>44822</v>
      </c>
      <c r="B2547" t="s">
        <v>429</v>
      </c>
      <c r="C2547" t="s">
        <v>428</v>
      </c>
      <c r="D2547" t="s">
        <v>424</v>
      </c>
      <c r="E2547" t="s">
        <v>430</v>
      </c>
      <c r="F2547" t="s">
        <v>426</v>
      </c>
      <c r="G2547" t="s">
        <v>425</v>
      </c>
      <c r="H2547" t="s">
        <v>421</v>
      </c>
      <c r="I2547" t="s">
        <v>427</v>
      </c>
      <c r="J2547" t="s">
        <v>455</v>
      </c>
      <c r="L2547" t="s">
        <v>423</v>
      </c>
      <c r="M2547" t="s">
        <v>421</v>
      </c>
      <c r="N2547">
        <v>0</v>
      </c>
    </row>
    <row r="2548" spans="1:14" ht="15" customHeight="1" x14ac:dyDescent="0.25">
      <c r="A2548" s="82">
        <v>44823</v>
      </c>
      <c r="B2548" t="s">
        <v>429</v>
      </c>
      <c r="C2548" t="s">
        <v>428</v>
      </c>
      <c r="D2548" t="s">
        <v>424</v>
      </c>
      <c r="E2548" t="s">
        <v>430</v>
      </c>
      <c r="F2548" t="s">
        <v>426</v>
      </c>
      <c r="G2548" t="s">
        <v>425</v>
      </c>
      <c r="H2548" t="s">
        <v>427</v>
      </c>
      <c r="I2548" t="s">
        <v>455</v>
      </c>
      <c r="J2548" t="s">
        <v>421</v>
      </c>
      <c r="L2548" t="s">
        <v>423</v>
      </c>
      <c r="M2548" t="s">
        <v>421</v>
      </c>
      <c r="N2548">
        <v>0</v>
      </c>
    </row>
    <row r="2549" spans="1:14" ht="15" customHeight="1" x14ac:dyDescent="0.25">
      <c r="A2549" s="82">
        <v>44824</v>
      </c>
      <c r="B2549" t="s">
        <v>429</v>
      </c>
      <c r="C2549" t="s">
        <v>428</v>
      </c>
      <c r="D2549" t="s">
        <v>424</v>
      </c>
      <c r="E2549" t="s">
        <v>430</v>
      </c>
      <c r="F2549" t="s">
        <v>426</v>
      </c>
      <c r="G2549" t="s">
        <v>425</v>
      </c>
      <c r="H2549" t="s">
        <v>455</v>
      </c>
      <c r="I2549" t="s">
        <v>421</v>
      </c>
      <c r="J2549" t="s">
        <v>427</v>
      </c>
      <c r="L2549" t="s">
        <v>423</v>
      </c>
      <c r="M2549" t="s">
        <v>421</v>
      </c>
      <c r="N2549">
        <v>0</v>
      </c>
    </row>
    <row r="2550" spans="1:14" ht="15" customHeight="1" x14ac:dyDescent="0.25">
      <c r="A2550" s="82">
        <v>44825</v>
      </c>
      <c r="B2550" t="s">
        <v>429</v>
      </c>
      <c r="C2550" t="s">
        <v>428</v>
      </c>
      <c r="D2550" t="s">
        <v>424</v>
      </c>
      <c r="E2550" t="s">
        <v>430</v>
      </c>
      <c r="F2550" t="s">
        <v>426</v>
      </c>
      <c r="G2550" t="s">
        <v>425</v>
      </c>
      <c r="H2550" t="s">
        <v>427</v>
      </c>
      <c r="I2550" t="s">
        <v>421</v>
      </c>
      <c r="J2550" t="s">
        <v>455</v>
      </c>
      <c r="L2550" t="s">
        <v>421</v>
      </c>
      <c r="M2550" t="s">
        <v>423</v>
      </c>
      <c r="N2550">
        <v>0</v>
      </c>
    </row>
    <row r="2551" spans="1:14" ht="15" customHeight="1" x14ac:dyDescent="0.25">
      <c r="A2551" s="82">
        <v>44826</v>
      </c>
      <c r="B2551" t="s">
        <v>429</v>
      </c>
      <c r="C2551" t="s">
        <v>428</v>
      </c>
      <c r="D2551" t="s">
        <v>424</v>
      </c>
      <c r="E2551" t="s">
        <v>430</v>
      </c>
      <c r="F2551" t="s">
        <v>426</v>
      </c>
      <c r="G2551" t="s">
        <v>425</v>
      </c>
      <c r="H2551" t="s">
        <v>455</v>
      </c>
      <c r="I2551" t="s">
        <v>427</v>
      </c>
      <c r="J2551" t="s">
        <v>421</v>
      </c>
      <c r="L2551" t="s">
        <v>421</v>
      </c>
      <c r="M2551" t="s">
        <v>423</v>
      </c>
      <c r="N2551">
        <v>0</v>
      </c>
    </row>
    <row r="2552" spans="1:14" ht="15" customHeight="1" x14ac:dyDescent="0.25">
      <c r="A2552" s="82">
        <v>44827</v>
      </c>
      <c r="B2552" t="s">
        <v>426</v>
      </c>
      <c r="C2552" t="s">
        <v>425</v>
      </c>
      <c r="D2552" t="s">
        <v>424</v>
      </c>
      <c r="E2552" t="s">
        <v>421</v>
      </c>
      <c r="F2552" t="s">
        <v>427</v>
      </c>
      <c r="G2552" t="s">
        <v>425</v>
      </c>
      <c r="H2552" t="s">
        <v>424</v>
      </c>
      <c r="I2552" t="s">
        <v>455</v>
      </c>
      <c r="J2552" t="s">
        <v>429</v>
      </c>
      <c r="L2552" t="s">
        <v>421</v>
      </c>
      <c r="M2552" t="s">
        <v>428</v>
      </c>
      <c r="N2552">
        <v>0</v>
      </c>
    </row>
    <row r="2553" spans="1:14" ht="15" customHeight="1" x14ac:dyDescent="0.25">
      <c r="A2553" s="82">
        <v>44828</v>
      </c>
      <c r="B2553" t="s">
        <v>426</v>
      </c>
      <c r="C2553" t="s">
        <v>425</v>
      </c>
      <c r="D2553" t="s">
        <v>430</v>
      </c>
      <c r="E2553" t="s">
        <v>427</v>
      </c>
      <c r="F2553" t="s">
        <v>455</v>
      </c>
      <c r="G2553" t="s">
        <v>421</v>
      </c>
      <c r="H2553" t="s">
        <v>424</v>
      </c>
      <c r="I2553" t="s">
        <v>428</v>
      </c>
      <c r="J2553" t="s">
        <v>429</v>
      </c>
      <c r="L2553" t="s">
        <v>421</v>
      </c>
      <c r="M2553" t="s">
        <v>428</v>
      </c>
      <c r="N2553">
        <v>0</v>
      </c>
    </row>
    <row r="2554" spans="1:14" ht="15" customHeight="1" x14ac:dyDescent="0.25">
      <c r="A2554" s="82">
        <v>44829</v>
      </c>
      <c r="B2554" t="s">
        <v>426</v>
      </c>
      <c r="C2554" t="s">
        <v>425</v>
      </c>
      <c r="D2554" t="s">
        <v>430</v>
      </c>
      <c r="E2554" t="s">
        <v>455</v>
      </c>
      <c r="F2554" t="s">
        <v>427</v>
      </c>
      <c r="G2554" t="s">
        <v>421</v>
      </c>
      <c r="H2554" t="s">
        <v>424</v>
      </c>
      <c r="I2554" t="s">
        <v>428</v>
      </c>
      <c r="J2554" t="s">
        <v>429</v>
      </c>
      <c r="L2554" t="s">
        <v>421</v>
      </c>
      <c r="M2554" t="s">
        <v>428</v>
      </c>
      <c r="N2554">
        <v>0</v>
      </c>
    </row>
    <row r="2555" spans="1:14" ht="15" customHeight="1" x14ac:dyDescent="0.25">
      <c r="A2555" s="82">
        <v>44830</v>
      </c>
      <c r="B2555" t="s">
        <v>426</v>
      </c>
      <c r="C2555" t="s">
        <v>425</v>
      </c>
      <c r="D2555" t="s">
        <v>430</v>
      </c>
      <c r="E2555" t="s">
        <v>421</v>
      </c>
      <c r="F2555" t="s">
        <v>455</v>
      </c>
      <c r="G2555" t="s">
        <v>427</v>
      </c>
      <c r="H2555" t="s">
        <v>424</v>
      </c>
      <c r="I2555" t="s">
        <v>428</v>
      </c>
      <c r="J2555" t="s">
        <v>429</v>
      </c>
      <c r="L2555" t="s">
        <v>421</v>
      </c>
      <c r="M2555" t="s">
        <v>428</v>
      </c>
      <c r="N2555">
        <v>0</v>
      </c>
    </row>
    <row r="2556" spans="1:14" ht="15" customHeight="1" x14ac:dyDescent="0.25">
      <c r="A2556" s="82">
        <v>44831</v>
      </c>
      <c r="B2556" t="s">
        <v>426</v>
      </c>
      <c r="C2556" t="s">
        <v>425</v>
      </c>
      <c r="D2556" t="s">
        <v>430</v>
      </c>
      <c r="E2556" t="s">
        <v>427</v>
      </c>
      <c r="F2556" t="s">
        <v>421</v>
      </c>
      <c r="G2556" t="s">
        <v>455</v>
      </c>
      <c r="H2556" t="s">
        <v>424</v>
      </c>
      <c r="I2556" t="s">
        <v>428</v>
      </c>
      <c r="J2556" t="s">
        <v>429</v>
      </c>
      <c r="L2556" t="s">
        <v>423</v>
      </c>
      <c r="M2556" t="s">
        <v>421</v>
      </c>
      <c r="N2556">
        <v>0</v>
      </c>
    </row>
    <row r="2557" spans="1:14" ht="15" customHeight="1" x14ac:dyDescent="0.25">
      <c r="A2557" s="82">
        <v>44832</v>
      </c>
      <c r="B2557" t="s">
        <v>426</v>
      </c>
      <c r="C2557" t="s">
        <v>425</v>
      </c>
      <c r="D2557" t="s">
        <v>430</v>
      </c>
      <c r="E2557" t="s">
        <v>455</v>
      </c>
      <c r="F2557" t="s">
        <v>421</v>
      </c>
      <c r="G2557" t="s">
        <v>427</v>
      </c>
      <c r="H2557" t="s">
        <v>424</v>
      </c>
      <c r="I2557" t="s">
        <v>428</v>
      </c>
      <c r="J2557" t="s">
        <v>429</v>
      </c>
      <c r="L2557" t="s">
        <v>423</v>
      </c>
      <c r="M2557" t="s">
        <v>421</v>
      </c>
      <c r="N2557">
        <v>0</v>
      </c>
    </row>
    <row r="2558" spans="1:14" ht="15" customHeight="1" x14ac:dyDescent="0.25">
      <c r="A2558" s="82">
        <v>44833</v>
      </c>
      <c r="B2558" t="s">
        <v>426</v>
      </c>
      <c r="C2558" t="s">
        <v>425</v>
      </c>
      <c r="D2558" t="s">
        <v>430</v>
      </c>
      <c r="E2558" t="s">
        <v>421</v>
      </c>
      <c r="F2558" t="s">
        <v>427</v>
      </c>
      <c r="G2558" t="s">
        <v>455</v>
      </c>
      <c r="H2558" t="s">
        <v>424</v>
      </c>
      <c r="I2558" t="s">
        <v>428</v>
      </c>
      <c r="J2558" t="s">
        <v>429</v>
      </c>
      <c r="L2558" t="s">
        <v>423</v>
      </c>
      <c r="M2558" t="s">
        <v>421</v>
      </c>
      <c r="N2558">
        <v>0</v>
      </c>
    </row>
    <row r="2559" spans="1:14" ht="15" customHeight="1" x14ac:dyDescent="0.25">
      <c r="A2559" s="82">
        <v>44834</v>
      </c>
      <c r="B2559" t="s">
        <v>427</v>
      </c>
      <c r="C2559" t="s">
        <v>425</v>
      </c>
      <c r="D2559" t="s">
        <v>421</v>
      </c>
      <c r="E2559" t="s">
        <v>429</v>
      </c>
      <c r="F2559" t="s">
        <v>455</v>
      </c>
      <c r="G2559" t="s">
        <v>424</v>
      </c>
      <c r="H2559" t="s">
        <v>424</v>
      </c>
      <c r="I2559" t="s">
        <v>425</v>
      </c>
      <c r="J2559" t="s">
        <v>426</v>
      </c>
      <c r="L2559" t="s">
        <v>423</v>
      </c>
      <c r="M2559" t="s">
        <v>421</v>
      </c>
      <c r="N2559">
        <v>0</v>
      </c>
    </row>
    <row r="2560" spans="1:14" ht="15" customHeight="1" x14ac:dyDescent="0.25">
      <c r="A2560" s="82">
        <v>44835</v>
      </c>
      <c r="B2560" t="s">
        <v>455</v>
      </c>
      <c r="C2560" t="s">
        <v>421</v>
      </c>
      <c r="D2560" t="s">
        <v>427</v>
      </c>
      <c r="E2560" t="s">
        <v>429</v>
      </c>
      <c r="F2560" t="s">
        <v>428</v>
      </c>
      <c r="G2560" t="s">
        <v>424</v>
      </c>
      <c r="H2560" t="s">
        <v>430</v>
      </c>
      <c r="I2560" t="s">
        <v>425</v>
      </c>
      <c r="J2560" t="s">
        <v>426</v>
      </c>
      <c r="L2560" t="s">
        <v>423</v>
      </c>
      <c r="M2560" t="s">
        <v>421</v>
      </c>
      <c r="N2560">
        <v>0</v>
      </c>
    </row>
    <row r="2561" spans="1:14" ht="15" customHeight="1" x14ac:dyDescent="0.25">
      <c r="A2561" s="82">
        <v>44836</v>
      </c>
      <c r="B2561" t="s">
        <v>427</v>
      </c>
      <c r="C2561" t="s">
        <v>421</v>
      </c>
      <c r="D2561" t="s">
        <v>455</v>
      </c>
      <c r="E2561" t="s">
        <v>429</v>
      </c>
      <c r="F2561" t="s">
        <v>428</v>
      </c>
      <c r="G2561" t="s">
        <v>424</v>
      </c>
      <c r="H2561" t="s">
        <v>430</v>
      </c>
      <c r="I2561" t="s">
        <v>425</v>
      </c>
      <c r="J2561" t="s">
        <v>426</v>
      </c>
      <c r="L2561" t="s">
        <v>423</v>
      </c>
      <c r="M2561" t="s">
        <v>421</v>
      </c>
      <c r="N2561">
        <v>0</v>
      </c>
    </row>
    <row r="2562" spans="1:14" ht="15" customHeight="1" x14ac:dyDescent="0.25">
      <c r="A2562" s="82">
        <v>44837</v>
      </c>
      <c r="B2562" t="s">
        <v>455</v>
      </c>
      <c r="C2562" t="s">
        <v>427</v>
      </c>
      <c r="D2562" t="s">
        <v>421</v>
      </c>
      <c r="E2562" t="s">
        <v>429</v>
      </c>
      <c r="F2562" t="s">
        <v>428</v>
      </c>
      <c r="G2562" t="s">
        <v>424</v>
      </c>
      <c r="H2562" t="s">
        <v>430</v>
      </c>
      <c r="I2562" t="s">
        <v>425</v>
      </c>
      <c r="J2562" t="s">
        <v>426</v>
      </c>
      <c r="L2562" t="s">
        <v>421</v>
      </c>
      <c r="M2562" t="s">
        <v>423</v>
      </c>
      <c r="N2562">
        <v>0</v>
      </c>
    </row>
    <row r="2563" spans="1:14" ht="15" customHeight="1" x14ac:dyDescent="0.25">
      <c r="A2563" s="82">
        <v>44838</v>
      </c>
      <c r="B2563" t="s">
        <v>421</v>
      </c>
      <c r="C2563" t="s">
        <v>455</v>
      </c>
      <c r="D2563" t="s">
        <v>427</v>
      </c>
      <c r="E2563" t="s">
        <v>429</v>
      </c>
      <c r="F2563" t="s">
        <v>428</v>
      </c>
      <c r="G2563" t="s">
        <v>424</v>
      </c>
      <c r="H2563" t="s">
        <v>430</v>
      </c>
      <c r="I2563" t="s">
        <v>425</v>
      </c>
      <c r="J2563" t="s">
        <v>426</v>
      </c>
      <c r="L2563" t="s">
        <v>421</v>
      </c>
      <c r="M2563" t="s">
        <v>423</v>
      </c>
      <c r="N2563">
        <v>0</v>
      </c>
    </row>
    <row r="2564" spans="1:14" ht="15" customHeight="1" x14ac:dyDescent="0.25">
      <c r="A2564" s="82">
        <v>44839</v>
      </c>
      <c r="B2564" t="s">
        <v>421</v>
      </c>
      <c r="C2564" t="s">
        <v>427</v>
      </c>
      <c r="D2564" t="s">
        <v>455</v>
      </c>
      <c r="E2564" t="s">
        <v>429</v>
      </c>
      <c r="F2564" t="s">
        <v>428</v>
      </c>
      <c r="G2564" t="s">
        <v>424</v>
      </c>
      <c r="H2564" t="s">
        <v>430</v>
      </c>
      <c r="I2564" t="s">
        <v>425</v>
      </c>
      <c r="J2564" t="s">
        <v>426</v>
      </c>
      <c r="L2564" t="s">
        <v>421</v>
      </c>
      <c r="M2564" t="s">
        <v>423</v>
      </c>
      <c r="N2564">
        <v>0</v>
      </c>
    </row>
    <row r="2565" spans="1:14" ht="15" customHeight="1" x14ac:dyDescent="0.25">
      <c r="A2565" s="82">
        <v>44840</v>
      </c>
      <c r="B2565" t="s">
        <v>427</v>
      </c>
      <c r="C2565" t="s">
        <v>455</v>
      </c>
      <c r="D2565" t="s">
        <v>421</v>
      </c>
      <c r="E2565" t="s">
        <v>429</v>
      </c>
      <c r="F2565" t="s">
        <v>428</v>
      </c>
      <c r="G2565" t="s">
        <v>424</v>
      </c>
      <c r="H2565" t="s">
        <v>430</v>
      </c>
      <c r="I2565" t="s">
        <v>425</v>
      </c>
      <c r="J2565" t="s">
        <v>426</v>
      </c>
      <c r="L2565" t="s">
        <v>421</v>
      </c>
      <c r="M2565" t="s">
        <v>423</v>
      </c>
      <c r="N2565">
        <v>0</v>
      </c>
    </row>
    <row r="2566" spans="1:14" ht="15" customHeight="1" x14ac:dyDescent="0.25">
      <c r="A2566" s="82">
        <v>44841</v>
      </c>
      <c r="B2566" t="s">
        <v>455</v>
      </c>
      <c r="C2566" t="s">
        <v>424</v>
      </c>
      <c r="D2566" t="s">
        <v>429</v>
      </c>
      <c r="E2566" t="s">
        <v>426</v>
      </c>
      <c r="F2566" t="s">
        <v>425</v>
      </c>
      <c r="G2566" t="s">
        <v>424</v>
      </c>
      <c r="H2566" t="s">
        <v>421</v>
      </c>
      <c r="I2566" t="s">
        <v>425</v>
      </c>
      <c r="J2566" t="s">
        <v>427</v>
      </c>
      <c r="L2566" t="s">
        <v>423</v>
      </c>
      <c r="M2566" t="s">
        <v>421</v>
      </c>
      <c r="N2566">
        <v>0</v>
      </c>
    </row>
    <row r="2567" spans="1:14" ht="15" customHeight="1" x14ac:dyDescent="0.25">
      <c r="A2567" s="82">
        <v>44842</v>
      </c>
      <c r="B2567" t="s">
        <v>428</v>
      </c>
      <c r="C2567" t="s">
        <v>424</v>
      </c>
      <c r="D2567" t="s">
        <v>429</v>
      </c>
      <c r="E2567" t="s">
        <v>426</v>
      </c>
      <c r="F2567" t="s">
        <v>425</v>
      </c>
      <c r="G2567" t="s">
        <v>430</v>
      </c>
      <c r="H2567" t="s">
        <v>427</v>
      </c>
      <c r="I2567" t="s">
        <v>421</v>
      </c>
      <c r="J2567" t="s">
        <v>455</v>
      </c>
      <c r="L2567" t="s">
        <v>423</v>
      </c>
      <c r="M2567" t="s">
        <v>421</v>
      </c>
      <c r="N2567">
        <v>0</v>
      </c>
    </row>
    <row r="2568" spans="1:14" ht="15" customHeight="1" x14ac:dyDescent="0.25">
      <c r="A2568" s="82">
        <v>44843</v>
      </c>
      <c r="B2568" t="s">
        <v>428</v>
      </c>
      <c r="C2568" t="s">
        <v>424</v>
      </c>
      <c r="D2568" t="s">
        <v>429</v>
      </c>
      <c r="E2568" t="s">
        <v>426</v>
      </c>
      <c r="F2568" t="s">
        <v>425</v>
      </c>
      <c r="G2568" t="s">
        <v>430</v>
      </c>
      <c r="H2568" t="s">
        <v>455</v>
      </c>
      <c r="I2568" t="s">
        <v>421</v>
      </c>
      <c r="J2568" t="s">
        <v>427</v>
      </c>
      <c r="L2568" t="s">
        <v>423</v>
      </c>
      <c r="M2568" t="s">
        <v>421</v>
      </c>
      <c r="N2568">
        <v>0</v>
      </c>
    </row>
    <row r="2569" spans="1:14" ht="15" customHeight="1" x14ac:dyDescent="0.25">
      <c r="A2569" s="82">
        <v>44844</v>
      </c>
      <c r="B2569" t="s">
        <v>428</v>
      </c>
      <c r="C2569" t="s">
        <v>424</v>
      </c>
      <c r="D2569" t="s">
        <v>429</v>
      </c>
      <c r="E2569" t="s">
        <v>426</v>
      </c>
      <c r="F2569" t="s">
        <v>425</v>
      </c>
      <c r="G2569" t="s">
        <v>430</v>
      </c>
      <c r="H2569" t="s">
        <v>421</v>
      </c>
      <c r="I2569" t="s">
        <v>427</v>
      </c>
      <c r="J2569" t="s">
        <v>455</v>
      </c>
      <c r="L2569" t="s">
        <v>423</v>
      </c>
      <c r="M2569" t="s">
        <v>421</v>
      </c>
      <c r="N2569">
        <v>0</v>
      </c>
    </row>
    <row r="2570" spans="1:14" ht="15" customHeight="1" x14ac:dyDescent="0.25">
      <c r="A2570" s="82">
        <v>44845</v>
      </c>
      <c r="B2570" t="s">
        <v>428</v>
      </c>
      <c r="C2570" t="s">
        <v>424</v>
      </c>
      <c r="D2570" t="s">
        <v>429</v>
      </c>
      <c r="E2570" t="s">
        <v>426</v>
      </c>
      <c r="F2570" t="s">
        <v>425</v>
      </c>
      <c r="G2570" t="s">
        <v>430</v>
      </c>
      <c r="H2570" t="s">
        <v>427</v>
      </c>
      <c r="I2570" t="s">
        <v>455</v>
      </c>
      <c r="J2570" t="s">
        <v>421</v>
      </c>
      <c r="L2570" t="s">
        <v>423</v>
      </c>
      <c r="M2570" t="s">
        <v>421</v>
      </c>
      <c r="N2570">
        <v>0</v>
      </c>
    </row>
    <row r="2571" spans="1:14" ht="15" customHeight="1" x14ac:dyDescent="0.25">
      <c r="A2571" s="82">
        <v>44846</v>
      </c>
      <c r="B2571" t="s">
        <v>428</v>
      </c>
      <c r="C2571" t="s">
        <v>424</v>
      </c>
      <c r="D2571" t="s">
        <v>429</v>
      </c>
      <c r="E2571" t="s">
        <v>426</v>
      </c>
      <c r="F2571" t="s">
        <v>425</v>
      </c>
      <c r="G2571" t="s">
        <v>430</v>
      </c>
      <c r="H2571" t="s">
        <v>455</v>
      </c>
      <c r="I2571" t="s">
        <v>427</v>
      </c>
      <c r="J2571" t="s">
        <v>421</v>
      </c>
      <c r="L2571" t="s">
        <v>423</v>
      </c>
      <c r="M2571" t="s">
        <v>421</v>
      </c>
      <c r="N2571">
        <v>0</v>
      </c>
    </row>
    <row r="2572" spans="1:14" ht="15" customHeight="1" x14ac:dyDescent="0.25">
      <c r="A2572" s="82">
        <v>44847</v>
      </c>
      <c r="B2572" t="s">
        <v>428</v>
      </c>
      <c r="C2572" t="s">
        <v>424</v>
      </c>
      <c r="D2572" t="s">
        <v>429</v>
      </c>
      <c r="E2572" t="s">
        <v>426</v>
      </c>
      <c r="F2572" t="s">
        <v>425</v>
      </c>
      <c r="G2572" t="s">
        <v>430</v>
      </c>
      <c r="H2572" t="s">
        <v>421</v>
      </c>
      <c r="I2572" t="s">
        <v>455</v>
      </c>
      <c r="J2572" t="s">
        <v>427</v>
      </c>
      <c r="L2572" t="s">
        <v>421</v>
      </c>
      <c r="M2572" t="s">
        <v>423</v>
      </c>
      <c r="N2572">
        <v>0</v>
      </c>
    </row>
    <row r="2573" spans="1:14" ht="15" customHeight="1" x14ac:dyDescent="0.25">
      <c r="A2573" s="82">
        <v>44848</v>
      </c>
      <c r="B2573" t="s">
        <v>425</v>
      </c>
      <c r="C2573" t="s">
        <v>424</v>
      </c>
      <c r="D2573" t="s">
        <v>426</v>
      </c>
      <c r="E2573" t="s">
        <v>427</v>
      </c>
      <c r="F2573" t="s">
        <v>425</v>
      </c>
      <c r="G2573" t="s">
        <v>421</v>
      </c>
      <c r="H2573" t="s">
        <v>429</v>
      </c>
      <c r="I2573" t="s">
        <v>424</v>
      </c>
      <c r="J2573" t="s">
        <v>455</v>
      </c>
      <c r="L2573" t="s">
        <v>421</v>
      </c>
      <c r="M2573" t="s">
        <v>423</v>
      </c>
      <c r="N2573">
        <v>0</v>
      </c>
    </row>
    <row r="2574" spans="1:14" ht="15" customHeight="1" x14ac:dyDescent="0.25">
      <c r="A2574" s="82">
        <v>44849</v>
      </c>
      <c r="B2574" t="s">
        <v>425</v>
      </c>
      <c r="C2574" t="s">
        <v>430</v>
      </c>
      <c r="D2574" t="s">
        <v>426</v>
      </c>
      <c r="E2574" t="s">
        <v>455</v>
      </c>
      <c r="F2574" t="s">
        <v>421</v>
      </c>
      <c r="G2574" t="s">
        <v>427</v>
      </c>
      <c r="H2574" t="s">
        <v>429</v>
      </c>
      <c r="I2574" t="s">
        <v>424</v>
      </c>
      <c r="J2574" t="s">
        <v>428</v>
      </c>
      <c r="L2574" t="s">
        <v>421</v>
      </c>
      <c r="M2574" t="s">
        <v>423</v>
      </c>
      <c r="N2574">
        <v>0</v>
      </c>
    </row>
    <row r="2575" spans="1:14" ht="15" customHeight="1" x14ac:dyDescent="0.25">
      <c r="A2575" s="82">
        <v>44850</v>
      </c>
      <c r="B2575" t="s">
        <v>425</v>
      </c>
      <c r="C2575" t="s">
        <v>430</v>
      </c>
      <c r="D2575" t="s">
        <v>426</v>
      </c>
      <c r="E2575" t="s">
        <v>427</v>
      </c>
      <c r="F2575" t="s">
        <v>421</v>
      </c>
      <c r="G2575" t="s">
        <v>455</v>
      </c>
      <c r="H2575" t="s">
        <v>429</v>
      </c>
      <c r="I2575" t="s">
        <v>424</v>
      </c>
      <c r="J2575" t="s">
        <v>428</v>
      </c>
      <c r="L2575" t="s">
        <v>421</v>
      </c>
      <c r="M2575" t="s">
        <v>423</v>
      </c>
      <c r="N2575">
        <v>0</v>
      </c>
    </row>
    <row r="2576" spans="1:14" ht="15" customHeight="1" x14ac:dyDescent="0.25">
      <c r="A2576" s="82">
        <v>44851</v>
      </c>
      <c r="B2576" t="s">
        <v>425</v>
      </c>
      <c r="C2576" t="s">
        <v>430</v>
      </c>
      <c r="D2576" t="s">
        <v>426</v>
      </c>
      <c r="E2576" t="s">
        <v>455</v>
      </c>
      <c r="F2576" t="s">
        <v>427</v>
      </c>
      <c r="G2576" t="s">
        <v>421</v>
      </c>
      <c r="H2576" t="s">
        <v>429</v>
      </c>
      <c r="I2576" t="s">
        <v>424</v>
      </c>
      <c r="J2576" t="s">
        <v>428</v>
      </c>
      <c r="L2576" t="s">
        <v>421</v>
      </c>
      <c r="M2576" t="s">
        <v>423</v>
      </c>
      <c r="N2576">
        <v>0</v>
      </c>
    </row>
    <row r="2577" spans="1:14" ht="15" customHeight="1" x14ac:dyDescent="0.25">
      <c r="A2577" s="82">
        <v>44852</v>
      </c>
      <c r="B2577" t="s">
        <v>425</v>
      </c>
      <c r="C2577" t="s">
        <v>430</v>
      </c>
      <c r="D2577" t="s">
        <v>426</v>
      </c>
      <c r="E2577" t="s">
        <v>421</v>
      </c>
      <c r="F2577" t="s">
        <v>455</v>
      </c>
      <c r="G2577" t="s">
        <v>427</v>
      </c>
      <c r="H2577" t="s">
        <v>429</v>
      </c>
      <c r="I2577" t="s">
        <v>424</v>
      </c>
      <c r="J2577" t="s">
        <v>428</v>
      </c>
      <c r="L2577" t="s">
        <v>421</v>
      </c>
      <c r="M2577" t="s">
        <v>423</v>
      </c>
      <c r="N2577">
        <v>0</v>
      </c>
    </row>
    <row r="2578" spans="1:14" ht="15" customHeight="1" x14ac:dyDescent="0.25">
      <c r="A2578" s="82">
        <v>44853</v>
      </c>
      <c r="B2578" t="s">
        <v>425</v>
      </c>
      <c r="C2578" t="s">
        <v>430</v>
      </c>
      <c r="D2578" t="s">
        <v>426</v>
      </c>
      <c r="E2578" t="s">
        <v>421</v>
      </c>
      <c r="F2578" t="s">
        <v>427</v>
      </c>
      <c r="G2578" t="s">
        <v>455</v>
      </c>
      <c r="H2578" t="s">
        <v>429</v>
      </c>
      <c r="I2578" t="s">
        <v>424</v>
      </c>
      <c r="J2578" t="s">
        <v>428</v>
      </c>
      <c r="L2578" t="s">
        <v>423</v>
      </c>
      <c r="M2578" t="s">
        <v>421</v>
      </c>
      <c r="N2578">
        <v>0</v>
      </c>
    </row>
    <row r="2579" spans="1:14" ht="15" customHeight="1" x14ac:dyDescent="0.25">
      <c r="A2579" s="82">
        <v>44854</v>
      </c>
      <c r="B2579" t="s">
        <v>425</v>
      </c>
      <c r="C2579" t="s">
        <v>430</v>
      </c>
      <c r="D2579" t="s">
        <v>426</v>
      </c>
      <c r="E2579" t="s">
        <v>427</v>
      </c>
      <c r="F2579" t="s">
        <v>455</v>
      </c>
      <c r="G2579" t="s">
        <v>421</v>
      </c>
      <c r="H2579" t="s">
        <v>429</v>
      </c>
      <c r="I2579" t="s">
        <v>424</v>
      </c>
      <c r="J2579" t="s">
        <v>428</v>
      </c>
      <c r="L2579" t="s">
        <v>423</v>
      </c>
      <c r="M2579" t="s">
        <v>421</v>
      </c>
      <c r="N2579">
        <v>0</v>
      </c>
    </row>
    <row r="2580" spans="1:14" ht="15" customHeight="1" x14ac:dyDescent="0.25">
      <c r="A2580" s="82">
        <v>44855</v>
      </c>
      <c r="B2580" t="s">
        <v>425</v>
      </c>
      <c r="C2580" t="s">
        <v>421</v>
      </c>
      <c r="D2580" t="s">
        <v>427</v>
      </c>
      <c r="E2580" t="s">
        <v>455</v>
      </c>
      <c r="F2580" t="s">
        <v>424</v>
      </c>
      <c r="G2580" t="s">
        <v>429</v>
      </c>
      <c r="H2580" t="s">
        <v>426</v>
      </c>
      <c r="I2580" t="s">
        <v>424</v>
      </c>
      <c r="J2580" t="s">
        <v>425</v>
      </c>
      <c r="L2580" t="s">
        <v>428</v>
      </c>
      <c r="M2580" t="s">
        <v>421</v>
      </c>
      <c r="N2580">
        <v>0</v>
      </c>
    </row>
    <row r="2581" spans="1:14" ht="15" customHeight="1" x14ac:dyDescent="0.25">
      <c r="A2581" s="82">
        <v>44856</v>
      </c>
      <c r="B2581" t="s">
        <v>421</v>
      </c>
      <c r="C2581" t="s">
        <v>427</v>
      </c>
      <c r="D2581" t="s">
        <v>455</v>
      </c>
      <c r="E2581" t="s">
        <v>428</v>
      </c>
      <c r="F2581" t="s">
        <v>424</v>
      </c>
      <c r="G2581" t="s">
        <v>429</v>
      </c>
      <c r="H2581" t="s">
        <v>426</v>
      </c>
      <c r="I2581" t="s">
        <v>430</v>
      </c>
      <c r="J2581" t="s">
        <v>425</v>
      </c>
      <c r="L2581" t="s">
        <v>428</v>
      </c>
      <c r="M2581" t="s">
        <v>421</v>
      </c>
      <c r="N2581">
        <v>0</v>
      </c>
    </row>
    <row r="2582" spans="1:14" ht="15" customHeight="1" x14ac:dyDescent="0.25">
      <c r="A2582" s="82">
        <v>44857</v>
      </c>
      <c r="B2582" t="s">
        <v>421</v>
      </c>
      <c r="C2582" t="s">
        <v>455</v>
      </c>
      <c r="D2582" t="s">
        <v>427</v>
      </c>
      <c r="E2582" t="s">
        <v>428</v>
      </c>
      <c r="F2582" t="s">
        <v>424</v>
      </c>
      <c r="G2582" t="s">
        <v>429</v>
      </c>
      <c r="H2582" t="s">
        <v>426</v>
      </c>
      <c r="I2582" t="s">
        <v>430</v>
      </c>
      <c r="J2582" t="s">
        <v>425</v>
      </c>
      <c r="L2582" t="s">
        <v>428</v>
      </c>
      <c r="M2582" t="s">
        <v>421</v>
      </c>
      <c r="N2582">
        <v>0</v>
      </c>
    </row>
    <row r="2583" spans="1:14" ht="15" customHeight="1" x14ac:dyDescent="0.25">
      <c r="A2583" s="82">
        <v>44858</v>
      </c>
      <c r="B2583" t="s">
        <v>427</v>
      </c>
      <c r="C2583" t="s">
        <v>421</v>
      </c>
      <c r="D2583" t="s">
        <v>455</v>
      </c>
      <c r="E2583" t="s">
        <v>428</v>
      </c>
      <c r="F2583" t="s">
        <v>424</v>
      </c>
      <c r="G2583" t="s">
        <v>429</v>
      </c>
      <c r="H2583" t="s">
        <v>426</v>
      </c>
      <c r="I2583" t="s">
        <v>430</v>
      </c>
      <c r="J2583" t="s">
        <v>425</v>
      </c>
      <c r="L2583" t="s">
        <v>428</v>
      </c>
      <c r="M2583" t="s">
        <v>421</v>
      </c>
      <c r="N2583">
        <v>0</v>
      </c>
    </row>
    <row r="2584" spans="1:14" ht="15" customHeight="1" x14ac:dyDescent="0.25">
      <c r="A2584" s="82">
        <v>44859</v>
      </c>
      <c r="B2584" t="s">
        <v>455</v>
      </c>
      <c r="C2584" t="s">
        <v>427</v>
      </c>
      <c r="D2584" t="s">
        <v>421</v>
      </c>
      <c r="E2584" t="s">
        <v>428</v>
      </c>
      <c r="F2584" t="s">
        <v>424</v>
      </c>
      <c r="G2584" t="s">
        <v>429</v>
      </c>
      <c r="H2584" t="s">
        <v>426</v>
      </c>
      <c r="I2584" t="s">
        <v>430</v>
      </c>
      <c r="J2584" t="s">
        <v>425</v>
      </c>
      <c r="L2584" t="s">
        <v>421</v>
      </c>
      <c r="M2584" t="s">
        <v>423</v>
      </c>
      <c r="N2584">
        <v>0</v>
      </c>
    </row>
    <row r="2585" spans="1:14" ht="15" customHeight="1" x14ac:dyDescent="0.25">
      <c r="A2585" s="82">
        <v>44860</v>
      </c>
      <c r="B2585" t="s">
        <v>427</v>
      </c>
      <c r="C2585" t="s">
        <v>455</v>
      </c>
      <c r="D2585" t="s">
        <v>421</v>
      </c>
      <c r="E2585" t="s">
        <v>428</v>
      </c>
      <c r="F2585" t="s">
        <v>424</v>
      </c>
      <c r="G2585" t="s">
        <v>429</v>
      </c>
      <c r="H2585" t="s">
        <v>426</v>
      </c>
      <c r="I2585" t="s">
        <v>430</v>
      </c>
      <c r="J2585" t="s">
        <v>425</v>
      </c>
      <c r="L2585" t="s">
        <v>421</v>
      </c>
      <c r="M2585" t="s">
        <v>423</v>
      </c>
      <c r="N2585">
        <v>0</v>
      </c>
    </row>
    <row r="2586" spans="1:14" ht="15" customHeight="1" x14ac:dyDescent="0.25">
      <c r="A2586" s="82">
        <v>44861</v>
      </c>
      <c r="B2586" t="s">
        <v>455</v>
      </c>
      <c r="C2586" t="s">
        <v>421</v>
      </c>
      <c r="D2586" t="s">
        <v>427</v>
      </c>
      <c r="E2586" t="s">
        <v>428</v>
      </c>
      <c r="F2586" t="s">
        <v>424</v>
      </c>
      <c r="G2586" t="s">
        <v>429</v>
      </c>
      <c r="H2586" t="s">
        <v>426</v>
      </c>
      <c r="I2586" t="s">
        <v>430</v>
      </c>
      <c r="J2586" t="s">
        <v>425</v>
      </c>
      <c r="L2586" t="s">
        <v>421</v>
      </c>
      <c r="M2586" t="s">
        <v>423</v>
      </c>
      <c r="N2586">
        <v>0</v>
      </c>
    </row>
    <row r="2587" spans="1:14" ht="15" customHeight="1" x14ac:dyDescent="0.25">
      <c r="A2587" s="82">
        <v>44862</v>
      </c>
      <c r="B2587" t="s">
        <v>424</v>
      </c>
      <c r="C2587" t="s">
        <v>429</v>
      </c>
      <c r="D2587" t="s">
        <v>455</v>
      </c>
      <c r="E2587" t="s">
        <v>425</v>
      </c>
      <c r="F2587" t="s">
        <v>424</v>
      </c>
      <c r="G2587" t="s">
        <v>426</v>
      </c>
      <c r="H2587" t="s">
        <v>427</v>
      </c>
      <c r="I2587" t="s">
        <v>421</v>
      </c>
      <c r="J2587" t="s">
        <v>425</v>
      </c>
      <c r="L2587" t="s">
        <v>421</v>
      </c>
      <c r="M2587" t="s">
        <v>423</v>
      </c>
      <c r="N2587">
        <v>0</v>
      </c>
    </row>
    <row r="2588" spans="1:14" ht="15" customHeight="1" x14ac:dyDescent="0.25">
      <c r="A2588" s="82">
        <v>44863</v>
      </c>
      <c r="B2588" t="s">
        <v>424</v>
      </c>
      <c r="C2588" t="s">
        <v>429</v>
      </c>
      <c r="D2588" t="s">
        <v>428</v>
      </c>
      <c r="E2588" t="s">
        <v>425</v>
      </c>
      <c r="F2588" t="s">
        <v>430</v>
      </c>
      <c r="G2588" t="s">
        <v>426</v>
      </c>
      <c r="H2588" t="s">
        <v>455</v>
      </c>
      <c r="I2588" t="s">
        <v>427</v>
      </c>
      <c r="J2588" t="s">
        <v>421</v>
      </c>
      <c r="L2588" t="s">
        <v>421</v>
      </c>
      <c r="M2588" t="s">
        <v>423</v>
      </c>
      <c r="N2588">
        <v>0</v>
      </c>
    </row>
    <row r="2589" spans="1:14" ht="15" customHeight="1" x14ac:dyDescent="0.25">
      <c r="A2589" s="82">
        <v>44864</v>
      </c>
      <c r="B2589" t="s">
        <v>424</v>
      </c>
      <c r="C2589" t="s">
        <v>429</v>
      </c>
      <c r="D2589" t="s">
        <v>428</v>
      </c>
      <c r="E2589" t="s">
        <v>425</v>
      </c>
      <c r="F2589" t="s">
        <v>430</v>
      </c>
      <c r="G2589" t="s">
        <v>426</v>
      </c>
      <c r="H2589" t="s">
        <v>427</v>
      </c>
      <c r="I2589" t="s">
        <v>455</v>
      </c>
      <c r="J2589" t="s">
        <v>421</v>
      </c>
      <c r="L2589" t="s">
        <v>421</v>
      </c>
      <c r="M2589" t="s">
        <v>423</v>
      </c>
      <c r="N2589">
        <v>0</v>
      </c>
    </row>
    <row r="2590" spans="1:14" ht="15" customHeight="1" x14ac:dyDescent="0.25">
      <c r="A2590" s="82">
        <v>44865</v>
      </c>
      <c r="B2590" t="s">
        <v>424</v>
      </c>
      <c r="C2590" t="s">
        <v>429</v>
      </c>
      <c r="D2590" t="s">
        <v>428</v>
      </c>
      <c r="E2590" t="s">
        <v>425</v>
      </c>
      <c r="F2590" t="s">
        <v>430</v>
      </c>
      <c r="G2590" t="s">
        <v>426</v>
      </c>
      <c r="H2590" t="s">
        <v>455</v>
      </c>
      <c r="I2590" t="s">
        <v>421</v>
      </c>
      <c r="J2590" t="s">
        <v>427</v>
      </c>
      <c r="L2590" t="s">
        <v>423</v>
      </c>
      <c r="M2590" t="s">
        <v>421</v>
      </c>
      <c r="N2590">
        <v>0</v>
      </c>
    </row>
    <row r="2591" spans="1:14" ht="15" customHeight="1" x14ac:dyDescent="0.25">
      <c r="A2591" s="82">
        <v>44866</v>
      </c>
      <c r="B2591" t="s">
        <v>424</v>
      </c>
      <c r="C2591" t="s">
        <v>429</v>
      </c>
      <c r="D2591" t="s">
        <v>428</v>
      </c>
      <c r="E2591" t="s">
        <v>425</v>
      </c>
      <c r="F2591" t="s">
        <v>430</v>
      </c>
      <c r="G2591" t="s">
        <v>426</v>
      </c>
      <c r="H2591" t="s">
        <v>421</v>
      </c>
      <c r="I2591" t="s">
        <v>427</v>
      </c>
      <c r="J2591" t="s">
        <v>455</v>
      </c>
      <c r="L2591" t="s">
        <v>423</v>
      </c>
      <c r="M2591" t="s">
        <v>421</v>
      </c>
      <c r="N2591">
        <v>0</v>
      </c>
    </row>
    <row r="2592" spans="1:14" ht="15" customHeight="1" x14ac:dyDescent="0.25">
      <c r="A2592" s="82">
        <v>44867</v>
      </c>
      <c r="B2592" t="s">
        <v>424</v>
      </c>
      <c r="C2592" t="s">
        <v>429</v>
      </c>
      <c r="D2592" t="s">
        <v>428</v>
      </c>
      <c r="E2592" t="s">
        <v>425</v>
      </c>
      <c r="F2592" t="s">
        <v>430</v>
      </c>
      <c r="G2592" t="s">
        <v>426</v>
      </c>
      <c r="H2592" t="s">
        <v>421</v>
      </c>
      <c r="I2592" t="s">
        <v>455</v>
      </c>
      <c r="J2592" t="s">
        <v>427</v>
      </c>
      <c r="L2592" t="s">
        <v>423</v>
      </c>
      <c r="M2592" t="s">
        <v>421</v>
      </c>
      <c r="N2592">
        <v>0</v>
      </c>
    </row>
    <row r="2593" spans="1:14" ht="15" customHeight="1" x14ac:dyDescent="0.25">
      <c r="A2593" s="82">
        <v>44868</v>
      </c>
      <c r="B2593" t="s">
        <v>424</v>
      </c>
      <c r="C2593" t="s">
        <v>429</v>
      </c>
      <c r="D2593" t="s">
        <v>428</v>
      </c>
      <c r="E2593" t="s">
        <v>425</v>
      </c>
      <c r="F2593" t="s">
        <v>430</v>
      </c>
      <c r="G2593" t="s">
        <v>426</v>
      </c>
      <c r="H2593" t="s">
        <v>427</v>
      </c>
      <c r="I2593" t="s">
        <v>421</v>
      </c>
      <c r="J2593" t="s">
        <v>455</v>
      </c>
      <c r="L2593" t="s">
        <v>423</v>
      </c>
      <c r="M2593" t="s">
        <v>421</v>
      </c>
      <c r="N2593">
        <v>0</v>
      </c>
    </row>
    <row r="2594" spans="1:14" ht="15" customHeight="1" x14ac:dyDescent="0.25">
      <c r="A2594" s="82">
        <v>44869</v>
      </c>
      <c r="B2594" t="s">
        <v>424</v>
      </c>
      <c r="C2594" t="s">
        <v>426</v>
      </c>
      <c r="D2594" t="s">
        <v>425</v>
      </c>
      <c r="E2594" t="s">
        <v>425</v>
      </c>
      <c r="F2594" t="s">
        <v>421</v>
      </c>
      <c r="G2594" t="s">
        <v>427</v>
      </c>
      <c r="H2594" t="s">
        <v>455</v>
      </c>
      <c r="I2594" t="s">
        <v>429</v>
      </c>
      <c r="J2594" t="s">
        <v>424</v>
      </c>
      <c r="L2594" t="s">
        <v>421</v>
      </c>
      <c r="M2594" t="s">
        <v>423</v>
      </c>
      <c r="N2594">
        <v>0</v>
      </c>
    </row>
    <row r="2595" spans="1:14" ht="15" customHeight="1" x14ac:dyDescent="0.25">
      <c r="A2595" s="82">
        <v>44870</v>
      </c>
      <c r="B2595" t="s">
        <v>430</v>
      </c>
      <c r="C2595" t="s">
        <v>426</v>
      </c>
      <c r="D2595" t="s">
        <v>425</v>
      </c>
      <c r="E2595" t="s">
        <v>421</v>
      </c>
      <c r="F2595" t="s">
        <v>427</v>
      </c>
      <c r="G2595" t="s">
        <v>455</v>
      </c>
      <c r="H2595" t="s">
        <v>428</v>
      </c>
      <c r="I2595" t="s">
        <v>429</v>
      </c>
      <c r="J2595" t="s">
        <v>424</v>
      </c>
      <c r="L2595" t="s">
        <v>421</v>
      </c>
      <c r="M2595" t="s">
        <v>423</v>
      </c>
      <c r="N2595">
        <v>0</v>
      </c>
    </row>
    <row r="2596" spans="1:14" ht="15" customHeight="1" x14ac:dyDescent="0.25">
      <c r="A2596" s="82">
        <v>44871</v>
      </c>
      <c r="B2596" t="s">
        <v>430</v>
      </c>
      <c r="C2596" t="s">
        <v>426</v>
      </c>
      <c r="D2596" t="s">
        <v>425</v>
      </c>
      <c r="E2596" t="s">
        <v>421</v>
      </c>
      <c r="F2596" t="s">
        <v>455</v>
      </c>
      <c r="G2596" t="s">
        <v>427</v>
      </c>
      <c r="H2596" t="s">
        <v>428</v>
      </c>
      <c r="I2596" t="s">
        <v>429</v>
      </c>
      <c r="J2596" t="s">
        <v>424</v>
      </c>
      <c r="L2596" t="s">
        <v>421</v>
      </c>
      <c r="M2596" t="s">
        <v>423</v>
      </c>
      <c r="N2596">
        <v>0</v>
      </c>
    </row>
    <row r="2597" spans="1:14" ht="15" customHeight="1" x14ac:dyDescent="0.25">
      <c r="A2597" s="82">
        <v>44872</v>
      </c>
      <c r="B2597" t="s">
        <v>430</v>
      </c>
      <c r="C2597" t="s">
        <v>426</v>
      </c>
      <c r="D2597" t="s">
        <v>425</v>
      </c>
      <c r="E2597" t="s">
        <v>427</v>
      </c>
      <c r="F2597" t="s">
        <v>421</v>
      </c>
      <c r="G2597" t="s">
        <v>455</v>
      </c>
      <c r="H2597" t="s">
        <v>428</v>
      </c>
      <c r="I2597" t="s">
        <v>429</v>
      </c>
      <c r="J2597" t="s">
        <v>424</v>
      </c>
      <c r="L2597" t="s">
        <v>421</v>
      </c>
      <c r="M2597" t="s">
        <v>423</v>
      </c>
      <c r="N2597">
        <v>0</v>
      </c>
    </row>
    <row r="2598" spans="1:14" ht="15" customHeight="1" x14ac:dyDescent="0.25">
      <c r="A2598" s="82">
        <v>44873</v>
      </c>
      <c r="B2598" t="s">
        <v>430</v>
      </c>
      <c r="C2598" t="s">
        <v>426</v>
      </c>
      <c r="D2598" t="s">
        <v>425</v>
      </c>
      <c r="E2598" t="s">
        <v>455</v>
      </c>
      <c r="F2598" t="s">
        <v>427</v>
      </c>
      <c r="G2598" t="s">
        <v>421</v>
      </c>
      <c r="H2598" t="s">
        <v>428</v>
      </c>
      <c r="I2598" t="s">
        <v>429</v>
      </c>
      <c r="J2598" t="s">
        <v>424</v>
      </c>
      <c r="L2598" t="s">
        <v>421</v>
      </c>
      <c r="M2598" t="s">
        <v>423</v>
      </c>
      <c r="N2598">
        <v>0</v>
      </c>
    </row>
    <row r="2599" spans="1:14" ht="15" customHeight="1" x14ac:dyDescent="0.25">
      <c r="A2599" s="82">
        <v>44874</v>
      </c>
      <c r="B2599" t="s">
        <v>430</v>
      </c>
      <c r="C2599" t="s">
        <v>426</v>
      </c>
      <c r="D2599" t="s">
        <v>425</v>
      </c>
      <c r="E2599" t="s">
        <v>427</v>
      </c>
      <c r="F2599" t="s">
        <v>455</v>
      </c>
      <c r="G2599" t="s">
        <v>421</v>
      </c>
      <c r="H2599" t="s">
        <v>428</v>
      </c>
      <c r="I2599" t="s">
        <v>429</v>
      </c>
      <c r="J2599" t="s">
        <v>424</v>
      </c>
      <c r="L2599" t="s">
        <v>421</v>
      </c>
      <c r="M2599" t="s">
        <v>423</v>
      </c>
      <c r="N2599">
        <v>0</v>
      </c>
    </row>
    <row r="2600" spans="1:14" ht="15" customHeight="1" x14ac:dyDescent="0.25">
      <c r="A2600" s="82">
        <v>44875</v>
      </c>
      <c r="B2600" t="s">
        <v>430</v>
      </c>
      <c r="C2600" t="s">
        <v>426</v>
      </c>
      <c r="D2600" t="s">
        <v>425</v>
      </c>
      <c r="E2600" t="s">
        <v>455</v>
      </c>
      <c r="F2600" t="s">
        <v>421</v>
      </c>
      <c r="G2600" t="s">
        <v>427</v>
      </c>
      <c r="H2600" t="s">
        <v>428</v>
      </c>
      <c r="I2600" t="s">
        <v>429</v>
      </c>
      <c r="J2600" t="s">
        <v>424</v>
      </c>
      <c r="L2600" t="s">
        <v>423</v>
      </c>
      <c r="M2600" t="s">
        <v>421</v>
      </c>
      <c r="N2600">
        <v>0</v>
      </c>
    </row>
    <row r="2601" spans="1:14" ht="15" customHeight="1" x14ac:dyDescent="0.25">
      <c r="A2601" s="82">
        <v>44876</v>
      </c>
      <c r="B2601" t="s">
        <v>421</v>
      </c>
      <c r="C2601" t="s">
        <v>427</v>
      </c>
      <c r="D2601" t="s">
        <v>425</v>
      </c>
      <c r="E2601" t="s">
        <v>424</v>
      </c>
      <c r="F2601" t="s">
        <v>429</v>
      </c>
      <c r="G2601" t="s">
        <v>455</v>
      </c>
      <c r="H2601" t="s">
        <v>425</v>
      </c>
      <c r="I2601" t="s">
        <v>426</v>
      </c>
      <c r="J2601" t="s">
        <v>424</v>
      </c>
      <c r="L2601" t="s">
        <v>423</v>
      </c>
      <c r="M2601" t="s">
        <v>421</v>
      </c>
      <c r="N2601">
        <v>0</v>
      </c>
    </row>
    <row r="2602" spans="1:14" ht="15" customHeight="1" x14ac:dyDescent="0.25">
      <c r="A2602" s="82">
        <v>44877</v>
      </c>
      <c r="B2602" t="s">
        <v>427</v>
      </c>
      <c r="C2602" t="s">
        <v>455</v>
      </c>
      <c r="D2602" t="s">
        <v>421</v>
      </c>
      <c r="E2602" t="s">
        <v>424</v>
      </c>
      <c r="F2602" t="s">
        <v>429</v>
      </c>
      <c r="G2602" t="s">
        <v>428</v>
      </c>
      <c r="H2602" t="s">
        <v>425</v>
      </c>
      <c r="I2602" t="s">
        <v>426</v>
      </c>
      <c r="J2602" t="s">
        <v>430</v>
      </c>
      <c r="L2602" t="s">
        <v>423</v>
      </c>
      <c r="M2602" t="s">
        <v>421</v>
      </c>
      <c r="N2602">
        <v>0</v>
      </c>
    </row>
    <row r="2603" spans="1:14" ht="15" customHeight="1" x14ac:dyDescent="0.25">
      <c r="A2603" s="82">
        <v>44878</v>
      </c>
      <c r="B2603" t="s">
        <v>455</v>
      </c>
      <c r="C2603" t="s">
        <v>427</v>
      </c>
      <c r="D2603" t="s">
        <v>421</v>
      </c>
      <c r="E2603" t="s">
        <v>424</v>
      </c>
      <c r="F2603" t="s">
        <v>429</v>
      </c>
      <c r="G2603" t="s">
        <v>428</v>
      </c>
      <c r="H2603" t="s">
        <v>425</v>
      </c>
      <c r="I2603" t="s">
        <v>426</v>
      </c>
      <c r="J2603" t="s">
        <v>430</v>
      </c>
      <c r="L2603" t="s">
        <v>423</v>
      </c>
      <c r="M2603" t="s">
        <v>421</v>
      </c>
      <c r="N2603">
        <v>0</v>
      </c>
    </row>
    <row r="2604" spans="1:14" ht="15" customHeight="1" x14ac:dyDescent="0.25">
      <c r="A2604" s="82">
        <v>44879</v>
      </c>
      <c r="B2604" t="s">
        <v>421</v>
      </c>
      <c r="C2604" t="s">
        <v>455</v>
      </c>
      <c r="D2604" t="s">
        <v>427</v>
      </c>
      <c r="E2604" t="s">
        <v>424</v>
      </c>
      <c r="F2604" t="s">
        <v>429</v>
      </c>
      <c r="G2604" t="s">
        <v>428</v>
      </c>
      <c r="H2604" t="s">
        <v>425</v>
      </c>
      <c r="I2604" t="s">
        <v>426</v>
      </c>
      <c r="J2604" t="s">
        <v>430</v>
      </c>
      <c r="L2604" t="s">
        <v>423</v>
      </c>
      <c r="M2604" t="s">
        <v>421</v>
      </c>
      <c r="N2604">
        <v>0</v>
      </c>
    </row>
    <row r="2605" spans="1:14" ht="15" customHeight="1" x14ac:dyDescent="0.25">
      <c r="A2605" s="82">
        <v>44880</v>
      </c>
      <c r="B2605" t="s">
        <v>427</v>
      </c>
      <c r="C2605" t="s">
        <v>421</v>
      </c>
      <c r="D2605" t="s">
        <v>455</v>
      </c>
      <c r="E2605" t="s">
        <v>424</v>
      </c>
      <c r="F2605" t="s">
        <v>429</v>
      </c>
      <c r="G2605" t="s">
        <v>428</v>
      </c>
      <c r="H2605" t="s">
        <v>425</v>
      </c>
      <c r="I2605" t="s">
        <v>426</v>
      </c>
      <c r="J2605" t="s">
        <v>430</v>
      </c>
      <c r="L2605" t="s">
        <v>423</v>
      </c>
      <c r="M2605" t="s">
        <v>421</v>
      </c>
      <c r="N2605">
        <v>0</v>
      </c>
    </row>
    <row r="2606" spans="1:14" ht="15" customHeight="1" x14ac:dyDescent="0.25">
      <c r="A2606" s="82">
        <v>44881</v>
      </c>
      <c r="B2606" t="s">
        <v>455</v>
      </c>
      <c r="C2606" t="s">
        <v>421</v>
      </c>
      <c r="D2606" t="s">
        <v>427</v>
      </c>
      <c r="E2606" t="s">
        <v>424</v>
      </c>
      <c r="F2606" t="s">
        <v>429</v>
      </c>
      <c r="G2606" t="s">
        <v>428</v>
      </c>
      <c r="H2606" t="s">
        <v>425</v>
      </c>
      <c r="I2606" t="s">
        <v>426</v>
      </c>
      <c r="J2606" t="s">
        <v>430</v>
      </c>
      <c r="L2606" t="s">
        <v>421</v>
      </c>
      <c r="M2606" t="s">
        <v>423</v>
      </c>
      <c r="N2606">
        <v>0</v>
      </c>
    </row>
    <row r="2607" spans="1:14" ht="15" customHeight="1" x14ac:dyDescent="0.25">
      <c r="A2607" s="82">
        <v>44882</v>
      </c>
      <c r="B2607" t="s">
        <v>421</v>
      </c>
      <c r="C2607" t="s">
        <v>427</v>
      </c>
      <c r="D2607" t="s">
        <v>455</v>
      </c>
      <c r="E2607" t="s">
        <v>424</v>
      </c>
      <c r="F2607" t="s">
        <v>429</v>
      </c>
      <c r="G2607" t="s">
        <v>428</v>
      </c>
      <c r="H2607" t="s">
        <v>425</v>
      </c>
      <c r="I2607" t="s">
        <v>426</v>
      </c>
      <c r="J2607" t="s">
        <v>430</v>
      </c>
      <c r="L2607" t="s">
        <v>421</v>
      </c>
      <c r="M2607" t="s">
        <v>423</v>
      </c>
      <c r="N2607">
        <v>0</v>
      </c>
    </row>
    <row r="2608" spans="1:14" ht="15" customHeight="1" x14ac:dyDescent="0.25">
      <c r="A2608" s="82">
        <v>44883</v>
      </c>
      <c r="B2608" t="s">
        <v>429</v>
      </c>
      <c r="C2608" t="s">
        <v>455</v>
      </c>
      <c r="D2608" t="s">
        <v>424</v>
      </c>
      <c r="E2608" t="s">
        <v>424</v>
      </c>
      <c r="F2608" t="s">
        <v>426</v>
      </c>
      <c r="G2608" t="s">
        <v>425</v>
      </c>
      <c r="H2608" t="s">
        <v>425</v>
      </c>
      <c r="I2608" t="s">
        <v>427</v>
      </c>
      <c r="J2608" t="s">
        <v>421</v>
      </c>
      <c r="L2608" t="s">
        <v>421</v>
      </c>
      <c r="M2608" t="s">
        <v>428</v>
      </c>
      <c r="N2608">
        <v>0</v>
      </c>
    </row>
    <row r="2609" spans="1:14" ht="15" customHeight="1" x14ac:dyDescent="0.25">
      <c r="A2609" s="82">
        <v>44884</v>
      </c>
      <c r="B2609" t="s">
        <v>429</v>
      </c>
      <c r="C2609" t="s">
        <v>428</v>
      </c>
      <c r="D2609" t="s">
        <v>424</v>
      </c>
      <c r="E2609" t="s">
        <v>430</v>
      </c>
      <c r="F2609" t="s">
        <v>426</v>
      </c>
      <c r="G2609" t="s">
        <v>425</v>
      </c>
      <c r="H2609" t="s">
        <v>421</v>
      </c>
      <c r="I2609" t="s">
        <v>455</v>
      </c>
      <c r="J2609" t="s">
        <v>427</v>
      </c>
      <c r="L2609" t="s">
        <v>421</v>
      </c>
      <c r="M2609" t="s">
        <v>428</v>
      </c>
      <c r="N2609">
        <v>0</v>
      </c>
    </row>
    <row r="2610" spans="1:14" ht="15" customHeight="1" x14ac:dyDescent="0.25">
      <c r="A2610" s="82">
        <v>44885</v>
      </c>
      <c r="B2610" t="s">
        <v>429</v>
      </c>
      <c r="C2610" t="s">
        <v>428</v>
      </c>
      <c r="D2610" t="s">
        <v>424</v>
      </c>
      <c r="E2610" t="s">
        <v>430</v>
      </c>
      <c r="F2610" t="s">
        <v>426</v>
      </c>
      <c r="G2610" t="s">
        <v>425</v>
      </c>
      <c r="H2610" t="s">
        <v>421</v>
      </c>
      <c r="I2610" t="s">
        <v>427</v>
      </c>
      <c r="J2610" t="s">
        <v>455</v>
      </c>
      <c r="L2610" t="s">
        <v>421</v>
      </c>
      <c r="M2610" t="s">
        <v>428</v>
      </c>
      <c r="N2610">
        <v>0</v>
      </c>
    </row>
    <row r="2611" spans="1:14" ht="15" customHeight="1" x14ac:dyDescent="0.25">
      <c r="A2611" s="82">
        <v>44886</v>
      </c>
      <c r="B2611" t="s">
        <v>429</v>
      </c>
      <c r="C2611" t="s">
        <v>428</v>
      </c>
      <c r="D2611" t="s">
        <v>424</v>
      </c>
      <c r="E2611" t="s">
        <v>430</v>
      </c>
      <c r="F2611" t="s">
        <v>426</v>
      </c>
      <c r="G2611" t="s">
        <v>425</v>
      </c>
      <c r="H2611" t="s">
        <v>427</v>
      </c>
      <c r="I2611" t="s">
        <v>455</v>
      </c>
      <c r="J2611" t="s">
        <v>421</v>
      </c>
      <c r="L2611" t="s">
        <v>421</v>
      </c>
      <c r="M2611" t="s">
        <v>428</v>
      </c>
      <c r="N2611">
        <v>0</v>
      </c>
    </row>
    <row r="2612" spans="1:14" ht="15" customHeight="1" x14ac:dyDescent="0.25">
      <c r="A2612" s="82">
        <v>44887</v>
      </c>
      <c r="B2612" t="s">
        <v>429</v>
      </c>
      <c r="C2612" t="s">
        <v>428</v>
      </c>
      <c r="D2612" t="s">
        <v>424</v>
      </c>
      <c r="E2612" t="s">
        <v>430</v>
      </c>
      <c r="F2612" t="s">
        <v>426</v>
      </c>
      <c r="G2612" t="s">
        <v>425</v>
      </c>
      <c r="H2612" t="s">
        <v>455</v>
      </c>
      <c r="I2612" t="s">
        <v>421</v>
      </c>
      <c r="J2612" t="s">
        <v>427</v>
      </c>
      <c r="L2612" t="s">
        <v>423</v>
      </c>
      <c r="M2612" t="s">
        <v>421</v>
      </c>
      <c r="N2612">
        <v>0</v>
      </c>
    </row>
    <row r="2613" spans="1:14" ht="15" customHeight="1" x14ac:dyDescent="0.25">
      <c r="A2613" s="82">
        <v>44888</v>
      </c>
      <c r="B2613" t="s">
        <v>429</v>
      </c>
      <c r="C2613" t="s">
        <v>428</v>
      </c>
      <c r="D2613" t="s">
        <v>424</v>
      </c>
      <c r="E2613" t="s">
        <v>430</v>
      </c>
      <c r="F2613" t="s">
        <v>426</v>
      </c>
      <c r="G2613" t="s">
        <v>425</v>
      </c>
      <c r="H2613" t="s">
        <v>427</v>
      </c>
      <c r="I2613" t="s">
        <v>421</v>
      </c>
      <c r="J2613" t="s">
        <v>455</v>
      </c>
      <c r="L2613" t="s">
        <v>423</v>
      </c>
      <c r="M2613" t="s">
        <v>421</v>
      </c>
      <c r="N2613">
        <v>0</v>
      </c>
    </row>
    <row r="2614" spans="1:14" ht="15" customHeight="1" x14ac:dyDescent="0.25">
      <c r="A2614" s="82">
        <v>44889</v>
      </c>
      <c r="B2614" t="s">
        <v>429</v>
      </c>
      <c r="C2614" t="s">
        <v>428</v>
      </c>
      <c r="D2614" t="s">
        <v>424</v>
      </c>
      <c r="E2614" t="s">
        <v>430</v>
      </c>
      <c r="F2614" t="s">
        <v>426</v>
      </c>
      <c r="G2614" t="s">
        <v>425</v>
      </c>
      <c r="H2614" t="s">
        <v>455</v>
      </c>
      <c r="I2614" t="s">
        <v>427</v>
      </c>
      <c r="J2614" t="s">
        <v>421</v>
      </c>
      <c r="L2614" t="s">
        <v>423</v>
      </c>
      <c r="M2614" t="s">
        <v>421</v>
      </c>
      <c r="N2614">
        <v>0</v>
      </c>
    </row>
    <row r="2615" spans="1:14" ht="15" customHeight="1" x14ac:dyDescent="0.25">
      <c r="A2615" s="82">
        <v>44890</v>
      </c>
      <c r="B2615" t="s">
        <v>426</v>
      </c>
      <c r="C2615" t="s">
        <v>425</v>
      </c>
      <c r="D2615" t="s">
        <v>424</v>
      </c>
      <c r="E2615" t="s">
        <v>421</v>
      </c>
      <c r="F2615" t="s">
        <v>427</v>
      </c>
      <c r="G2615" t="s">
        <v>425</v>
      </c>
      <c r="H2615" t="s">
        <v>424</v>
      </c>
      <c r="I2615" t="s">
        <v>455</v>
      </c>
      <c r="J2615" t="s">
        <v>429</v>
      </c>
      <c r="L2615" t="s">
        <v>423</v>
      </c>
      <c r="M2615" t="s">
        <v>421</v>
      </c>
    </row>
    <row r="2616" spans="1:14" ht="15" customHeight="1" x14ac:dyDescent="0.25">
      <c r="A2616" s="82">
        <v>44891</v>
      </c>
      <c r="B2616" t="s">
        <v>426</v>
      </c>
      <c r="C2616" t="s">
        <v>425</v>
      </c>
      <c r="D2616" t="s">
        <v>430</v>
      </c>
      <c r="E2616" t="s">
        <v>427</v>
      </c>
      <c r="F2616" t="s">
        <v>455</v>
      </c>
      <c r="G2616" t="s">
        <v>421</v>
      </c>
      <c r="H2616" t="s">
        <v>424</v>
      </c>
      <c r="I2616" t="s">
        <v>428</v>
      </c>
      <c r="J2616" t="s">
        <v>429</v>
      </c>
      <c r="L2616" t="s">
        <v>423</v>
      </c>
      <c r="M2616" t="s">
        <v>421</v>
      </c>
    </row>
    <row r="2617" spans="1:14" ht="15" customHeight="1" x14ac:dyDescent="0.25">
      <c r="A2617" s="82">
        <v>44892</v>
      </c>
      <c r="B2617" t="s">
        <v>426</v>
      </c>
      <c r="C2617" t="s">
        <v>425</v>
      </c>
      <c r="D2617" t="s">
        <v>430</v>
      </c>
      <c r="E2617" t="s">
        <v>455</v>
      </c>
      <c r="F2617" t="s">
        <v>427</v>
      </c>
      <c r="G2617" t="s">
        <v>421</v>
      </c>
      <c r="H2617" t="s">
        <v>424</v>
      </c>
      <c r="I2617" t="s">
        <v>428</v>
      </c>
      <c r="J2617" t="s">
        <v>429</v>
      </c>
      <c r="L2617" t="s">
        <v>423</v>
      </c>
      <c r="M2617" t="s">
        <v>421</v>
      </c>
    </row>
    <row r="2618" spans="1:14" ht="15" customHeight="1" x14ac:dyDescent="0.25">
      <c r="A2618" s="82">
        <v>44893</v>
      </c>
      <c r="B2618" t="s">
        <v>426</v>
      </c>
      <c r="C2618" t="s">
        <v>425</v>
      </c>
      <c r="D2618" t="s">
        <v>430</v>
      </c>
      <c r="E2618" t="s">
        <v>421</v>
      </c>
      <c r="F2618" t="s">
        <v>455</v>
      </c>
      <c r="G2618" t="s">
        <v>427</v>
      </c>
      <c r="H2618" t="s">
        <v>424</v>
      </c>
      <c r="I2618" t="s">
        <v>428</v>
      </c>
      <c r="J2618" t="s">
        <v>429</v>
      </c>
      <c r="L2618" t="s">
        <v>421</v>
      </c>
      <c r="M2618" t="s">
        <v>423</v>
      </c>
    </row>
    <row r="2619" spans="1:14" ht="15" customHeight="1" x14ac:dyDescent="0.25">
      <c r="A2619" s="82">
        <v>44894</v>
      </c>
      <c r="B2619" t="s">
        <v>426</v>
      </c>
      <c r="C2619" t="s">
        <v>425</v>
      </c>
      <c r="D2619" t="s">
        <v>430</v>
      </c>
      <c r="E2619" t="s">
        <v>427</v>
      </c>
      <c r="F2619" t="s">
        <v>421</v>
      </c>
      <c r="G2619" t="s">
        <v>455</v>
      </c>
      <c r="H2619" t="s">
        <v>424</v>
      </c>
      <c r="I2619" t="s">
        <v>428</v>
      </c>
      <c r="J2619" t="s">
        <v>429</v>
      </c>
      <c r="L2619" t="s">
        <v>421</v>
      </c>
      <c r="M2619" t="s">
        <v>423</v>
      </c>
    </row>
    <row r="2620" spans="1:14" ht="15" customHeight="1" x14ac:dyDescent="0.25">
      <c r="A2620" s="82">
        <v>44895</v>
      </c>
      <c r="B2620" t="s">
        <v>426</v>
      </c>
      <c r="C2620" t="s">
        <v>425</v>
      </c>
      <c r="D2620" t="s">
        <v>430</v>
      </c>
      <c r="E2620" t="s">
        <v>455</v>
      </c>
      <c r="F2620" t="s">
        <v>421</v>
      </c>
      <c r="G2620" t="s">
        <v>427</v>
      </c>
      <c r="H2620" t="s">
        <v>424</v>
      </c>
      <c r="I2620" t="s">
        <v>428</v>
      </c>
      <c r="J2620" t="s">
        <v>429</v>
      </c>
      <c r="L2620" t="s">
        <v>421</v>
      </c>
      <c r="M2620" t="s">
        <v>423</v>
      </c>
    </row>
    <row r="2621" spans="1:14" ht="15" customHeight="1" x14ac:dyDescent="0.25">
      <c r="A2621" s="82">
        <v>44896</v>
      </c>
      <c r="B2621" t="s">
        <v>426</v>
      </c>
      <c r="C2621" t="s">
        <v>425</v>
      </c>
      <c r="D2621" t="s">
        <v>430</v>
      </c>
      <c r="E2621" t="s">
        <v>421</v>
      </c>
      <c r="F2621" t="s">
        <v>427</v>
      </c>
      <c r="G2621" t="s">
        <v>455</v>
      </c>
      <c r="H2621" t="s">
        <v>424</v>
      </c>
      <c r="I2621" t="s">
        <v>428</v>
      </c>
      <c r="J2621" t="s">
        <v>429</v>
      </c>
      <c r="L2621" t="s">
        <v>421</v>
      </c>
      <c r="M2621" t="s">
        <v>423</v>
      </c>
    </row>
    <row r="2622" spans="1:14" ht="15" customHeight="1" x14ac:dyDescent="0.25">
      <c r="A2622" s="82">
        <v>44897</v>
      </c>
      <c r="B2622" t="s">
        <v>427</v>
      </c>
      <c r="C2622" t="s">
        <v>425</v>
      </c>
      <c r="D2622" t="s">
        <v>421</v>
      </c>
      <c r="E2622" t="s">
        <v>429</v>
      </c>
      <c r="F2622" t="s">
        <v>455</v>
      </c>
      <c r="G2622" t="s">
        <v>424</v>
      </c>
      <c r="H2622" t="s">
        <v>424</v>
      </c>
      <c r="I2622" t="s">
        <v>425</v>
      </c>
      <c r="J2622" t="s">
        <v>426</v>
      </c>
      <c r="L2622" t="s">
        <v>423</v>
      </c>
      <c r="M2622" t="s">
        <v>421</v>
      </c>
    </row>
    <row r="2623" spans="1:14" ht="15" customHeight="1" x14ac:dyDescent="0.25">
      <c r="A2623" s="82">
        <v>44898</v>
      </c>
      <c r="B2623" t="s">
        <v>455</v>
      </c>
      <c r="C2623" t="s">
        <v>421</v>
      </c>
      <c r="D2623" t="s">
        <v>427</v>
      </c>
      <c r="E2623" t="s">
        <v>429</v>
      </c>
      <c r="F2623" t="s">
        <v>428</v>
      </c>
      <c r="G2623" t="s">
        <v>424</v>
      </c>
      <c r="H2623" t="s">
        <v>430</v>
      </c>
      <c r="I2623" t="s">
        <v>425</v>
      </c>
      <c r="J2623" t="s">
        <v>426</v>
      </c>
      <c r="L2623" t="s">
        <v>423</v>
      </c>
      <c r="M2623" t="s">
        <v>421</v>
      </c>
    </row>
    <row r="2624" spans="1:14" ht="15" customHeight="1" x14ac:dyDescent="0.25">
      <c r="A2624" s="82">
        <v>44899</v>
      </c>
      <c r="B2624" t="s">
        <v>427</v>
      </c>
      <c r="C2624" t="s">
        <v>421</v>
      </c>
      <c r="D2624" t="s">
        <v>455</v>
      </c>
      <c r="E2624" t="s">
        <v>429</v>
      </c>
      <c r="F2624" t="s">
        <v>428</v>
      </c>
      <c r="G2624" t="s">
        <v>424</v>
      </c>
      <c r="H2624" t="s">
        <v>430</v>
      </c>
      <c r="I2624" t="s">
        <v>425</v>
      </c>
      <c r="J2624" t="s">
        <v>426</v>
      </c>
      <c r="L2624" t="s">
        <v>423</v>
      </c>
      <c r="M2624" t="s">
        <v>421</v>
      </c>
    </row>
    <row r="2625" spans="1:13" ht="15" customHeight="1" x14ac:dyDescent="0.25">
      <c r="A2625" s="82">
        <v>44900</v>
      </c>
      <c r="B2625" t="s">
        <v>455</v>
      </c>
      <c r="C2625" t="s">
        <v>427</v>
      </c>
      <c r="D2625" t="s">
        <v>421</v>
      </c>
      <c r="E2625" t="s">
        <v>429</v>
      </c>
      <c r="F2625" t="s">
        <v>428</v>
      </c>
      <c r="G2625" t="s">
        <v>424</v>
      </c>
      <c r="H2625" t="s">
        <v>430</v>
      </c>
      <c r="I2625" t="s">
        <v>425</v>
      </c>
      <c r="J2625" t="s">
        <v>426</v>
      </c>
      <c r="L2625" t="s">
        <v>423</v>
      </c>
      <c r="M2625" t="s">
        <v>421</v>
      </c>
    </row>
    <row r="2626" spans="1:13" ht="15" customHeight="1" x14ac:dyDescent="0.25">
      <c r="A2626" s="82">
        <v>44901</v>
      </c>
      <c r="B2626" t="s">
        <v>421</v>
      </c>
      <c r="C2626" t="s">
        <v>455</v>
      </c>
      <c r="D2626" t="s">
        <v>427</v>
      </c>
      <c r="E2626" t="s">
        <v>429</v>
      </c>
      <c r="F2626" t="s">
        <v>428</v>
      </c>
      <c r="G2626" t="s">
        <v>424</v>
      </c>
      <c r="H2626" t="s">
        <v>430</v>
      </c>
      <c r="I2626" t="s">
        <v>425</v>
      </c>
      <c r="J2626" t="s">
        <v>426</v>
      </c>
      <c r="L2626" t="s">
        <v>423</v>
      </c>
      <c r="M2626" t="s">
        <v>421</v>
      </c>
    </row>
    <row r="2627" spans="1:13" ht="15" customHeight="1" x14ac:dyDescent="0.25">
      <c r="A2627" s="82">
        <v>44902</v>
      </c>
      <c r="B2627" t="s">
        <v>421</v>
      </c>
      <c r="C2627" t="s">
        <v>427</v>
      </c>
      <c r="D2627" t="s">
        <v>455</v>
      </c>
      <c r="E2627" t="s">
        <v>429</v>
      </c>
      <c r="F2627" t="s">
        <v>428</v>
      </c>
      <c r="G2627" t="s">
        <v>424</v>
      </c>
      <c r="H2627" t="s">
        <v>430</v>
      </c>
      <c r="I2627" t="s">
        <v>425</v>
      </c>
      <c r="J2627" t="s">
        <v>426</v>
      </c>
      <c r="L2627" t="s">
        <v>423</v>
      </c>
      <c r="M2627" t="s">
        <v>421</v>
      </c>
    </row>
    <row r="2628" spans="1:13" ht="15" customHeight="1" x14ac:dyDescent="0.25">
      <c r="A2628" s="82">
        <v>44903</v>
      </c>
      <c r="B2628" t="s">
        <v>427</v>
      </c>
      <c r="C2628" t="s">
        <v>455</v>
      </c>
      <c r="D2628" t="s">
        <v>421</v>
      </c>
      <c r="E2628" t="s">
        <v>429</v>
      </c>
      <c r="F2628" t="s">
        <v>428</v>
      </c>
      <c r="G2628" t="s">
        <v>424</v>
      </c>
      <c r="H2628" t="s">
        <v>430</v>
      </c>
      <c r="I2628" t="s">
        <v>425</v>
      </c>
      <c r="J2628" t="s">
        <v>426</v>
      </c>
      <c r="L2628" t="s">
        <v>421</v>
      </c>
      <c r="M2628" t="s">
        <v>423</v>
      </c>
    </row>
    <row r="2629" spans="1:13" ht="15" customHeight="1" x14ac:dyDescent="0.25">
      <c r="A2629" s="82">
        <v>44904</v>
      </c>
      <c r="B2629" t="s">
        <v>455</v>
      </c>
      <c r="C2629" t="s">
        <v>424</v>
      </c>
      <c r="D2629" t="s">
        <v>429</v>
      </c>
      <c r="E2629" t="s">
        <v>426</v>
      </c>
      <c r="F2629" t="s">
        <v>425</v>
      </c>
      <c r="G2629" t="s">
        <v>424</v>
      </c>
      <c r="H2629" t="s">
        <v>421</v>
      </c>
      <c r="I2629" t="s">
        <v>425</v>
      </c>
      <c r="J2629" t="s">
        <v>427</v>
      </c>
      <c r="L2629" t="s">
        <v>421</v>
      </c>
      <c r="M2629" t="s">
        <v>423</v>
      </c>
    </row>
    <row r="2630" spans="1:13" ht="15" customHeight="1" x14ac:dyDescent="0.25">
      <c r="A2630" s="82">
        <v>44905</v>
      </c>
      <c r="B2630" t="s">
        <v>428</v>
      </c>
      <c r="C2630" t="s">
        <v>424</v>
      </c>
      <c r="D2630" t="s">
        <v>429</v>
      </c>
      <c r="E2630" t="s">
        <v>426</v>
      </c>
      <c r="F2630" t="s">
        <v>425</v>
      </c>
      <c r="G2630" t="s">
        <v>430</v>
      </c>
      <c r="H2630" t="s">
        <v>427</v>
      </c>
      <c r="I2630" t="s">
        <v>421</v>
      </c>
      <c r="J2630" t="s">
        <v>455</v>
      </c>
      <c r="L2630" t="s">
        <v>421</v>
      </c>
      <c r="M2630" t="s">
        <v>423</v>
      </c>
    </row>
    <row r="2631" spans="1:13" ht="15" customHeight="1" x14ac:dyDescent="0.25">
      <c r="A2631" s="82">
        <v>44906</v>
      </c>
      <c r="B2631" t="s">
        <v>428</v>
      </c>
      <c r="C2631" t="s">
        <v>424</v>
      </c>
      <c r="D2631" t="s">
        <v>429</v>
      </c>
      <c r="E2631" t="s">
        <v>426</v>
      </c>
      <c r="F2631" t="s">
        <v>425</v>
      </c>
      <c r="G2631" t="s">
        <v>430</v>
      </c>
      <c r="H2631" t="s">
        <v>455</v>
      </c>
      <c r="I2631" t="s">
        <v>421</v>
      </c>
      <c r="J2631" t="s">
        <v>427</v>
      </c>
      <c r="L2631" t="s">
        <v>421</v>
      </c>
      <c r="M2631" t="s">
        <v>423</v>
      </c>
    </row>
    <row r="2632" spans="1:13" ht="15" customHeight="1" x14ac:dyDescent="0.25">
      <c r="A2632" s="82">
        <v>44907</v>
      </c>
      <c r="B2632" t="s">
        <v>428</v>
      </c>
      <c r="C2632" t="s">
        <v>424</v>
      </c>
      <c r="D2632" t="s">
        <v>429</v>
      </c>
      <c r="E2632" t="s">
        <v>426</v>
      </c>
      <c r="F2632" t="s">
        <v>425</v>
      </c>
      <c r="G2632" t="s">
        <v>430</v>
      </c>
      <c r="H2632" t="s">
        <v>421</v>
      </c>
      <c r="I2632" t="s">
        <v>427</v>
      </c>
      <c r="J2632" t="s">
        <v>455</v>
      </c>
      <c r="L2632" t="s">
        <v>421</v>
      </c>
      <c r="M2632" t="s">
        <v>423</v>
      </c>
    </row>
    <row r="2633" spans="1:13" ht="15" customHeight="1" x14ac:dyDescent="0.25">
      <c r="A2633" s="82">
        <v>44908</v>
      </c>
      <c r="B2633" t="s">
        <v>428</v>
      </c>
      <c r="C2633" t="s">
        <v>424</v>
      </c>
      <c r="D2633" t="s">
        <v>429</v>
      </c>
      <c r="E2633" t="s">
        <v>426</v>
      </c>
      <c r="F2633" t="s">
        <v>425</v>
      </c>
      <c r="G2633" t="s">
        <v>430</v>
      </c>
      <c r="H2633" t="s">
        <v>427</v>
      </c>
      <c r="I2633" t="s">
        <v>455</v>
      </c>
      <c r="J2633" t="s">
        <v>421</v>
      </c>
      <c r="L2633" t="s">
        <v>421</v>
      </c>
      <c r="M2633" t="s">
        <v>423</v>
      </c>
    </row>
    <row r="2634" spans="1:13" ht="15" customHeight="1" x14ac:dyDescent="0.25">
      <c r="A2634" s="82">
        <v>44909</v>
      </c>
      <c r="B2634" t="s">
        <v>428</v>
      </c>
      <c r="C2634" t="s">
        <v>424</v>
      </c>
      <c r="D2634" t="s">
        <v>429</v>
      </c>
      <c r="E2634" t="s">
        <v>426</v>
      </c>
      <c r="F2634" t="s">
        <v>425</v>
      </c>
      <c r="G2634" t="s">
        <v>430</v>
      </c>
      <c r="H2634" t="s">
        <v>455</v>
      </c>
      <c r="I2634" t="s">
        <v>427</v>
      </c>
      <c r="J2634" t="s">
        <v>421</v>
      </c>
      <c r="L2634" t="s">
        <v>423</v>
      </c>
      <c r="M2634" t="s">
        <v>421</v>
      </c>
    </row>
    <row r="2635" spans="1:13" ht="15" customHeight="1" x14ac:dyDescent="0.25">
      <c r="A2635" s="82">
        <v>44910</v>
      </c>
      <c r="B2635" t="s">
        <v>428</v>
      </c>
      <c r="C2635" t="s">
        <v>424</v>
      </c>
      <c r="D2635" t="s">
        <v>429</v>
      </c>
      <c r="E2635" t="s">
        <v>426</v>
      </c>
      <c r="F2635" t="s">
        <v>425</v>
      </c>
      <c r="G2635" t="s">
        <v>430</v>
      </c>
      <c r="H2635" t="s">
        <v>421</v>
      </c>
      <c r="I2635" t="s">
        <v>455</v>
      </c>
      <c r="J2635" t="s">
        <v>427</v>
      </c>
      <c r="L2635" t="s">
        <v>423</v>
      </c>
      <c r="M2635" t="s">
        <v>421</v>
      </c>
    </row>
    <row r="2636" spans="1:13" ht="15" customHeight="1" x14ac:dyDescent="0.25">
      <c r="A2636" s="82">
        <v>44911</v>
      </c>
      <c r="B2636" t="s">
        <v>425</v>
      </c>
      <c r="C2636" t="s">
        <v>424</v>
      </c>
      <c r="D2636" t="s">
        <v>426</v>
      </c>
      <c r="E2636" t="s">
        <v>427</v>
      </c>
      <c r="F2636" t="s">
        <v>425</v>
      </c>
      <c r="G2636" t="s">
        <v>421</v>
      </c>
      <c r="H2636" t="s">
        <v>429</v>
      </c>
      <c r="I2636" t="s">
        <v>424</v>
      </c>
      <c r="J2636" t="s">
        <v>455</v>
      </c>
      <c r="L2636" t="s">
        <v>428</v>
      </c>
      <c r="M2636" t="s">
        <v>421</v>
      </c>
    </row>
    <row r="2637" spans="1:13" ht="15" customHeight="1" x14ac:dyDescent="0.25">
      <c r="A2637" s="82">
        <v>44912</v>
      </c>
      <c r="B2637" t="s">
        <v>425</v>
      </c>
      <c r="C2637" t="s">
        <v>430</v>
      </c>
      <c r="D2637" t="s">
        <v>426</v>
      </c>
      <c r="E2637" t="s">
        <v>455</v>
      </c>
      <c r="F2637" t="s">
        <v>421</v>
      </c>
      <c r="G2637" t="s">
        <v>427</v>
      </c>
      <c r="H2637" t="s">
        <v>429</v>
      </c>
      <c r="I2637" t="s">
        <v>424</v>
      </c>
      <c r="J2637" t="s">
        <v>428</v>
      </c>
      <c r="L2637" t="s">
        <v>428</v>
      </c>
      <c r="M2637" t="s">
        <v>421</v>
      </c>
    </row>
    <row r="2638" spans="1:13" ht="15" customHeight="1" x14ac:dyDescent="0.25">
      <c r="A2638" s="82">
        <v>44913</v>
      </c>
      <c r="B2638" t="s">
        <v>425</v>
      </c>
      <c r="C2638" t="s">
        <v>430</v>
      </c>
      <c r="D2638" t="s">
        <v>426</v>
      </c>
      <c r="E2638" t="s">
        <v>427</v>
      </c>
      <c r="F2638" t="s">
        <v>421</v>
      </c>
      <c r="G2638" t="s">
        <v>455</v>
      </c>
      <c r="H2638" t="s">
        <v>429</v>
      </c>
      <c r="I2638" t="s">
        <v>424</v>
      </c>
      <c r="J2638" t="s">
        <v>428</v>
      </c>
      <c r="L2638" t="s">
        <v>428</v>
      </c>
      <c r="M2638" t="s">
        <v>421</v>
      </c>
    </row>
    <row r="2639" spans="1:13" ht="15" customHeight="1" x14ac:dyDescent="0.25">
      <c r="A2639" s="82">
        <v>44914</v>
      </c>
      <c r="B2639" t="s">
        <v>425</v>
      </c>
      <c r="C2639" t="s">
        <v>430</v>
      </c>
      <c r="D2639" t="s">
        <v>426</v>
      </c>
      <c r="E2639" t="s">
        <v>455</v>
      </c>
      <c r="F2639" t="s">
        <v>427</v>
      </c>
      <c r="G2639" t="s">
        <v>421</v>
      </c>
      <c r="H2639" t="s">
        <v>429</v>
      </c>
      <c r="I2639" t="s">
        <v>424</v>
      </c>
      <c r="J2639" t="s">
        <v>428</v>
      </c>
      <c r="L2639" t="s">
        <v>428</v>
      </c>
      <c r="M2639" t="s">
        <v>421</v>
      </c>
    </row>
    <row r="2640" spans="1:13" ht="15" customHeight="1" x14ac:dyDescent="0.25">
      <c r="A2640" s="82">
        <v>44915</v>
      </c>
      <c r="B2640" t="s">
        <v>425</v>
      </c>
      <c r="C2640" t="s">
        <v>430</v>
      </c>
      <c r="D2640" t="s">
        <v>426</v>
      </c>
      <c r="E2640" t="s">
        <v>421</v>
      </c>
      <c r="F2640" t="s">
        <v>455</v>
      </c>
      <c r="G2640" t="s">
        <v>427</v>
      </c>
      <c r="H2640" t="s">
        <v>429</v>
      </c>
      <c r="I2640" t="s">
        <v>424</v>
      </c>
      <c r="J2640" t="s">
        <v>428</v>
      </c>
      <c r="L2640" t="s">
        <v>421</v>
      </c>
      <c r="M2640" t="s">
        <v>423</v>
      </c>
    </row>
    <row r="2641" spans="1:13" ht="15" customHeight="1" x14ac:dyDescent="0.25">
      <c r="A2641" s="82">
        <v>44916</v>
      </c>
      <c r="B2641" t="s">
        <v>425</v>
      </c>
      <c r="C2641" t="s">
        <v>430</v>
      </c>
      <c r="D2641" t="s">
        <v>426</v>
      </c>
      <c r="E2641" t="s">
        <v>421</v>
      </c>
      <c r="F2641" t="s">
        <v>427</v>
      </c>
      <c r="G2641" t="s">
        <v>455</v>
      </c>
      <c r="H2641" t="s">
        <v>429</v>
      </c>
      <c r="I2641" t="s">
        <v>424</v>
      </c>
      <c r="J2641" t="s">
        <v>428</v>
      </c>
      <c r="L2641" t="s">
        <v>421</v>
      </c>
      <c r="M2641" t="s">
        <v>423</v>
      </c>
    </row>
    <row r="2642" spans="1:13" ht="15" customHeight="1" x14ac:dyDescent="0.25">
      <c r="A2642" s="82">
        <v>44917</v>
      </c>
      <c r="B2642" t="s">
        <v>425</v>
      </c>
      <c r="C2642" t="s">
        <v>430</v>
      </c>
      <c r="D2642" t="s">
        <v>426</v>
      </c>
      <c r="E2642" t="s">
        <v>427</v>
      </c>
      <c r="F2642" t="s">
        <v>455</v>
      </c>
      <c r="G2642" t="s">
        <v>421</v>
      </c>
      <c r="H2642" t="s">
        <v>429</v>
      </c>
      <c r="I2642" t="s">
        <v>424</v>
      </c>
      <c r="J2642" t="s">
        <v>428</v>
      </c>
      <c r="L2642" t="s">
        <v>421</v>
      </c>
      <c r="M2642" t="s">
        <v>423</v>
      </c>
    </row>
    <row r="2643" spans="1:13" ht="15" customHeight="1" x14ac:dyDescent="0.25">
      <c r="A2643" s="82">
        <v>44918</v>
      </c>
      <c r="B2643" t="s">
        <v>425</v>
      </c>
      <c r="C2643" t="s">
        <v>421</v>
      </c>
      <c r="D2643" t="s">
        <v>427</v>
      </c>
      <c r="E2643" t="s">
        <v>455</v>
      </c>
      <c r="F2643" t="s">
        <v>424</v>
      </c>
      <c r="G2643" t="s">
        <v>429</v>
      </c>
      <c r="H2643" t="s">
        <v>426</v>
      </c>
      <c r="I2643" t="s">
        <v>430</v>
      </c>
      <c r="J2643" t="s">
        <v>425</v>
      </c>
      <c r="L2643" t="s">
        <v>421</v>
      </c>
      <c r="M2643" t="s">
        <v>423</v>
      </c>
    </row>
    <row r="2644" spans="1:13" ht="15" customHeight="1" x14ac:dyDescent="0.25">
      <c r="A2644" s="82">
        <v>44919</v>
      </c>
      <c r="B2644" t="s">
        <v>421</v>
      </c>
      <c r="C2644" t="s">
        <v>427</v>
      </c>
      <c r="D2644" t="s">
        <v>455</v>
      </c>
      <c r="E2644" t="s">
        <v>428</v>
      </c>
      <c r="F2644" t="s">
        <v>424</v>
      </c>
      <c r="G2644" t="s">
        <v>429</v>
      </c>
      <c r="H2644" t="s">
        <v>426</v>
      </c>
      <c r="I2644" t="s">
        <v>430</v>
      </c>
      <c r="J2644" t="s">
        <v>425</v>
      </c>
      <c r="L2644" t="s">
        <v>421</v>
      </c>
      <c r="M2644" t="s">
        <v>423</v>
      </c>
    </row>
    <row r="2645" spans="1:13" ht="15" customHeight="1" x14ac:dyDescent="0.25">
      <c r="A2645" s="82">
        <v>44920</v>
      </c>
      <c r="B2645" t="s">
        <v>421</v>
      </c>
      <c r="C2645" t="s">
        <v>455</v>
      </c>
      <c r="D2645" t="s">
        <v>427</v>
      </c>
      <c r="E2645" t="s">
        <v>428</v>
      </c>
      <c r="F2645" t="s">
        <v>424</v>
      </c>
      <c r="G2645" t="s">
        <v>429</v>
      </c>
      <c r="H2645" t="s">
        <v>426</v>
      </c>
      <c r="I2645" t="s">
        <v>430</v>
      </c>
      <c r="J2645" t="s">
        <v>425</v>
      </c>
      <c r="L2645" t="s">
        <v>421</v>
      </c>
      <c r="M2645" t="s">
        <v>423</v>
      </c>
    </row>
    <row r="2646" spans="1:13" ht="15" customHeight="1" x14ac:dyDescent="0.25">
      <c r="A2646" s="82">
        <v>44921</v>
      </c>
      <c r="B2646" t="s">
        <v>427</v>
      </c>
      <c r="C2646" t="s">
        <v>421</v>
      </c>
      <c r="D2646" t="s">
        <v>455</v>
      </c>
      <c r="E2646" t="s">
        <v>428</v>
      </c>
      <c r="F2646" t="s">
        <v>424</v>
      </c>
      <c r="G2646" t="s">
        <v>429</v>
      </c>
      <c r="H2646" t="s">
        <v>426</v>
      </c>
      <c r="I2646" t="s">
        <v>430</v>
      </c>
      <c r="J2646" t="s">
        <v>425</v>
      </c>
      <c r="L2646" t="s">
        <v>423</v>
      </c>
      <c r="M2646" t="s">
        <v>421</v>
      </c>
    </row>
    <row r="2647" spans="1:13" ht="15" customHeight="1" x14ac:dyDescent="0.25">
      <c r="A2647" s="82">
        <v>44922</v>
      </c>
      <c r="B2647" t="s">
        <v>455</v>
      </c>
      <c r="C2647" t="s">
        <v>427</v>
      </c>
      <c r="D2647" t="s">
        <v>421</v>
      </c>
      <c r="E2647" t="s">
        <v>428</v>
      </c>
      <c r="F2647" t="s">
        <v>424</v>
      </c>
      <c r="G2647" t="s">
        <v>429</v>
      </c>
      <c r="H2647" t="s">
        <v>426</v>
      </c>
      <c r="I2647" t="s">
        <v>430</v>
      </c>
      <c r="J2647" t="s">
        <v>425</v>
      </c>
      <c r="L2647" t="s">
        <v>423</v>
      </c>
      <c r="M2647" t="s">
        <v>421</v>
      </c>
    </row>
    <row r="2648" spans="1:13" ht="15" customHeight="1" x14ac:dyDescent="0.25">
      <c r="A2648" s="82">
        <v>44923</v>
      </c>
      <c r="B2648" t="s">
        <v>427</v>
      </c>
      <c r="C2648" t="s">
        <v>455</v>
      </c>
      <c r="D2648" t="s">
        <v>421</v>
      </c>
      <c r="E2648" t="s">
        <v>428</v>
      </c>
      <c r="F2648" t="s">
        <v>424</v>
      </c>
      <c r="G2648" t="s">
        <v>429</v>
      </c>
      <c r="H2648" t="s">
        <v>426</v>
      </c>
      <c r="I2648" t="s">
        <v>430</v>
      </c>
      <c r="J2648" t="s">
        <v>425</v>
      </c>
      <c r="L2648" t="s">
        <v>423</v>
      </c>
      <c r="M2648" t="s">
        <v>421</v>
      </c>
    </row>
    <row r="2649" spans="1:13" ht="15" customHeight="1" x14ac:dyDescent="0.25">
      <c r="A2649" s="82">
        <v>44924</v>
      </c>
      <c r="B2649" t="s">
        <v>455</v>
      </c>
      <c r="C2649" t="s">
        <v>421</v>
      </c>
      <c r="D2649" t="s">
        <v>427</v>
      </c>
      <c r="E2649" t="s">
        <v>428</v>
      </c>
      <c r="F2649" t="s">
        <v>424</v>
      </c>
      <c r="G2649" t="s">
        <v>429</v>
      </c>
      <c r="H2649" t="s">
        <v>426</v>
      </c>
      <c r="I2649" t="s">
        <v>430</v>
      </c>
      <c r="J2649" t="s">
        <v>425</v>
      </c>
      <c r="L2649" t="s">
        <v>423</v>
      </c>
      <c r="M2649" t="s">
        <v>421</v>
      </c>
    </row>
    <row r="2650" spans="1:13" ht="15" customHeight="1" x14ac:dyDescent="0.25">
      <c r="A2650" s="82">
        <v>44925</v>
      </c>
      <c r="B2650" t="s">
        <v>430</v>
      </c>
      <c r="C2650" t="s">
        <v>429</v>
      </c>
      <c r="D2650" t="s">
        <v>455</v>
      </c>
      <c r="E2650" t="s">
        <v>425</v>
      </c>
      <c r="F2650" t="s">
        <v>424</v>
      </c>
      <c r="G2650" t="s">
        <v>426</v>
      </c>
      <c r="H2650" t="s">
        <v>427</v>
      </c>
      <c r="I2650" t="s">
        <v>421</v>
      </c>
      <c r="J2650" t="s">
        <v>425</v>
      </c>
      <c r="L2650" t="s">
        <v>421</v>
      </c>
      <c r="M2650" t="s">
        <v>423</v>
      </c>
    </row>
    <row r="2651" spans="1:13" ht="15" customHeight="1" x14ac:dyDescent="0.25">
      <c r="A2651" s="82">
        <v>44926</v>
      </c>
      <c r="B2651" t="s">
        <v>430</v>
      </c>
      <c r="C2651" t="s">
        <v>429</v>
      </c>
      <c r="D2651" t="s">
        <v>428</v>
      </c>
      <c r="E2651" t="s">
        <v>425</v>
      </c>
      <c r="F2651" t="s">
        <v>421</v>
      </c>
      <c r="G2651" t="s">
        <v>426</v>
      </c>
      <c r="H2651" t="s">
        <v>455</v>
      </c>
      <c r="I2651" t="s">
        <v>427</v>
      </c>
      <c r="J2651" t="s">
        <v>424</v>
      </c>
      <c r="L2651" t="s">
        <v>421</v>
      </c>
      <c r="M2651" t="s">
        <v>423</v>
      </c>
    </row>
    <row r="2652" spans="1:13" ht="15" customHeight="1" x14ac:dyDescent="0.25">
      <c r="A2652" s="82">
        <v>44927</v>
      </c>
      <c r="B2652" t="s">
        <v>430</v>
      </c>
      <c r="C2652" t="s">
        <v>429</v>
      </c>
      <c r="D2652" t="s">
        <v>428</v>
      </c>
      <c r="E2652" t="s">
        <v>425</v>
      </c>
      <c r="F2652" t="s">
        <v>421</v>
      </c>
      <c r="G2652" t="s">
        <v>426</v>
      </c>
      <c r="H2652" t="s">
        <v>427</v>
      </c>
      <c r="I2652" t="s">
        <v>455</v>
      </c>
      <c r="J2652" t="s">
        <v>424</v>
      </c>
      <c r="L2652" t="s">
        <v>421</v>
      </c>
      <c r="M2652" t="s">
        <v>423</v>
      </c>
    </row>
    <row r="2653" spans="1:13" ht="15" customHeight="1" x14ac:dyDescent="0.25">
      <c r="A2653" s="82">
        <v>44928</v>
      </c>
      <c r="B2653" t="s">
        <v>430</v>
      </c>
      <c r="C2653" t="s">
        <v>429</v>
      </c>
      <c r="D2653" t="s">
        <v>428</v>
      </c>
      <c r="E2653" t="s">
        <v>425</v>
      </c>
      <c r="F2653" t="s">
        <v>427</v>
      </c>
      <c r="G2653" t="s">
        <v>426</v>
      </c>
      <c r="H2653" t="s">
        <v>455</v>
      </c>
      <c r="I2653" t="s">
        <v>421</v>
      </c>
      <c r="J2653" t="s">
        <v>424</v>
      </c>
      <c r="L2653" t="s">
        <v>421</v>
      </c>
      <c r="M2653" t="s">
        <v>423</v>
      </c>
    </row>
    <row r="2654" spans="1:13" ht="15" customHeight="1" x14ac:dyDescent="0.25">
      <c r="A2654" s="82">
        <v>44929</v>
      </c>
      <c r="B2654" t="s">
        <v>430</v>
      </c>
      <c r="C2654" t="s">
        <v>429</v>
      </c>
      <c r="D2654" t="s">
        <v>428</v>
      </c>
      <c r="E2654" t="s">
        <v>425</v>
      </c>
      <c r="F2654" t="s">
        <v>455</v>
      </c>
      <c r="G2654" t="s">
        <v>426</v>
      </c>
      <c r="H2654" t="s">
        <v>421</v>
      </c>
      <c r="I2654" t="s">
        <v>427</v>
      </c>
      <c r="J2654" t="s">
        <v>424</v>
      </c>
      <c r="L2654" t="s">
        <v>421</v>
      </c>
      <c r="M2654" t="s">
        <v>423</v>
      </c>
    </row>
    <row r="2655" spans="1:13" ht="15" customHeight="1" x14ac:dyDescent="0.25">
      <c r="A2655" s="82">
        <v>44930</v>
      </c>
      <c r="B2655" t="s">
        <v>427</v>
      </c>
      <c r="C2655" t="s">
        <v>429</v>
      </c>
      <c r="D2655" t="s">
        <v>428</v>
      </c>
      <c r="E2655" t="s">
        <v>425</v>
      </c>
      <c r="F2655" t="s">
        <v>430</v>
      </c>
      <c r="G2655" t="s">
        <v>426</v>
      </c>
      <c r="H2655" t="s">
        <v>421</v>
      </c>
      <c r="I2655" t="s">
        <v>455</v>
      </c>
      <c r="J2655" t="s">
        <v>424</v>
      </c>
      <c r="L2655" t="s">
        <v>421</v>
      </c>
      <c r="M2655" t="s">
        <v>423</v>
      </c>
    </row>
    <row r="2656" spans="1:13" ht="15" customHeight="1" x14ac:dyDescent="0.25">
      <c r="A2656" s="82">
        <v>44931</v>
      </c>
      <c r="B2656" t="s">
        <v>455</v>
      </c>
      <c r="C2656" t="s">
        <v>429</v>
      </c>
      <c r="D2656" t="s">
        <v>428</v>
      </c>
      <c r="E2656" t="s">
        <v>425</v>
      </c>
      <c r="F2656" t="s">
        <v>424</v>
      </c>
      <c r="G2656" t="s">
        <v>426</v>
      </c>
      <c r="H2656" t="s">
        <v>427</v>
      </c>
      <c r="I2656" t="s">
        <v>421</v>
      </c>
      <c r="J2656" t="s">
        <v>430</v>
      </c>
      <c r="L2656" t="s">
        <v>423</v>
      </c>
      <c r="M2656" t="s">
        <v>421</v>
      </c>
    </row>
    <row r="2657" spans="1:13" ht="15" customHeight="1" x14ac:dyDescent="0.25">
      <c r="A2657" s="82">
        <v>44932</v>
      </c>
      <c r="B2657" t="s">
        <v>424</v>
      </c>
      <c r="C2657" t="s">
        <v>426</v>
      </c>
      <c r="D2657" t="s">
        <v>425</v>
      </c>
      <c r="E2657" t="s">
        <v>425</v>
      </c>
      <c r="F2657" t="s">
        <v>421</v>
      </c>
      <c r="G2657" t="s">
        <v>427</v>
      </c>
      <c r="H2657" t="s">
        <v>455</v>
      </c>
      <c r="I2657" t="s">
        <v>429</v>
      </c>
      <c r="J2657" t="s">
        <v>424</v>
      </c>
      <c r="L2657" t="s">
        <v>423</v>
      </c>
      <c r="M2657" t="s">
        <v>421</v>
      </c>
    </row>
    <row r="2658" spans="1:13" ht="15" customHeight="1" x14ac:dyDescent="0.25">
      <c r="A2658" s="82">
        <v>44933</v>
      </c>
      <c r="B2658" t="s">
        <v>430</v>
      </c>
      <c r="C2658" t="s">
        <v>426</v>
      </c>
      <c r="D2658" t="s">
        <v>425</v>
      </c>
      <c r="E2658" t="s">
        <v>421</v>
      </c>
      <c r="F2658" t="s">
        <v>427</v>
      </c>
      <c r="G2658" t="s">
        <v>455</v>
      </c>
      <c r="H2658" t="s">
        <v>428</v>
      </c>
      <c r="I2658" t="s">
        <v>429</v>
      </c>
      <c r="J2658" t="s">
        <v>424</v>
      </c>
      <c r="L2658" t="s">
        <v>423</v>
      </c>
      <c r="M2658" t="s">
        <v>421</v>
      </c>
    </row>
    <row r="2659" spans="1:13" ht="15" customHeight="1" x14ac:dyDescent="0.25">
      <c r="A2659" s="82">
        <v>44934</v>
      </c>
      <c r="B2659" t="s">
        <v>430</v>
      </c>
      <c r="C2659" t="s">
        <v>426</v>
      </c>
      <c r="D2659" t="s">
        <v>425</v>
      </c>
      <c r="E2659" t="s">
        <v>421</v>
      </c>
      <c r="F2659" t="s">
        <v>455</v>
      </c>
      <c r="G2659" t="s">
        <v>427</v>
      </c>
      <c r="H2659" t="s">
        <v>428</v>
      </c>
      <c r="I2659" t="s">
        <v>429</v>
      </c>
      <c r="J2659" t="s">
        <v>424</v>
      </c>
      <c r="L2659" t="s">
        <v>423</v>
      </c>
      <c r="M2659" t="s">
        <v>421</v>
      </c>
    </row>
    <row r="2660" spans="1:13" ht="15" customHeight="1" x14ac:dyDescent="0.25">
      <c r="A2660" s="82">
        <v>44935</v>
      </c>
      <c r="B2660" t="s">
        <v>430</v>
      </c>
      <c r="C2660" t="s">
        <v>426</v>
      </c>
      <c r="D2660" t="s">
        <v>425</v>
      </c>
      <c r="E2660" t="s">
        <v>427</v>
      </c>
      <c r="F2660" t="s">
        <v>421</v>
      </c>
      <c r="G2660" t="s">
        <v>455</v>
      </c>
      <c r="H2660" t="s">
        <v>428</v>
      </c>
      <c r="I2660" t="s">
        <v>429</v>
      </c>
      <c r="J2660" t="s">
        <v>424</v>
      </c>
      <c r="L2660" t="s">
        <v>423</v>
      </c>
      <c r="M2660" t="s">
        <v>421</v>
      </c>
    </row>
    <row r="2661" spans="1:13" ht="15" customHeight="1" x14ac:dyDescent="0.25">
      <c r="A2661" s="82">
        <v>44936</v>
      </c>
      <c r="B2661" t="s">
        <v>430</v>
      </c>
      <c r="C2661" t="s">
        <v>426</v>
      </c>
      <c r="D2661" t="s">
        <v>425</v>
      </c>
      <c r="E2661" t="s">
        <v>455</v>
      </c>
      <c r="F2661" t="s">
        <v>427</v>
      </c>
      <c r="G2661" t="s">
        <v>421</v>
      </c>
      <c r="H2661" t="s">
        <v>428</v>
      </c>
      <c r="I2661" t="s">
        <v>429</v>
      </c>
      <c r="J2661" t="s">
        <v>424</v>
      </c>
      <c r="L2661" t="s">
        <v>423</v>
      </c>
      <c r="M2661" t="s">
        <v>421</v>
      </c>
    </row>
    <row r="2662" spans="1:13" ht="15" customHeight="1" x14ac:dyDescent="0.25">
      <c r="A2662" s="82">
        <v>44937</v>
      </c>
      <c r="B2662" t="s">
        <v>430</v>
      </c>
      <c r="C2662" t="s">
        <v>426</v>
      </c>
      <c r="D2662" t="s">
        <v>425</v>
      </c>
      <c r="E2662" t="s">
        <v>427</v>
      </c>
      <c r="F2662" t="s">
        <v>455</v>
      </c>
      <c r="G2662" t="s">
        <v>421</v>
      </c>
      <c r="H2662" t="s">
        <v>428</v>
      </c>
      <c r="I2662" t="s">
        <v>429</v>
      </c>
      <c r="J2662" t="s">
        <v>424</v>
      </c>
      <c r="L2662" t="s">
        <v>421</v>
      </c>
      <c r="M2662" t="s">
        <v>423</v>
      </c>
    </row>
    <row r="2663" spans="1:13" ht="15" customHeight="1" x14ac:dyDescent="0.25">
      <c r="A2663" s="82">
        <v>44938</v>
      </c>
      <c r="B2663" t="s">
        <v>430</v>
      </c>
      <c r="C2663" t="s">
        <v>426</v>
      </c>
      <c r="D2663" t="s">
        <v>425</v>
      </c>
      <c r="E2663" t="s">
        <v>455</v>
      </c>
      <c r="F2663" t="s">
        <v>421</v>
      </c>
      <c r="G2663" t="s">
        <v>427</v>
      </c>
      <c r="H2663" t="s">
        <v>428</v>
      </c>
      <c r="I2663" t="s">
        <v>429</v>
      </c>
      <c r="J2663" t="s">
        <v>424</v>
      </c>
      <c r="L2663" t="s">
        <v>421</v>
      </c>
      <c r="M2663" t="s">
        <v>423</v>
      </c>
    </row>
    <row r="2664" spans="1:13" ht="15" customHeight="1" x14ac:dyDescent="0.25">
      <c r="A2664" s="82">
        <v>44939</v>
      </c>
      <c r="B2664" t="s">
        <v>421</v>
      </c>
      <c r="C2664" t="s">
        <v>427</v>
      </c>
      <c r="D2664" t="s">
        <v>425</v>
      </c>
      <c r="E2664" t="s">
        <v>424</v>
      </c>
      <c r="F2664" t="s">
        <v>429</v>
      </c>
      <c r="G2664" t="s">
        <v>455</v>
      </c>
      <c r="H2664" t="s">
        <v>425</v>
      </c>
      <c r="I2664" t="s">
        <v>426</v>
      </c>
      <c r="J2664" t="s">
        <v>424</v>
      </c>
      <c r="L2664" t="s">
        <v>421</v>
      </c>
      <c r="M2664" t="s">
        <v>428</v>
      </c>
    </row>
    <row r="2665" spans="1:13" ht="15" customHeight="1" x14ac:dyDescent="0.25">
      <c r="A2665" s="82">
        <v>44940</v>
      </c>
      <c r="B2665" t="s">
        <v>427</v>
      </c>
      <c r="C2665" t="s">
        <v>455</v>
      </c>
      <c r="D2665" t="s">
        <v>421</v>
      </c>
      <c r="E2665" t="s">
        <v>424</v>
      </c>
      <c r="F2665" t="s">
        <v>429</v>
      </c>
      <c r="G2665" t="s">
        <v>428</v>
      </c>
      <c r="H2665" t="s">
        <v>425</v>
      </c>
      <c r="I2665" t="s">
        <v>426</v>
      </c>
      <c r="J2665" t="s">
        <v>430</v>
      </c>
      <c r="L2665" t="s">
        <v>421</v>
      </c>
      <c r="M2665" t="s">
        <v>428</v>
      </c>
    </row>
    <row r="2666" spans="1:13" ht="15" customHeight="1" x14ac:dyDescent="0.25">
      <c r="A2666" s="82">
        <v>44941</v>
      </c>
      <c r="B2666" t="s">
        <v>455</v>
      </c>
      <c r="C2666" t="s">
        <v>427</v>
      </c>
      <c r="D2666" t="s">
        <v>421</v>
      </c>
      <c r="E2666" t="s">
        <v>424</v>
      </c>
      <c r="F2666" t="s">
        <v>429</v>
      </c>
      <c r="G2666" t="s">
        <v>428</v>
      </c>
      <c r="H2666" t="s">
        <v>425</v>
      </c>
      <c r="I2666" t="s">
        <v>426</v>
      </c>
      <c r="J2666" t="s">
        <v>430</v>
      </c>
      <c r="L2666" t="s">
        <v>421</v>
      </c>
      <c r="M2666" t="s">
        <v>428</v>
      </c>
    </row>
    <row r="2667" spans="1:13" ht="15" customHeight="1" x14ac:dyDescent="0.25">
      <c r="A2667" s="82">
        <v>44942</v>
      </c>
      <c r="B2667" t="s">
        <v>421</v>
      </c>
      <c r="C2667" t="s">
        <v>455</v>
      </c>
      <c r="D2667" t="s">
        <v>427</v>
      </c>
      <c r="E2667" t="s">
        <v>424</v>
      </c>
      <c r="F2667" t="s">
        <v>429</v>
      </c>
      <c r="G2667" t="s">
        <v>428</v>
      </c>
      <c r="H2667" t="s">
        <v>425</v>
      </c>
      <c r="I2667" t="s">
        <v>426</v>
      </c>
      <c r="J2667" t="s">
        <v>430</v>
      </c>
      <c r="L2667" t="s">
        <v>421</v>
      </c>
      <c r="M2667" t="s">
        <v>428</v>
      </c>
    </row>
    <row r="2668" spans="1:13" ht="15" customHeight="1" x14ac:dyDescent="0.25">
      <c r="A2668" s="82">
        <v>44943</v>
      </c>
      <c r="B2668" t="s">
        <v>427</v>
      </c>
      <c r="C2668" t="s">
        <v>421</v>
      </c>
      <c r="D2668" t="s">
        <v>455</v>
      </c>
      <c r="E2668" t="s">
        <v>424</v>
      </c>
      <c r="F2668" t="s">
        <v>429</v>
      </c>
      <c r="G2668" t="s">
        <v>428</v>
      </c>
      <c r="H2668" t="s">
        <v>425</v>
      </c>
      <c r="I2668" t="s">
        <v>426</v>
      </c>
      <c r="J2668" t="s">
        <v>430</v>
      </c>
      <c r="L2668" t="s">
        <v>423</v>
      </c>
      <c r="M2668" t="s">
        <v>421</v>
      </c>
    </row>
    <row r="2669" spans="1:13" ht="15" customHeight="1" x14ac:dyDescent="0.25">
      <c r="A2669" s="82">
        <v>44944</v>
      </c>
      <c r="B2669" t="s">
        <v>455</v>
      </c>
      <c r="C2669" t="s">
        <v>421</v>
      </c>
      <c r="D2669" t="s">
        <v>427</v>
      </c>
      <c r="E2669" t="s">
        <v>424</v>
      </c>
      <c r="F2669" t="s">
        <v>429</v>
      </c>
      <c r="G2669" t="s">
        <v>428</v>
      </c>
      <c r="H2669" t="s">
        <v>425</v>
      </c>
      <c r="I2669" t="s">
        <v>426</v>
      </c>
      <c r="J2669" t="s">
        <v>430</v>
      </c>
      <c r="L2669" t="s">
        <v>423</v>
      </c>
      <c r="M2669" t="s">
        <v>421</v>
      </c>
    </row>
    <row r="2670" spans="1:13" ht="15" customHeight="1" x14ac:dyDescent="0.25">
      <c r="A2670" s="82">
        <v>44945</v>
      </c>
      <c r="B2670" t="s">
        <v>421</v>
      </c>
      <c r="C2670" t="s">
        <v>427</v>
      </c>
      <c r="D2670" t="s">
        <v>455</v>
      </c>
      <c r="E2670" t="s">
        <v>424</v>
      </c>
      <c r="F2670" t="s">
        <v>429</v>
      </c>
      <c r="G2670" t="s">
        <v>428</v>
      </c>
      <c r="H2670" t="s">
        <v>425</v>
      </c>
      <c r="I2670" t="s">
        <v>426</v>
      </c>
      <c r="J2670" t="s">
        <v>430</v>
      </c>
      <c r="L2670" t="s">
        <v>423</v>
      </c>
      <c r="M2670" t="s">
        <v>421</v>
      </c>
    </row>
    <row r="2671" spans="1:13" ht="15" customHeight="1" x14ac:dyDescent="0.25">
      <c r="A2671" s="82">
        <v>44946</v>
      </c>
      <c r="B2671" t="s">
        <v>429</v>
      </c>
      <c r="C2671" t="s">
        <v>455</v>
      </c>
      <c r="D2671" t="s">
        <v>424</v>
      </c>
      <c r="E2671" t="s">
        <v>424</v>
      </c>
      <c r="F2671" t="s">
        <v>426</v>
      </c>
      <c r="G2671" t="s">
        <v>425</v>
      </c>
      <c r="H2671" t="s">
        <v>425</v>
      </c>
      <c r="I2671" t="s">
        <v>427</v>
      </c>
      <c r="J2671" t="s">
        <v>421</v>
      </c>
      <c r="L2671" t="s">
        <v>423</v>
      </c>
      <c r="M2671" t="s">
        <v>421</v>
      </c>
    </row>
    <row r="2672" spans="1:13" ht="15" customHeight="1" x14ac:dyDescent="0.25">
      <c r="A2672" s="82">
        <v>44947</v>
      </c>
      <c r="B2672" t="s">
        <v>429</v>
      </c>
      <c r="C2672" t="s">
        <v>428</v>
      </c>
      <c r="D2672" t="s">
        <v>424</v>
      </c>
      <c r="E2672" t="s">
        <v>430</v>
      </c>
      <c r="F2672" t="s">
        <v>426</v>
      </c>
      <c r="G2672" t="s">
        <v>425</v>
      </c>
      <c r="H2672" t="s">
        <v>421</v>
      </c>
      <c r="I2672" t="s">
        <v>455</v>
      </c>
      <c r="J2672" t="s">
        <v>427</v>
      </c>
      <c r="L2672" t="s">
        <v>423</v>
      </c>
      <c r="M2672" t="s">
        <v>421</v>
      </c>
    </row>
    <row r="2673" spans="1:13" ht="15" customHeight="1" x14ac:dyDescent="0.25">
      <c r="A2673" s="82">
        <v>44948</v>
      </c>
      <c r="B2673" t="s">
        <v>429</v>
      </c>
      <c r="C2673" t="s">
        <v>428</v>
      </c>
      <c r="D2673" t="s">
        <v>424</v>
      </c>
      <c r="E2673" t="s">
        <v>430</v>
      </c>
      <c r="F2673" t="s">
        <v>426</v>
      </c>
      <c r="G2673" t="s">
        <v>425</v>
      </c>
      <c r="H2673" t="s">
        <v>421</v>
      </c>
      <c r="I2673" t="s">
        <v>427</v>
      </c>
      <c r="J2673" t="s">
        <v>455</v>
      </c>
      <c r="L2673" t="s">
        <v>423</v>
      </c>
      <c r="M2673" t="s">
        <v>421</v>
      </c>
    </row>
    <row r="2674" spans="1:13" ht="15" customHeight="1" x14ac:dyDescent="0.25">
      <c r="A2674" s="82">
        <v>44949</v>
      </c>
      <c r="B2674" t="s">
        <v>429</v>
      </c>
      <c r="C2674" t="s">
        <v>428</v>
      </c>
      <c r="D2674" t="s">
        <v>424</v>
      </c>
      <c r="E2674" t="s">
        <v>430</v>
      </c>
      <c r="F2674" t="s">
        <v>426</v>
      </c>
      <c r="G2674" t="s">
        <v>425</v>
      </c>
      <c r="H2674" t="s">
        <v>427</v>
      </c>
      <c r="I2674" t="s">
        <v>455</v>
      </c>
      <c r="J2674" t="s">
        <v>421</v>
      </c>
      <c r="L2674" t="s">
        <v>421</v>
      </c>
      <c r="M2674" t="s">
        <v>423</v>
      </c>
    </row>
    <row r="2675" spans="1:13" ht="15" customHeight="1" x14ac:dyDescent="0.25">
      <c r="A2675" s="82">
        <v>44950</v>
      </c>
      <c r="B2675" t="s">
        <v>429</v>
      </c>
      <c r="C2675" t="s">
        <v>428</v>
      </c>
      <c r="D2675" t="s">
        <v>424</v>
      </c>
      <c r="E2675" t="s">
        <v>430</v>
      </c>
      <c r="F2675" t="s">
        <v>426</v>
      </c>
      <c r="G2675" t="s">
        <v>425</v>
      </c>
      <c r="H2675" t="s">
        <v>455</v>
      </c>
      <c r="I2675" t="s">
        <v>421</v>
      </c>
      <c r="J2675" t="s">
        <v>427</v>
      </c>
      <c r="L2675" t="s">
        <v>421</v>
      </c>
      <c r="M2675" t="s">
        <v>423</v>
      </c>
    </row>
    <row r="2676" spans="1:13" ht="15" customHeight="1" x14ac:dyDescent="0.25">
      <c r="A2676" s="82">
        <v>44951</v>
      </c>
      <c r="B2676" t="s">
        <v>429</v>
      </c>
      <c r="C2676" t="s">
        <v>428</v>
      </c>
      <c r="D2676" t="s">
        <v>424</v>
      </c>
      <c r="E2676" t="s">
        <v>430</v>
      </c>
      <c r="F2676" t="s">
        <v>426</v>
      </c>
      <c r="G2676" t="s">
        <v>425</v>
      </c>
      <c r="H2676" t="s">
        <v>427</v>
      </c>
      <c r="I2676" t="s">
        <v>421</v>
      </c>
      <c r="J2676" t="s">
        <v>455</v>
      </c>
      <c r="L2676" t="s">
        <v>421</v>
      </c>
      <c r="M2676" t="s">
        <v>423</v>
      </c>
    </row>
    <row r="2677" spans="1:13" ht="15" customHeight="1" x14ac:dyDescent="0.25">
      <c r="A2677" s="82">
        <v>44952</v>
      </c>
      <c r="B2677" t="s">
        <v>429</v>
      </c>
      <c r="C2677" t="s">
        <v>428</v>
      </c>
      <c r="D2677" t="s">
        <v>424</v>
      </c>
      <c r="E2677" t="s">
        <v>430</v>
      </c>
      <c r="F2677" t="s">
        <v>426</v>
      </c>
      <c r="G2677" t="s">
        <v>425</v>
      </c>
      <c r="H2677" t="s">
        <v>455</v>
      </c>
      <c r="I2677" t="s">
        <v>427</v>
      </c>
      <c r="J2677" t="s">
        <v>421</v>
      </c>
      <c r="L2677" t="s">
        <v>421</v>
      </c>
      <c r="M2677" t="s">
        <v>423</v>
      </c>
    </row>
    <row r="2678" spans="1:13" ht="15" customHeight="1" x14ac:dyDescent="0.25">
      <c r="A2678" s="82">
        <v>44953</v>
      </c>
      <c r="B2678" t="s">
        <v>426</v>
      </c>
      <c r="C2678" t="s">
        <v>425</v>
      </c>
      <c r="D2678" t="s">
        <v>424</v>
      </c>
      <c r="E2678" t="s">
        <v>421</v>
      </c>
      <c r="F2678" t="s">
        <v>427</v>
      </c>
      <c r="G2678" t="s">
        <v>425</v>
      </c>
      <c r="H2678" t="s">
        <v>424</v>
      </c>
      <c r="I2678" t="s">
        <v>455</v>
      </c>
      <c r="J2678" t="s">
        <v>429</v>
      </c>
      <c r="L2678" t="s">
        <v>423</v>
      </c>
      <c r="M2678" t="s">
        <v>421</v>
      </c>
    </row>
    <row r="2679" spans="1:13" ht="15" customHeight="1" x14ac:dyDescent="0.25">
      <c r="A2679" s="82">
        <v>44954</v>
      </c>
      <c r="B2679" t="s">
        <v>426</v>
      </c>
      <c r="C2679" t="s">
        <v>425</v>
      </c>
      <c r="D2679" t="s">
        <v>430</v>
      </c>
      <c r="E2679" t="s">
        <v>427</v>
      </c>
      <c r="F2679" t="s">
        <v>455</v>
      </c>
      <c r="G2679" t="s">
        <v>421</v>
      </c>
      <c r="H2679" t="s">
        <v>424</v>
      </c>
      <c r="I2679" t="s">
        <v>428</v>
      </c>
      <c r="J2679" t="s">
        <v>429</v>
      </c>
      <c r="L2679" t="s">
        <v>423</v>
      </c>
      <c r="M2679" t="s">
        <v>421</v>
      </c>
    </row>
    <row r="2680" spans="1:13" ht="15" customHeight="1" x14ac:dyDescent="0.25">
      <c r="A2680" s="82">
        <v>44955</v>
      </c>
      <c r="B2680" t="s">
        <v>426</v>
      </c>
      <c r="C2680" t="s">
        <v>425</v>
      </c>
      <c r="D2680" t="s">
        <v>430</v>
      </c>
      <c r="E2680" t="s">
        <v>455</v>
      </c>
      <c r="F2680" t="s">
        <v>427</v>
      </c>
      <c r="G2680" t="s">
        <v>421</v>
      </c>
      <c r="H2680" t="s">
        <v>424</v>
      </c>
      <c r="I2680" t="s">
        <v>428</v>
      </c>
      <c r="J2680" t="s">
        <v>429</v>
      </c>
      <c r="L2680" t="s">
        <v>423</v>
      </c>
      <c r="M2680" t="s">
        <v>421</v>
      </c>
    </row>
    <row r="2681" spans="1:13" ht="15" customHeight="1" x14ac:dyDescent="0.25">
      <c r="A2681" s="82">
        <v>44956</v>
      </c>
      <c r="B2681" t="s">
        <v>426</v>
      </c>
      <c r="C2681" t="s">
        <v>425</v>
      </c>
      <c r="D2681" t="s">
        <v>430</v>
      </c>
      <c r="E2681" t="s">
        <v>421</v>
      </c>
      <c r="F2681" t="s">
        <v>455</v>
      </c>
      <c r="G2681" t="s">
        <v>427</v>
      </c>
      <c r="H2681" t="s">
        <v>424</v>
      </c>
      <c r="I2681" t="s">
        <v>428</v>
      </c>
      <c r="J2681" t="s">
        <v>429</v>
      </c>
      <c r="L2681" t="s">
        <v>423</v>
      </c>
      <c r="M2681" t="s">
        <v>421</v>
      </c>
    </row>
    <row r="2682" spans="1:13" ht="15" customHeight="1" x14ac:dyDescent="0.25">
      <c r="A2682" s="82">
        <v>44957</v>
      </c>
      <c r="B2682" t="s">
        <v>426</v>
      </c>
      <c r="C2682" t="s">
        <v>425</v>
      </c>
      <c r="D2682" t="s">
        <v>430</v>
      </c>
      <c r="E2682" t="s">
        <v>427</v>
      </c>
      <c r="F2682" t="s">
        <v>421</v>
      </c>
      <c r="G2682" t="s">
        <v>455</v>
      </c>
      <c r="H2682" t="s">
        <v>424</v>
      </c>
      <c r="I2682" t="s">
        <v>428</v>
      </c>
      <c r="J2682" t="s">
        <v>429</v>
      </c>
      <c r="L2682" t="s">
        <v>423</v>
      </c>
      <c r="M2682" t="s">
        <v>421</v>
      </c>
    </row>
    <row r="2683" spans="1:13" ht="15" customHeight="1" x14ac:dyDescent="0.25">
      <c r="A2683" s="82">
        <v>44958</v>
      </c>
      <c r="B2683" t="s">
        <v>426</v>
      </c>
      <c r="C2683" t="s">
        <v>425</v>
      </c>
      <c r="D2683" t="s">
        <v>430</v>
      </c>
      <c r="E2683" t="s">
        <v>455</v>
      </c>
      <c r="F2683" t="s">
        <v>421</v>
      </c>
      <c r="G2683" t="s">
        <v>427</v>
      </c>
      <c r="H2683" t="s">
        <v>424</v>
      </c>
      <c r="I2683" t="s">
        <v>428</v>
      </c>
      <c r="J2683" t="s">
        <v>429</v>
      </c>
      <c r="L2683" t="s">
        <v>423</v>
      </c>
      <c r="M2683" t="s">
        <v>421</v>
      </c>
    </row>
    <row r="2684" spans="1:13" ht="15" customHeight="1" x14ac:dyDescent="0.25">
      <c r="A2684" s="82">
        <v>44959</v>
      </c>
      <c r="B2684" t="s">
        <v>426</v>
      </c>
      <c r="C2684" t="s">
        <v>425</v>
      </c>
      <c r="D2684" t="s">
        <v>430</v>
      </c>
      <c r="E2684" t="s">
        <v>421</v>
      </c>
      <c r="F2684" t="s">
        <v>427</v>
      </c>
      <c r="G2684" t="s">
        <v>455</v>
      </c>
      <c r="H2684" t="s">
        <v>424</v>
      </c>
      <c r="I2684" t="s">
        <v>428</v>
      </c>
      <c r="J2684" t="s">
        <v>429</v>
      </c>
      <c r="L2684" t="s">
        <v>421</v>
      </c>
      <c r="M2684" t="s">
        <v>423</v>
      </c>
    </row>
    <row r="2685" spans="1:13" ht="15" customHeight="1" x14ac:dyDescent="0.25">
      <c r="A2685" s="82">
        <v>44960</v>
      </c>
      <c r="B2685" t="s">
        <v>427</v>
      </c>
      <c r="C2685" t="s">
        <v>425</v>
      </c>
      <c r="D2685" t="s">
        <v>421</v>
      </c>
      <c r="E2685" t="s">
        <v>429</v>
      </c>
      <c r="F2685" t="s">
        <v>455</v>
      </c>
      <c r="G2685" t="s">
        <v>424</v>
      </c>
      <c r="H2685" t="s">
        <v>424</v>
      </c>
      <c r="I2685" t="s">
        <v>425</v>
      </c>
      <c r="J2685" t="s">
        <v>426</v>
      </c>
      <c r="L2685" t="s">
        <v>421</v>
      </c>
      <c r="M2685" t="s">
        <v>423</v>
      </c>
    </row>
    <row r="2686" spans="1:13" ht="15" customHeight="1" x14ac:dyDescent="0.25">
      <c r="A2686" s="82">
        <v>44961</v>
      </c>
      <c r="B2686" t="s">
        <v>455</v>
      </c>
      <c r="C2686" t="s">
        <v>421</v>
      </c>
      <c r="D2686" t="s">
        <v>427</v>
      </c>
      <c r="E2686" t="s">
        <v>429</v>
      </c>
      <c r="F2686" t="s">
        <v>428</v>
      </c>
      <c r="G2686" t="s">
        <v>424</v>
      </c>
      <c r="H2686" t="s">
        <v>430</v>
      </c>
      <c r="I2686" t="s">
        <v>425</v>
      </c>
      <c r="J2686" t="s">
        <v>426</v>
      </c>
      <c r="L2686" t="s">
        <v>421</v>
      </c>
      <c r="M2686" t="s">
        <v>423</v>
      </c>
    </row>
    <row r="2687" spans="1:13" ht="15" customHeight="1" x14ac:dyDescent="0.25">
      <c r="A2687" s="82">
        <v>44962</v>
      </c>
      <c r="B2687" t="s">
        <v>427</v>
      </c>
      <c r="C2687" t="s">
        <v>421</v>
      </c>
      <c r="D2687" t="s">
        <v>455</v>
      </c>
      <c r="E2687" t="s">
        <v>429</v>
      </c>
      <c r="F2687" t="s">
        <v>428</v>
      </c>
      <c r="G2687" t="s">
        <v>424</v>
      </c>
      <c r="H2687" t="s">
        <v>430</v>
      </c>
      <c r="I2687" t="s">
        <v>425</v>
      </c>
      <c r="J2687" t="s">
        <v>426</v>
      </c>
      <c r="L2687" t="s">
        <v>421</v>
      </c>
      <c r="M2687" t="s">
        <v>423</v>
      </c>
    </row>
    <row r="2688" spans="1:13" ht="15" customHeight="1" x14ac:dyDescent="0.25">
      <c r="A2688" s="82">
        <v>44963</v>
      </c>
      <c r="B2688" t="s">
        <v>455</v>
      </c>
      <c r="C2688" t="s">
        <v>427</v>
      </c>
      <c r="D2688" t="s">
        <v>421</v>
      </c>
      <c r="E2688" t="s">
        <v>429</v>
      </c>
      <c r="F2688" t="s">
        <v>428</v>
      </c>
      <c r="G2688" t="s">
        <v>424</v>
      </c>
      <c r="H2688" t="s">
        <v>430</v>
      </c>
      <c r="I2688" t="s">
        <v>425</v>
      </c>
      <c r="J2688" t="s">
        <v>426</v>
      </c>
      <c r="L2688" t="s">
        <v>421</v>
      </c>
      <c r="M2688" t="s">
        <v>423</v>
      </c>
    </row>
    <row r="2689" spans="1:13" ht="15" customHeight="1" x14ac:dyDescent="0.25">
      <c r="A2689" s="82">
        <v>44964</v>
      </c>
      <c r="B2689" t="s">
        <v>421</v>
      </c>
      <c r="C2689" t="s">
        <v>455</v>
      </c>
      <c r="D2689" t="s">
        <v>427</v>
      </c>
      <c r="E2689" t="s">
        <v>429</v>
      </c>
      <c r="F2689" t="s">
        <v>428</v>
      </c>
      <c r="G2689" t="s">
        <v>424</v>
      </c>
      <c r="H2689" t="s">
        <v>430</v>
      </c>
      <c r="I2689" t="s">
        <v>425</v>
      </c>
      <c r="J2689" t="s">
        <v>426</v>
      </c>
      <c r="L2689" t="s">
        <v>421</v>
      </c>
      <c r="M2689" t="s">
        <v>423</v>
      </c>
    </row>
    <row r="2690" spans="1:13" ht="15" customHeight="1" x14ac:dyDescent="0.25">
      <c r="A2690" s="82">
        <v>44965</v>
      </c>
      <c r="B2690" t="s">
        <v>421</v>
      </c>
      <c r="C2690" t="s">
        <v>427</v>
      </c>
      <c r="D2690" t="s">
        <v>455</v>
      </c>
      <c r="E2690" t="s">
        <v>429</v>
      </c>
      <c r="F2690" t="s">
        <v>428</v>
      </c>
      <c r="G2690" t="s">
        <v>424</v>
      </c>
      <c r="H2690" t="s">
        <v>430</v>
      </c>
      <c r="I2690" t="s">
        <v>425</v>
      </c>
      <c r="J2690" t="s">
        <v>426</v>
      </c>
      <c r="L2690" t="s">
        <v>423</v>
      </c>
      <c r="M2690" t="s">
        <v>421</v>
      </c>
    </row>
    <row r="2691" spans="1:13" ht="15" customHeight="1" x14ac:dyDescent="0.25">
      <c r="A2691" s="82">
        <v>44966</v>
      </c>
      <c r="B2691" t="s">
        <v>427</v>
      </c>
      <c r="C2691" t="s">
        <v>455</v>
      </c>
      <c r="D2691" t="s">
        <v>421</v>
      </c>
      <c r="E2691" t="s">
        <v>429</v>
      </c>
      <c r="F2691" t="s">
        <v>428</v>
      </c>
      <c r="G2691" t="s">
        <v>424</v>
      </c>
      <c r="H2691" t="s">
        <v>430</v>
      </c>
      <c r="I2691" t="s">
        <v>425</v>
      </c>
      <c r="J2691" t="s">
        <v>426</v>
      </c>
      <c r="L2691" t="s">
        <v>423</v>
      </c>
      <c r="M2691" t="s">
        <v>421</v>
      </c>
    </row>
    <row r="2692" spans="1:13" ht="15" customHeight="1" x14ac:dyDescent="0.25">
      <c r="A2692" s="82">
        <v>44967</v>
      </c>
      <c r="B2692" t="s">
        <v>455</v>
      </c>
      <c r="C2692" t="s">
        <v>424</v>
      </c>
      <c r="D2692" t="s">
        <v>429</v>
      </c>
      <c r="E2692" t="s">
        <v>426</v>
      </c>
      <c r="F2692" t="s">
        <v>425</v>
      </c>
      <c r="G2692" t="s">
        <v>424</v>
      </c>
      <c r="H2692" t="s">
        <v>421</v>
      </c>
      <c r="I2692" t="s">
        <v>425</v>
      </c>
      <c r="J2692" t="s">
        <v>427</v>
      </c>
      <c r="L2692" t="s">
        <v>428</v>
      </c>
      <c r="M2692" t="s">
        <v>421</v>
      </c>
    </row>
    <row r="2693" spans="1:13" ht="15" customHeight="1" x14ac:dyDescent="0.25">
      <c r="A2693" s="82">
        <v>44968</v>
      </c>
      <c r="B2693" t="s">
        <v>428</v>
      </c>
      <c r="C2693" t="s">
        <v>424</v>
      </c>
      <c r="D2693" t="s">
        <v>429</v>
      </c>
      <c r="E2693" t="s">
        <v>426</v>
      </c>
      <c r="F2693" t="s">
        <v>425</v>
      </c>
      <c r="G2693" t="s">
        <v>430</v>
      </c>
      <c r="H2693" t="s">
        <v>427</v>
      </c>
      <c r="I2693" t="s">
        <v>421</v>
      </c>
      <c r="J2693" t="s">
        <v>455</v>
      </c>
      <c r="L2693" t="s">
        <v>428</v>
      </c>
      <c r="M2693" t="s">
        <v>421</v>
      </c>
    </row>
    <row r="2694" spans="1:13" ht="15" customHeight="1" x14ac:dyDescent="0.25">
      <c r="A2694" s="82">
        <v>44969</v>
      </c>
      <c r="B2694" t="s">
        <v>428</v>
      </c>
      <c r="C2694" t="s">
        <v>424</v>
      </c>
      <c r="D2694" t="s">
        <v>429</v>
      </c>
      <c r="E2694" t="s">
        <v>426</v>
      </c>
      <c r="F2694" t="s">
        <v>425</v>
      </c>
      <c r="G2694" t="s">
        <v>430</v>
      </c>
      <c r="H2694" t="s">
        <v>455</v>
      </c>
      <c r="I2694" t="s">
        <v>421</v>
      </c>
      <c r="J2694" t="s">
        <v>427</v>
      </c>
      <c r="L2694" t="s">
        <v>428</v>
      </c>
      <c r="M2694" t="s">
        <v>421</v>
      </c>
    </row>
    <row r="2695" spans="1:13" ht="15" customHeight="1" x14ac:dyDescent="0.25">
      <c r="A2695" s="82">
        <v>44970</v>
      </c>
      <c r="B2695" t="s">
        <v>428</v>
      </c>
      <c r="C2695" t="s">
        <v>424</v>
      </c>
      <c r="D2695" t="s">
        <v>429</v>
      </c>
      <c r="E2695" t="s">
        <v>426</v>
      </c>
      <c r="F2695" t="s">
        <v>425</v>
      </c>
      <c r="G2695" t="s">
        <v>430</v>
      </c>
      <c r="H2695" t="s">
        <v>421</v>
      </c>
      <c r="I2695" t="s">
        <v>427</v>
      </c>
      <c r="J2695" t="s">
        <v>455</v>
      </c>
      <c r="L2695" t="s">
        <v>428</v>
      </c>
      <c r="M2695" t="s">
        <v>421</v>
      </c>
    </row>
    <row r="2696" spans="1:13" ht="15" customHeight="1" x14ac:dyDescent="0.25">
      <c r="A2696" s="82">
        <v>44971</v>
      </c>
      <c r="B2696" t="s">
        <v>428</v>
      </c>
      <c r="C2696" t="s">
        <v>424</v>
      </c>
      <c r="D2696" t="s">
        <v>429</v>
      </c>
      <c r="E2696" t="s">
        <v>426</v>
      </c>
      <c r="F2696" t="s">
        <v>425</v>
      </c>
      <c r="G2696" t="s">
        <v>430</v>
      </c>
      <c r="H2696" t="s">
        <v>427</v>
      </c>
      <c r="I2696" t="s">
        <v>455</v>
      </c>
      <c r="J2696" t="s">
        <v>421</v>
      </c>
      <c r="L2696" t="s">
        <v>421</v>
      </c>
      <c r="M2696" t="s">
        <v>423</v>
      </c>
    </row>
    <row r="2697" spans="1:13" ht="15" customHeight="1" x14ac:dyDescent="0.25">
      <c r="A2697" s="82">
        <v>44972</v>
      </c>
      <c r="B2697" t="s">
        <v>428</v>
      </c>
      <c r="C2697" t="s">
        <v>424</v>
      </c>
      <c r="D2697" t="s">
        <v>429</v>
      </c>
      <c r="E2697" t="s">
        <v>426</v>
      </c>
      <c r="F2697" t="s">
        <v>425</v>
      </c>
      <c r="G2697" t="s">
        <v>430</v>
      </c>
      <c r="H2697" t="s">
        <v>455</v>
      </c>
      <c r="I2697" t="s">
        <v>427</v>
      </c>
      <c r="J2697" t="s">
        <v>421</v>
      </c>
      <c r="L2697" t="s">
        <v>421</v>
      </c>
      <c r="M2697" t="s">
        <v>423</v>
      </c>
    </row>
    <row r="2698" spans="1:13" ht="15" customHeight="1" x14ac:dyDescent="0.25">
      <c r="A2698" s="82">
        <v>44973</v>
      </c>
      <c r="B2698" t="s">
        <v>428</v>
      </c>
      <c r="C2698" t="s">
        <v>424</v>
      </c>
      <c r="D2698" t="s">
        <v>429</v>
      </c>
      <c r="E2698" t="s">
        <v>426</v>
      </c>
      <c r="F2698" t="s">
        <v>425</v>
      </c>
      <c r="G2698" t="s">
        <v>430</v>
      </c>
      <c r="H2698" t="s">
        <v>421</v>
      </c>
      <c r="I2698" t="s">
        <v>455</v>
      </c>
      <c r="J2698" t="s">
        <v>427</v>
      </c>
      <c r="L2698" t="s">
        <v>421</v>
      </c>
      <c r="M2698" t="s">
        <v>423</v>
      </c>
    </row>
    <row r="2699" spans="1:13" ht="15" customHeight="1" x14ac:dyDescent="0.25">
      <c r="A2699" s="82">
        <v>44974</v>
      </c>
      <c r="B2699" t="s">
        <v>425</v>
      </c>
      <c r="C2699" t="s">
        <v>424</v>
      </c>
      <c r="D2699" t="s">
        <v>426</v>
      </c>
      <c r="E2699" t="s">
        <v>427</v>
      </c>
      <c r="F2699" t="s">
        <v>425</v>
      </c>
      <c r="G2699" t="s">
        <v>421</v>
      </c>
      <c r="H2699" t="s">
        <v>429</v>
      </c>
      <c r="I2699" t="s">
        <v>424</v>
      </c>
      <c r="J2699" t="s">
        <v>455</v>
      </c>
      <c r="L2699" t="s">
        <v>421</v>
      </c>
      <c r="M2699" t="s">
        <v>423</v>
      </c>
    </row>
    <row r="2700" spans="1:13" ht="15" customHeight="1" x14ac:dyDescent="0.25">
      <c r="A2700" s="82">
        <v>44975</v>
      </c>
      <c r="B2700" t="s">
        <v>425</v>
      </c>
      <c r="C2700" t="s">
        <v>430</v>
      </c>
      <c r="D2700" t="s">
        <v>426</v>
      </c>
      <c r="E2700" t="s">
        <v>455</v>
      </c>
      <c r="F2700" t="s">
        <v>421</v>
      </c>
      <c r="G2700" t="s">
        <v>427</v>
      </c>
      <c r="H2700" t="s">
        <v>429</v>
      </c>
      <c r="I2700" t="s">
        <v>424</v>
      </c>
      <c r="J2700" t="s">
        <v>428</v>
      </c>
      <c r="L2700" t="s">
        <v>421</v>
      </c>
      <c r="M2700" t="s">
        <v>423</v>
      </c>
    </row>
    <row r="2701" spans="1:13" ht="15" customHeight="1" x14ac:dyDescent="0.25">
      <c r="A2701" s="82">
        <v>44976</v>
      </c>
      <c r="B2701" t="s">
        <v>425</v>
      </c>
      <c r="C2701" t="s">
        <v>430</v>
      </c>
      <c r="D2701" t="s">
        <v>426</v>
      </c>
      <c r="E2701" t="s">
        <v>427</v>
      </c>
      <c r="F2701" t="s">
        <v>421</v>
      </c>
      <c r="G2701" t="s">
        <v>455</v>
      </c>
      <c r="H2701" t="s">
        <v>429</v>
      </c>
      <c r="I2701" t="s">
        <v>424</v>
      </c>
      <c r="J2701" t="s">
        <v>428</v>
      </c>
      <c r="L2701" t="s">
        <v>421</v>
      </c>
      <c r="M2701" t="s">
        <v>423</v>
      </c>
    </row>
    <row r="2702" spans="1:13" ht="15" customHeight="1" x14ac:dyDescent="0.25">
      <c r="A2702" s="82">
        <v>44977</v>
      </c>
      <c r="B2702" t="s">
        <v>425</v>
      </c>
      <c r="C2702" t="s">
        <v>430</v>
      </c>
      <c r="D2702" t="s">
        <v>426</v>
      </c>
      <c r="E2702" t="s">
        <v>455</v>
      </c>
      <c r="F2702" t="s">
        <v>427</v>
      </c>
      <c r="G2702" t="s">
        <v>421</v>
      </c>
      <c r="H2702" t="s">
        <v>429</v>
      </c>
      <c r="I2702" t="s">
        <v>424</v>
      </c>
      <c r="J2702" t="s">
        <v>428</v>
      </c>
      <c r="L2702" t="s">
        <v>423</v>
      </c>
      <c r="M2702" t="s">
        <v>421</v>
      </c>
    </row>
    <row r="2703" spans="1:13" ht="15" customHeight="1" x14ac:dyDescent="0.25">
      <c r="A2703" s="82">
        <v>44978</v>
      </c>
      <c r="B2703" t="s">
        <v>425</v>
      </c>
      <c r="C2703" t="s">
        <v>430</v>
      </c>
      <c r="D2703" t="s">
        <v>426</v>
      </c>
      <c r="E2703" t="s">
        <v>421</v>
      </c>
      <c r="F2703" t="s">
        <v>455</v>
      </c>
      <c r="G2703" t="s">
        <v>427</v>
      </c>
      <c r="H2703" t="s">
        <v>429</v>
      </c>
      <c r="I2703" t="s">
        <v>424</v>
      </c>
      <c r="J2703" t="s">
        <v>428</v>
      </c>
      <c r="L2703" t="s">
        <v>423</v>
      </c>
      <c r="M2703" t="s">
        <v>421</v>
      </c>
    </row>
    <row r="2704" spans="1:13" ht="15" customHeight="1" x14ac:dyDescent="0.25">
      <c r="A2704" s="82">
        <v>44979</v>
      </c>
      <c r="B2704" t="s">
        <v>425</v>
      </c>
      <c r="C2704" t="s">
        <v>430</v>
      </c>
      <c r="D2704" t="s">
        <v>426</v>
      </c>
      <c r="E2704" t="s">
        <v>421</v>
      </c>
      <c r="F2704" t="s">
        <v>427</v>
      </c>
      <c r="G2704" t="s">
        <v>455</v>
      </c>
      <c r="H2704" t="s">
        <v>429</v>
      </c>
      <c r="I2704" t="s">
        <v>424</v>
      </c>
      <c r="J2704" t="s">
        <v>428</v>
      </c>
      <c r="L2704" t="s">
        <v>423</v>
      </c>
      <c r="M2704" t="s">
        <v>421</v>
      </c>
    </row>
    <row r="2705" spans="1:13" ht="15" customHeight="1" x14ac:dyDescent="0.25">
      <c r="A2705" s="82">
        <v>44980</v>
      </c>
      <c r="B2705" t="s">
        <v>425</v>
      </c>
      <c r="C2705" t="s">
        <v>430</v>
      </c>
      <c r="D2705" t="s">
        <v>426</v>
      </c>
      <c r="E2705" t="s">
        <v>427</v>
      </c>
      <c r="F2705" t="s">
        <v>455</v>
      </c>
      <c r="G2705" t="s">
        <v>421</v>
      </c>
      <c r="H2705" t="s">
        <v>429</v>
      </c>
      <c r="I2705" t="s">
        <v>424</v>
      </c>
      <c r="J2705" t="s">
        <v>428</v>
      </c>
      <c r="L2705" t="s">
        <v>423</v>
      </c>
      <c r="M2705" t="s">
        <v>421</v>
      </c>
    </row>
    <row r="2706" spans="1:13" ht="15" customHeight="1" x14ac:dyDescent="0.25">
      <c r="A2706" s="82">
        <v>44981</v>
      </c>
      <c r="B2706" t="s">
        <v>425</v>
      </c>
      <c r="C2706" t="s">
        <v>421</v>
      </c>
      <c r="D2706" t="s">
        <v>427</v>
      </c>
      <c r="E2706" t="s">
        <v>455</v>
      </c>
      <c r="F2706" t="s">
        <v>424</v>
      </c>
      <c r="G2706" t="s">
        <v>429</v>
      </c>
      <c r="H2706" t="s">
        <v>426</v>
      </c>
      <c r="I2706" t="s">
        <v>424</v>
      </c>
      <c r="J2706" t="s">
        <v>425</v>
      </c>
      <c r="L2706" t="s">
        <v>421</v>
      </c>
      <c r="M2706" t="s">
        <v>423</v>
      </c>
    </row>
    <row r="2707" spans="1:13" ht="15" customHeight="1" x14ac:dyDescent="0.25">
      <c r="A2707" s="82">
        <v>44982</v>
      </c>
      <c r="B2707" t="s">
        <v>421</v>
      </c>
      <c r="C2707" t="s">
        <v>427</v>
      </c>
      <c r="D2707" t="s">
        <v>455</v>
      </c>
      <c r="E2707" t="s">
        <v>428</v>
      </c>
      <c r="F2707" t="s">
        <v>424</v>
      </c>
      <c r="G2707" t="s">
        <v>429</v>
      </c>
      <c r="H2707" t="s">
        <v>426</v>
      </c>
      <c r="I2707" t="s">
        <v>430</v>
      </c>
      <c r="J2707" t="s">
        <v>425</v>
      </c>
      <c r="L2707" t="s">
        <v>421</v>
      </c>
      <c r="M2707" t="s">
        <v>423</v>
      </c>
    </row>
    <row r="2708" spans="1:13" ht="15" customHeight="1" x14ac:dyDescent="0.25">
      <c r="A2708" s="82">
        <v>44983</v>
      </c>
      <c r="B2708" t="s">
        <v>421</v>
      </c>
      <c r="C2708" t="s">
        <v>455</v>
      </c>
      <c r="D2708" t="s">
        <v>427</v>
      </c>
      <c r="E2708" t="s">
        <v>428</v>
      </c>
      <c r="F2708" t="s">
        <v>424</v>
      </c>
      <c r="G2708" t="s">
        <v>429</v>
      </c>
      <c r="H2708" t="s">
        <v>426</v>
      </c>
      <c r="I2708" t="s">
        <v>430</v>
      </c>
      <c r="J2708" t="s">
        <v>425</v>
      </c>
      <c r="L2708" t="s">
        <v>421</v>
      </c>
      <c r="M2708" t="s">
        <v>423</v>
      </c>
    </row>
    <row r="2709" spans="1:13" ht="15" customHeight="1" x14ac:dyDescent="0.25">
      <c r="A2709" s="82">
        <v>44984</v>
      </c>
      <c r="B2709" t="s">
        <v>427</v>
      </c>
      <c r="C2709" t="s">
        <v>421</v>
      </c>
      <c r="D2709" t="s">
        <v>455</v>
      </c>
      <c r="E2709" t="s">
        <v>428</v>
      </c>
      <c r="F2709" t="s">
        <v>424</v>
      </c>
      <c r="G2709" t="s">
        <v>429</v>
      </c>
      <c r="H2709" t="s">
        <v>426</v>
      </c>
      <c r="I2709" t="s">
        <v>430</v>
      </c>
      <c r="J2709" t="s">
        <v>425</v>
      </c>
      <c r="L2709" t="s">
        <v>421</v>
      </c>
      <c r="M2709" t="s">
        <v>423</v>
      </c>
    </row>
    <row r="2710" spans="1:13" ht="15" customHeight="1" x14ac:dyDescent="0.25">
      <c r="A2710" s="82">
        <v>44985</v>
      </c>
      <c r="B2710" t="s">
        <v>455</v>
      </c>
      <c r="C2710" t="s">
        <v>427</v>
      </c>
      <c r="D2710" t="s">
        <v>421</v>
      </c>
      <c r="E2710" t="s">
        <v>428</v>
      </c>
      <c r="F2710" t="s">
        <v>424</v>
      </c>
      <c r="G2710" t="s">
        <v>429</v>
      </c>
      <c r="H2710" t="s">
        <v>426</v>
      </c>
      <c r="I2710" t="s">
        <v>430</v>
      </c>
      <c r="J2710" t="s">
        <v>425</v>
      </c>
      <c r="L2710" t="s">
        <v>421</v>
      </c>
      <c r="M2710" t="s">
        <v>423</v>
      </c>
    </row>
    <row r="2711" spans="1:13" ht="15" customHeight="1" x14ac:dyDescent="0.25">
      <c r="A2711" s="82">
        <v>44986</v>
      </c>
      <c r="B2711" t="s">
        <v>427</v>
      </c>
      <c r="C2711" t="s">
        <v>455</v>
      </c>
      <c r="D2711" t="s">
        <v>421</v>
      </c>
      <c r="E2711" t="s">
        <v>428</v>
      </c>
      <c r="F2711" t="s">
        <v>424</v>
      </c>
      <c r="G2711" t="s">
        <v>429</v>
      </c>
      <c r="H2711" t="s">
        <v>426</v>
      </c>
      <c r="I2711" t="s">
        <v>430</v>
      </c>
      <c r="J2711" t="s">
        <v>425</v>
      </c>
      <c r="L2711" t="s">
        <v>421</v>
      </c>
      <c r="M2711" t="s">
        <v>423</v>
      </c>
    </row>
    <row r="2712" spans="1:13" ht="15" customHeight="1" x14ac:dyDescent="0.25">
      <c r="A2712" s="82">
        <v>44987</v>
      </c>
      <c r="B2712" t="s">
        <v>455</v>
      </c>
      <c r="C2712" t="s">
        <v>421</v>
      </c>
      <c r="D2712" t="s">
        <v>427</v>
      </c>
      <c r="E2712" t="s">
        <v>428</v>
      </c>
      <c r="F2712" t="s">
        <v>424</v>
      </c>
      <c r="G2712" t="s">
        <v>429</v>
      </c>
      <c r="H2712" t="s">
        <v>426</v>
      </c>
      <c r="I2712" t="s">
        <v>430</v>
      </c>
      <c r="J2712" t="s">
        <v>425</v>
      </c>
      <c r="L2712" t="s">
        <v>423</v>
      </c>
      <c r="M2712" t="s">
        <v>421</v>
      </c>
    </row>
    <row r="2713" spans="1:13" ht="15" customHeight="1" x14ac:dyDescent="0.25">
      <c r="A2713" s="82">
        <v>44988</v>
      </c>
      <c r="B2713" t="s">
        <v>424</v>
      </c>
      <c r="C2713" t="s">
        <v>429</v>
      </c>
      <c r="D2713" t="s">
        <v>455</v>
      </c>
      <c r="E2713" t="s">
        <v>425</v>
      </c>
      <c r="F2713" t="s">
        <v>424</v>
      </c>
      <c r="G2713" t="s">
        <v>426</v>
      </c>
      <c r="H2713" t="s">
        <v>427</v>
      </c>
      <c r="I2713" t="s">
        <v>421</v>
      </c>
      <c r="J2713" t="s">
        <v>425</v>
      </c>
      <c r="L2713" t="s">
        <v>423</v>
      </c>
      <c r="M2713" t="s">
        <v>421</v>
      </c>
    </row>
    <row r="2714" spans="1:13" ht="15" customHeight="1" x14ac:dyDescent="0.25">
      <c r="A2714" s="82">
        <v>44989</v>
      </c>
      <c r="B2714" t="s">
        <v>424</v>
      </c>
      <c r="C2714" t="s">
        <v>429</v>
      </c>
      <c r="D2714" t="s">
        <v>428</v>
      </c>
      <c r="E2714" t="s">
        <v>425</v>
      </c>
      <c r="F2714" t="s">
        <v>430</v>
      </c>
      <c r="G2714" t="s">
        <v>426</v>
      </c>
      <c r="H2714" t="s">
        <v>455</v>
      </c>
      <c r="I2714" t="s">
        <v>427</v>
      </c>
      <c r="J2714" t="s">
        <v>421</v>
      </c>
      <c r="L2714" t="s">
        <v>423</v>
      </c>
      <c r="M2714" t="s">
        <v>421</v>
      </c>
    </row>
    <row r="2715" spans="1:13" ht="15" customHeight="1" x14ac:dyDescent="0.25">
      <c r="A2715" s="82">
        <v>44990</v>
      </c>
      <c r="B2715" t="s">
        <v>424</v>
      </c>
      <c r="C2715" t="s">
        <v>429</v>
      </c>
      <c r="D2715" t="s">
        <v>428</v>
      </c>
      <c r="E2715" t="s">
        <v>425</v>
      </c>
      <c r="F2715" t="s">
        <v>430</v>
      </c>
      <c r="G2715" t="s">
        <v>426</v>
      </c>
      <c r="H2715" t="s">
        <v>427</v>
      </c>
      <c r="I2715" t="s">
        <v>455</v>
      </c>
      <c r="J2715" t="s">
        <v>421</v>
      </c>
      <c r="L2715" t="s">
        <v>423</v>
      </c>
      <c r="M2715" t="s">
        <v>421</v>
      </c>
    </row>
    <row r="2716" spans="1:13" ht="15" customHeight="1" x14ac:dyDescent="0.25">
      <c r="A2716" s="82">
        <v>44991</v>
      </c>
      <c r="B2716" t="s">
        <v>424</v>
      </c>
      <c r="C2716" t="s">
        <v>429</v>
      </c>
      <c r="D2716" t="s">
        <v>428</v>
      </c>
      <c r="E2716" t="s">
        <v>425</v>
      </c>
      <c r="F2716" t="s">
        <v>430</v>
      </c>
      <c r="G2716" t="s">
        <v>426</v>
      </c>
      <c r="H2716" t="s">
        <v>455</v>
      </c>
      <c r="I2716" t="s">
        <v>421</v>
      </c>
      <c r="J2716" t="s">
        <v>427</v>
      </c>
      <c r="L2716" t="s">
        <v>423</v>
      </c>
      <c r="M2716" t="s">
        <v>421</v>
      </c>
    </row>
    <row r="2717" spans="1:13" ht="15" customHeight="1" x14ac:dyDescent="0.25">
      <c r="A2717" s="82">
        <v>44992</v>
      </c>
      <c r="B2717" t="s">
        <v>424</v>
      </c>
      <c r="C2717" t="s">
        <v>429</v>
      </c>
      <c r="D2717" t="s">
        <v>428</v>
      </c>
      <c r="E2717" t="s">
        <v>425</v>
      </c>
      <c r="F2717" t="s">
        <v>430</v>
      </c>
      <c r="G2717" t="s">
        <v>426</v>
      </c>
      <c r="H2717" t="s">
        <v>421</v>
      </c>
      <c r="I2717" t="s">
        <v>427</v>
      </c>
      <c r="J2717" t="s">
        <v>455</v>
      </c>
      <c r="L2717" t="s">
        <v>423</v>
      </c>
      <c r="M2717" t="s">
        <v>421</v>
      </c>
    </row>
    <row r="2718" spans="1:13" ht="15" customHeight="1" x14ac:dyDescent="0.25">
      <c r="A2718" s="82">
        <v>44993</v>
      </c>
      <c r="B2718" t="s">
        <v>424</v>
      </c>
      <c r="C2718" t="s">
        <v>429</v>
      </c>
      <c r="D2718" t="s">
        <v>428</v>
      </c>
      <c r="E2718" t="s">
        <v>425</v>
      </c>
      <c r="F2718" t="s">
        <v>430</v>
      </c>
      <c r="G2718" t="s">
        <v>426</v>
      </c>
      <c r="H2718" t="s">
        <v>421</v>
      </c>
      <c r="I2718" t="s">
        <v>455</v>
      </c>
      <c r="J2718" t="s">
        <v>427</v>
      </c>
      <c r="L2718" t="s">
        <v>421</v>
      </c>
      <c r="M2718" t="s">
        <v>423</v>
      </c>
    </row>
    <row r="2719" spans="1:13" ht="15" customHeight="1" x14ac:dyDescent="0.25">
      <c r="A2719" s="82">
        <v>44994</v>
      </c>
      <c r="B2719" t="s">
        <v>424</v>
      </c>
      <c r="C2719" t="s">
        <v>429</v>
      </c>
      <c r="D2719" t="s">
        <v>428</v>
      </c>
      <c r="E2719" t="s">
        <v>425</v>
      </c>
      <c r="F2719" t="s">
        <v>430</v>
      </c>
      <c r="G2719" t="s">
        <v>426</v>
      </c>
      <c r="H2719" t="s">
        <v>427</v>
      </c>
      <c r="I2719" t="s">
        <v>421</v>
      </c>
      <c r="J2719" t="s">
        <v>455</v>
      </c>
      <c r="L2719" t="s">
        <v>421</v>
      </c>
      <c r="M2719" t="s">
        <v>423</v>
      </c>
    </row>
    <row r="2720" spans="1:13" ht="15" customHeight="1" x14ac:dyDescent="0.25">
      <c r="A2720" s="82">
        <v>44995</v>
      </c>
      <c r="B2720" t="s">
        <v>424</v>
      </c>
      <c r="C2720" t="s">
        <v>426</v>
      </c>
      <c r="D2720" t="s">
        <v>425</v>
      </c>
      <c r="E2720" t="s">
        <v>425</v>
      </c>
      <c r="F2720" t="s">
        <v>421</v>
      </c>
      <c r="G2720" t="s">
        <v>427</v>
      </c>
      <c r="H2720" t="s">
        <v>455</v>
      </c>
      <c r="I2720" t="s">
        <v>429</v>
      </c>
      <c r="J2720" t="s">
        <v>424</v>
      </c>
      <c r="L2720" t="s">
        <v>421</v>
      </c>
      <c r="M2720" t="s">
        <v>428</v>
      </c>
    </row>
    <row r="2721" spans="1:13" ht="15" customHeight="1" x14ac:dyDescent="0.25">
      <c r="A2721" s="82">
        <v>44996</v>
      </c>
      <c r="B2721" t="s">
        <v>430</v>
      </c>
      <c r="C2721" t="s">
        <v>426</v>
      </c>
      <c r="D2721" t="s">
        <v>425</v>
      </c>
      <c r="E2721" t="s">
        <v>421</v>
      </c>
      <c r="F2721" t="s">
        <v>427</v>
      </c>
      <c r="G2721" t="s">
        <v>455</v>
      </c>
      <c r="H2721" t="s">
        <v>428</v>
      </c>
      <c r="I2721" t="s">
        <v>429</v>
      </c>
      <c r="J2721" t="s">
        <v>424</v>
      </c>
      <c r="L2721" t="s">
        <v>421</v>
      </c>
      <c r="M2721" t="s">
        <v>428</v>
      </c>
    </row>
    <row r="2722" spans="1:13" ht="15" customHeight="1" x14ac:dyDescent="0.25">
      <c r="A2722" s="82">
        <v>44997</v>
      </c>
      <c r="B2722" t="s">
        <v>430</v>
      </c>
      <c r="C2722" t="s">
        <v>426</v>
      </c>
      <c r="D2722" t="s">
        <v>425</v>
      </c>
      <c r="E2722" t="s">
        <v>421</v>
      </c>
      <c r="F2722" t="s">
        <v>455</v>
      </c>
      <c r="G2722" t="s">
        <v>427</v>
      </c>
      <c r="H2722" t="s">
        <v>428</v>
      </c>
      <c r="I2722" t="s">
        <v>429</v>
      </c>
      <c r="J2722" t="s">
        <v>424</v>
      </c>
      <c r="L2722" t="s">
        <v>421</v>
      </c>
      <c r="M2722" t="s">
        <v>428</v>
      </c>
    </row>
    <row r="2723" spans="1:13" ht="15" customHeight="1" x14ac:dyDescent="0.25">
      <c r="A2723" s="82">
        <v>44998</v>
      </c>
      <c r="B2723" t="s">
        <v>430</v>
      </c>
      <c r="C2723" t="s">
        <v>426</v>
      </c>
      <c r="D2723" t="s">
        <v>425</v>
      </c>
      <c r="E2723" t="s">
        <v>427</v>
      </c>
      <c r="F2723" t="s">
        <v>421</v>
      </c>
      <c r="G2723" t="s">
        <v>455</v>
      </c>
      <c r="H2723" t="s">
        <v>428</v>
      </c>
      <c r="I2723" t="s">
        <v>429</v>
      </c>
      <c r="J2723" t="s">
        <v>424</v>
      </c>
      <c r="L2723" t="s">
        <v>421</v>
      </c>
      <c r="M2723" t="s">
        <v>428</v>
      </c>
    </row>
    <row r="2724" spans="1:13" ht="15" customHeight="1" x14ac:dyDescent="0.25">
      <c r="A2724" s="82">
        <v>44999</v>
      </c>
      <c r="B2724" t="s">
        <v>430</v>
      </c>
      <c r="C2724" t="s">
        <v>426</v>
      </c>
      <c r="D2724" t="s">
        <v>425</v>
      </c>
      <c r="E2724" t="s">
        <v>455</v>
      </c>
      <c r="F2724" t="s">
        <v>427</v>
      </c>
      <c r="G2724" t="s">
        <v>421</v>
      </c>
      <c r="H2724" t="s">
        <v>428</v>
      </c>
      <c r="I2724" t="s">
        <v>429</v>
      </c>
      <c r="J2724" t="s">
        <v>424</v>
      </c>
      <c r="L2724" t="s">
        <v>423</v>
      </c>
      <c r="M2724" t="s">
        <v>421</v>
      </c>
    </row>
    <row r="2725" spans="1:13" ht="15" customHeight="1" x14ac:dyDescent="0.25">
      <c r="A2725" s="82">
        <v>45000</v>
      </c>
      <c r="B2725" t="s">
        <v>430</v>
      </c>
      <c r="C2725" t="s">
        <v>426</v>
      </c>
      <c r="D2725" t="s">
        <v>425</v>
      </c>
      <c r="E2725" t="s">
        <v>427</v>
      </c>
      <c r="F2725" t="s">
        <v>455</v>
      </c>
      <c r="G2725" t="s">
        <v>421</v>
      </c>
      <c r="H2725" t="s">
        <v>428</v>
      </c>
      <c r="I2725" t="s">
        <v>429</v>
      </c>
      <c r="J2725" t="s">
        <v>424</v>
      </c>
      <c r="L2725" t="s">
        <v>423</v>
      </c>
      <c r="M2725" t="s">
        <v>421</v>
      </c>
    </row>
    <row r="2726" spans="1:13" ht="15" customHeight="1" x14ac:dyDescent="0.25">
      <c r="A2726" s="82">
        <v>45001</v>
      </c>
      <c r="B2726" t="s">
        <v>430</v>
      </c>
      <c r="C2726" t="s">
        <v>426</v>
      </c>
      <c r="D2726" t="s">
        <v>425</v>
      </c>
      <c r="E2726" t="s">
        <v>455</v>
      </c>
      <c r="F2726" t="s">
        <v>421</v>
      </c>
      <c r="G2726" t="s">
        <v>427</v>
      </c>
      <c r="H2726" t="s">
        <v>428</v>
      </c>
      <c r="I2726" t="s">
        <v>429</v>
      </c>
      <c r="J2726" t="s">
        <v>424</v>
      </c>
      <c r="L2726" t="s">
        <v>423</v>
      </c>
      <c r="M2726" t="s">
        <v>421</v>
      </c>
    </row>
    <row r="2727" spans="1:13" ht="15" customHeight="1" x14ac:dyDescent="0.25">
      <c r="A2727" s="82">
        <v>45002</v>
      </c>
      <c r="B2727" t="s">
        <v>421</v>
      </c>
      <c r="C2727" t="s">
        <v>427</v>
      </c>
      <c r="D2727" t="s">
        <v>425</v>
      </c>
      <c r="E2727" t="s">
        <v>424</v>
      </c>
      <c r="F2727" t="s">
        <v>429</v>
      </c>
      <c r="G2727" t="s">
        <v>455</v>
      </c>
      <c r="H2727" t="s">
        <v>425</v>
      </c>
      <c r="I2727" t="s">
        <v>426</v>
      </c>
      <c r="J2727" t="s">
        <v>424</v>
      </c>
      <c r="L2727" t="s">
        <v>423</v>
      </c>
      <c r="M2727" t="s">
        <v>421</v>
      </c>
    </row>
    <row r="2728" spans="1:13" ht="15" customHeight="1" x14ac:dyDescent="0.25">
      <c r="A2728" s="82">
        <v>45003</v>
      </c>
      <c r="B2728" t="s">
        <v>427</v>
      </c>
      <c r="C2728" t="s">
        <v>455</v>
      </c>
      <c r="D2728" t="s">
        <v>421</v>
      </c>
      <c r="E2728" t="s">
        <v>424</v>
      </c>
      <c r="F2728" t="s">
        <v>429</v>
      </c>
      <c r="G2728" t="s">
        <v>428</v>
      </c>
      <c r="H2728" t="s">
        <v>425</v>
      </c>
      <c r="I2728" t="s">
        <v>426</v>
      </c>
      <c r="J2728" t="s">
        <v>430</v>
      </c>
      <c r="L2728" t="s">
        <v>423</v>
      </c>
      <c r="M2728" t="s">
        <v>421</v>
      </c>
    </row>
    <row r="2729" spans="1:13" ht="15" customHeight="1" x14ac:dyDescent="0.25">
      <c r="A2729" s="82">
        <v>45004</v>
      </c>
      <c r="B2729" t="s">
        <v>455</v>
      </c>
      <c r="C2729" t="s">
        <v>427</v>
      </c>
      <c r="D2729" t="s">
        <v>421</v>
      </c>
      <c r="E2729" t="s">
        <v>424</v>
      </c>
      <c r="F2729" t="s">
        <v>429</v>
      </c>
      <c r="G2729" t="s">
        <v>428</v>
      </c>
      <c r="H2729" t="s">
        <v>425</v>
      </c>
      <c r="I2729" t="s">
        <v>426</v>
      </c>
      <c r="J2729" t="s">
        <v>430</v>
      </c>
      <c r="L2729" t="s">
        <v>423</v>
      </c>
      <c r="M2729" t="s">
        <v>421</v>
      </c>
    </row>
    <row r="2730" spans="1:13" ht="15" customHeight="1" x14ac:dyDescent="0.25">
      <c r="A2730" s="82">
        <v>45005</v>
      </c>
      <c r="B2730" t="s">
        <v>421</v>
      </c>
      <c r="C2730" t="s">
        <v>455</v>
      </c>
      <c r="D2730" t="s">
        <v>427</v>
      </c>
      <c r="E2730" t="s">
        <v>424</v>
      </c>
      <c r="F2730" t="s">
        <v>429</v>
      </c>
      <c r="G2730" t="s">
        <v>428</v>
      </c>
      <c r="H2730" t="s">
        <v>425</v>
      </c>
      <c r="I2730" t="s">
        <v>426</v>
      </c>
      <c r="J2730" t="s">
        <v>430</v>
      </c>
      <c r="L2730" t="s">
        <v>421</v>
      </c>
      <c r="M2730" t="s">
        <v>423</v>
      </c>
    </row>
    <row r="2731" spans="1:13" ht="15" customHeight="1" x14ac:dyDescent="0.25">
      <c r="A2731" s="82">
        <v>45006</v>
      </c>
      <c r="B2731" t="s">
        <v>427</v>
      </c>
      <c r="C2731" t="s">
        <v>421</v>
      </c>
      <c r="D2731" t="s">
        <v>455</v>
      </c>
      <c r="E2731" t="s">
        <v>424</v>
      </c>
      <c r="F2731" t="s">
        <v>429</v>
      </c>
      <c r="G2731" t="s">
        <v>428</v>
      </c>
      <c r="H2731" t="s">
        <v>425</v>
      </c>
      <c r="I2731" t="s">
        <v>426</v>
      </c>
      <c r="J2731" t="s">
        <v>430</v>
      </c>
      <c r="L2731" t="s">
        <v>421</v>
      </c>
      <c r="M2731" t="s">
        <v>423</v>
      </c>
    </row>
    <row r="2732" spans="1:13" ht="15" customHeight="1" x14ac:dyDescent="0.25">
      <c r="A2732" s="82">
        <v>45007</v>
      </c>
      <c r="B2732" t="s">
        <v>455</v>
      </c>
      <c r="C2732" t="s">
        <v>421</v>
      </c>
      <c r="D2732" t="s">
        <v>427</v>
      </c>
      <c r="E2732" t="s">
        <v>424</v>
      </c>
      <c r="F2732" t="s">
        <v>429</v>
      </c>
      <c r="G2732" t="s">
        <v>428</v>
      </c>
      <c r="H2732" t="s">
        <v>425</v>
      </c>
      <c r="I2732" t="s">
        <v>426</v>
      </c>
      <c r="J2732" t="s">
        <v>430</v>
      </c>
      <c r="L2732" t="s">
        <v>421</v>
      </c>
      <c r="M2732" t="s">
        <v>423</v>
      </c>
    </row>
    <row r="2733" spans="1:13" ht="15" customHeight="1" x14ac:dyDescent="0.25">
      <c r="A2733" s="82">
        <v>45008</v>
      </c>
      <c r="B2733" t="s">
        <v>421</v>
      </c>
      <c r="C2733" t="s">
        <v>427</v>
      </c>
      <c r="D2733" t="s">
        <v>455</v>
      </c>
      <c r="E2733" t="s">
        <v>424</v>
      </c>
      <c r="F2733" t="s">
        <v>429</v>
      </c>
      <c r="G2733" t="s">
        <v>428</v>
      </c>
      <c r="H2733" t="s">
        <v>425</v>
      </c>
      <c r="I2733" t="s">
        <v>426</v>
      </c>
      <c r="J2733" t="s">
        <v>430</v>
      </c>
      <c r="L2733" t="s">
        <v>421</v>
      </c>
      <c r="M2733" t="s">
        <v>423</v>
      </c>
    </row>
    <row r="2734" spans="1:13" ht="15" customHeight="1" x14ac:dyDescent="0.25">
      <c r="A2734" s="82">
        <v>45009</v>
      </c>
      <c r="B2734" t="s">
        <v>429</v>
      </c>
      <c r="C2734" t="s">
        <v>455</v>
      </c>
      <c r="D2734" t="s">
        <v>424</v>
      </c>
      <c r="E2734" t="s">
        <v>424</v>
      </c>
      <c r="F2734" t="s">
        <v>426</v>
      </c>
      <c r="G2734" t="s">
        <v>425</v>
      </c>
      <c r="H2734" t="s">
        <v>425</v>
      </c>
      <c r="I2734" t="s">
        <v>427</v>
      </c>
      <c r="J2734" t="s">
        <v>421</v>
      </c>
      <c r="L2734" t="s">
        <v>423</v>
      </c>
      <c r="M2734" t="s">
        <v>421</v>
      </c>
    </row>
    <row r="2735" spans="1:13" ht="15" customHeight="1" x14ac:dyDescent="0.25">
      <c r="A2735" s="82">
        <v>45010</v>
      </c>
      <c r="B2735" t="s">
        <v>429</v>
      </c>
      <c r="C2735" t="s">
        <v>428</v>
      </c>
      <c r="D2735" t="s">
        <v>424</v>
      </c>
      <c r="E2735" t="s">
        <v>430</v>
      </c>
      <c r="F2735" t="s">
        <v>426</v>
      </c>
      <c r="G2735" t="s">
        <v>425</v>
      </c>
      <c r="H2735" t="s">
        <v>421</v>
      </c>
      <c r="I2735" t="s">
        <v>455</v>
      </c>
      <c r="J2735" t="s">
        <v>427</v>
      </c>
      <c r="L2735" t="s">
        <v>423</v>
      </c>
      <c r="M2735" t="s">
        <v>421</v>
      </c>
    </row>
    <row r="2736" spans="1:13" ht="15" customHeight="1" x14ac:dyDescent="0.25">
      <c r="A2736" s="82">
        <v>45011</v>
      </c>
      <c r="B2736" t="s">
        <v>429</v>
      </c>
      <c r="C2736" t="s">
        <v>428</v>
      </c>
      <c r="D2736" t="s">
        <v>424</v>
      </c>
      <c r="E2736" t="s">
        <v>430</v>
      </c>
      <c r="F2736" t="s">
        <v>426</v>
      </c>
      <c r="G2736" t="s">
        <v>425</v>
      </c>
      <c r="H2736" t="s">
        <v>421</v>
      </c>
      <c r="I2736" t="s">
        <v>427</v>
      </c>
      <c r="J2736" t="s">
        <v>455</v>
      </c>
      <c r="L2736" t="s">
        <v>423</v>
      </c>
      <c r="M2736" t="s">
        <v>421</v>
      </c>
    </row>
    <row r="2737" spans="1:13" ht="15" customHeight="1" x14ac:dyDescent="0.25">
      <c r="A2737" s="82">
        <v>45012</v>
      </c>
      <c r="B2737" t="s">
        <v>429</v>
      </c>
      <c r="C2737" t="s">
        <v>428</v>
      </c>
      <c r="D2737" t="s">
        <v>424</v>
      </c>
      <c r="E2737" t="s">
        <v>430</v>
      </c>
      <c r="F2737" t="s">
        <v>426</v>
      </c>
      <c r="G2737" t="s">
        <v>425</v>
      </c>
      <c r="H2737" t="s">
        <v>427</v>
      </c>
      <c r="I2737" t="s">
        <v>455</v>
      </c>
      <c r="J2737" t="s">
        <v>421</v>
      </c>
      <c r="L2737" t="s">
        <v>423</v>
      </c>
      <c r="M2737" t="s">
        <v>421</v>
      </c>
    </row>
    <row r="2738" spans="1:13" ht="15" customHeight="1" x14ac:dyDescent="0.25">
      <c r="A2738" s="82">
        <v>45013</v>
      </c>
      <c r="B2738" t="s">
        <v>429</v>
      </c>
      <c r="C2738" t="s">
        <v>428</v>
      </c>
      <c r="D2738" t="s">
        <v>424</v>
      </c>
      <c r="E2738" t="s">
        <v>430</v>
      </c>
      <c r="F2738" t="s">
        <v>426</v>
      </c>
      <c r="G2738" t="s">
        <v>425</v>
      </c>
      <c r="H2738" t="s">
        <v>455</v>
      </c>
      <c r="I2738" t="s">
        <v>421</v>
      </c>
      <c r="J2738" t="s">
        <v>427</v>
      </c>
      <c r="L2738" t="s">
        <v>423</v>
      </c>
      <c r="M2738" t="s">
        <v>421</v>
      </c>
    </row>
    <row r="2739" spans="1:13" ht="15" customHeight="1" x14ac:dyDescent="0.25">
      <c r="A2739" s="82">
        <v>45014</v>
      </c>
      <c r="B2739" t="s">
        <v>429</v>
      </c>
      <c r="C2739" t="s">
        <v>428</v>
      </c>
      <c r="D2739" t="s">
        <v>424</v>
      </c>
      <c r="E2739" t="s">
        <v>430</v>
      </c>
      <c r="F2739" t="s">
        <v>426</v>
      </c>
      <c r="G2739" t="s">
        <v>425</v>
      </c>
      <c r="H2739" t="s">
        <v>427</v>
      </c>
      <c r="I2739" t="s">
        <v>421</v>
      </c>
      <c r="J2739" t="s">
        <v>455</v>
      </c>
      <c r="L2739" t="s">
        <v>423</v>
      </c>
      <c r="M2739" t="s">
        <v>421</v>
      </c>
    </row>
    <row r="2740" spans="1:13" ht="15" customHeight="1" x14ac:dyDescent="0.25">
      <c r="A2740" s="82">
        <v>45015</v>
      </c>
      <c r="B2740" t="s">
        <v>429</v>
      </c>
      <c r="C2740" t="s">
        <v>428</v>
      </c>
      <c r="D2740" t="s">
        <v>424</v>
      </c>
      <c r="E2740" t="s">
        <v>430</v>
      </c>
      <c r="F2740" t="s">
        <v>426</v>
      </c>
      <c r="G2740" t="s">
        <v>425</v>
      </c>
      <c r="H2740" t="s">
        <v>455</v>
      </c>
      <c r="I2740" t="s">
        <v>427</v>
      </c>
      <c r="J2740" t="s">
        <v>421</v>
      </c>
      <c r="L2740" t="s">
        <v>421</v>
      </c>
      <c r="M2740" t="s">
        <v>423</v>
      </c>
    </row>
    <row r="2741" spans="1:13" ht="15" customHeight="1" x14ac:dyDescent="0.25">
      <c r="A2741" s="82">
        <v>45016</v>
      </c>
      <c r="B2741" t="s">
        <v>426</v>
      </c>
      <c r="C2741" t="s">
        <v>425</v>
      </c>
      <c r="D2741" t="s">
        <v>424</v>
      </c>
      <c r="E2741" t="s">
        <v>421</v>
      </c>
      <c r="F2741" t="s">
        <v>427</v>
      </c>
      <c r="G2741" t="s">
        <v>425</v>
      </c>
      <c r="H2741" t="s">
        <v>424</v>
      </c>
      <c r="I2741" t="s">
        <v>455</v>
      </c>
      <c r="J2741" t="s">
        <v>429</v>
      </c>
      <c r="L2741" t="s">
        <v>421</v>
      </c>
      <c r="M2741" t="s">
        <v>423</v>
      </c>
    </row>
    <row r="2742" spans="1:13" ht="15" customHeight="1" x14ac:dyDescent="0.25">
      <c r="A2742" s="82">
        <v>45017</v>
      </c>
      <c r="B2742" t="s">
        <v>426</v>
      </c>
      <c r="C2742" t="s">
        <v>425</v>
      </c>
      <c r="D2742" t="s">
        <v>430</v>
      </c>
      <c r="E2742" t="s">
        <v>427</v>
      </c>
      <c r="F2742" t="s">
        <v>455</v>
      </c>
      <c r="G2742" t="s">
        <v>421</v>
      </c>
      <c r="H2742" t="s">
        <v>424</v>
      </c>
      <c r="I2742" t="s">
        <v>428</v>
      </c>
      <c r="J2742" t="s">
        <v>429</v>
      </c>
      <c r="L2742" t="s">
        <v>421</v>
      </c>
      <c r="M2742" t="s">
        <v>423</v>
      </c>
    </row>
    <row r="2743" spans="1:13" ht="15" customHeight="1" x14ac:dyDescent="0.25">
      <c r="A2743" s="82">
        <v>45018</v>
      </c>
      <c r="B2743" t="s">
        <v>426</v>
      </c>
      <c r="C2743" t="s">
        <v>425</v>
      </c>
      <c r="D2743" t="s">
        <v>430</v>
      </c>
      <c r="E2743" t="s">
        <v>455</v>
      </c>
      <c r="F2743" t="s">
        <v>427</v>
      </c>
      <c r="G2743" t="s">
        <v>421</v>
      </c>
      <c r="H2743" t="s">
        <v>424</v>
      </c>
      <c r="I2743" t="s">
        <v>428</v>
      </c>
      <c r="J2743" t="s">
        <v>429</v>
      </c>
      <c r="L2743" t="s">
        <v>421</v>
      </c>
      <c r="M2743" t="s">
        <v>423</v>
      </c>
    </row>
    <row r="2744" spans="1:13" ht="15" customHeight="1" x14ac:dyDescent="0.25">
      <c r="A2744" s="82">
        <v>45019</v>
      </c>
      <c r="B2744" t="s">
        <v>426</v>
      </c>
      <c r="C2744" t="s">
        <v>425</v>
      </c>
      <c r="D2744" t="s">
        <v>430</v>
      </c>
      <c r="E2744" t="s">
        <v>421</v>
      </c>
      <c r="F2744" t="s">
        <v>455</v>
      </c>
      <c r="G2744" t="s">
        <v>427</v>
      </c>
      <c r="H2744" t="s">
        <v>424</v>
      </c>
      <c r="I2744" t="s">
        <v>428</v>
      </c>
      <c r="J2744" t="s">
        <v>429</v>
      </c>
      <c r="L2744" t="s">
        <v>421</v>
      </c>
      <c r="M2744" t="s">
        <v>423</v>
      </c>
    </row>
    <row r="2745" spans="1:13" ht="15" customHeight="1" x14ac:dyDescent="0.25">
      <c r="A2745" s="82">
        <v>45020</v>
      </c>
      <c r="B2745" t="s">
        <v>426</v>
      </c>
      <c r="C2745" t="s">
        <v>425</v>
      </c>
      <c r="D2745" t="s">
        <v>430</v>
      </c>
      <c r="E2745" t="s">
        <v>427</v>
      </c>
      <c r="F2745" t="s">
        <v>421</v>
      </c>
      <c r="G2745" t="s">
        <v>455</v>
      </c>
      <c r="H2745" t="s">
        <v>424</v>
      </c>
      <c r="I2745" t="s">
        <v>428</v>
      </c>
      <c r="J2745" t="s">
        <v>429</v>
      </c>
      <c r="L2745" t="s">
        <v>421</v>
      </c>
      <c r="M2745" t="s">
        <v>423</v>
      </c>
    </row>
    <row r="2746" spans="1:13" ht="15" customHeight="1" x14ac:dyDescent="0.25">
      <c r="A2746" s="82">
        <v>45021</v>
      </c>
      <c r="B2746" t="s">
        <v>426</v>
      </c>
      <c r="C2746" t="s">
        <v>425</v>
      </c>
      <c r="D2746" t="s">
        <v>430</v>
      </c>
      <c r="E2746" t="s">
        <v>455</v>
      </c>
      <c r="F2746" t="s">
        <v>421</v>
      </c>
      <c r="G2746" t="s">
        <v>427</v>
      </c>
      <c r="H2746" t="s">
        <v>424</v>
      </c>
      <c r="I2746" t="s">
        <v>428</v>
      </c>
      <c r="J2746" t="s">
        <v>429</v>
      </c>
      <c r="L2746" t="s">
        <v>423</v>
      </c>
      <c r="M2746" t="s">
        <v>421</v>
      </c>
    </row>
    <row r="2747" spans="1:13" ht="15" customHeight="1" x14ac:dyDescent="0.25">
      <c r="A2747" s="82">
        <v>45022</v>
      </c>
      <c r="B2747" t="s">
        <v>426</v>
      </c>
      <c r="C2747" t="s">
        <v>425</v>
      </c>
      <c r="D2747" t="s">
        <v>430</v>
      </c>
      <c r="E2747" t="s">
        <v>421</v>
      </c>
      <c r="F2747" t="s">
        <v>427</v>
      </c>
      <c r="G2747" t="s">
        <v>455</v>
      </c>
      <c r="H2747" t="s">
        <v>424</v>
      </c>
      <c r="I2747" t="s">
        <v>428</v>
      </c>
      <c r="J2747" t="s">
        <v>429</v>
      </c>
      <c r="L2747" t="s">
        <v>423</v>
      </c>
      <c r="M2747" t="s">
        <v>421</v>
      </c>
    </row>
    <row r="2748" spans="1:13" ht="15" customHeight="1" x14ac:dyDescent="0.25">
      <c r="A2748" s="82">
        <v>45023</v>
      </c>
      <c r="B2748" t="s">
        <v>427</v>
      </c>
      <c r="C2748" t="s">
        <v>425</v>
      </c>
      <c r="D2748" t="s">
        <v>421</v>
      </c>
      <c r="E2748" t="s">
        <v>429</v>
      </c>
      <c r="F2748" t="s">
        <v>455</v>
      </c>
      <c r="G2748" t="s">
        <v>424</v>
      </c>
      <c r="H2748" t="s">
        <v>424</v>
      </c>
      <c r="I2748" t="s">
        <v>425</v>
      </c>
      <c r="J2748" t="s">
        <v>426</v>
      </c>
      <c r="L2748" t="s">
        <v>428</v>
      </c>
      <c r="M2748" t="s">
        <v>421</v>
      </c>
    </row>
    <row r="2749" spans="1:13" ht="15" customHeight="1" x14ac:dyDescent="0.25">
      <c r="A2749" s="82">
        <v>45024</v>
      </c>
      <c r="B2749" t="s">
        <v>455</v>
      </c>
      <c r="C2749" t="s">
        <v>421</v>
      </c>
      <c r="D2749" t="s">
        <v>427</v>
      </c>
      <c r="E2749" t="s">
        <v>429</v>
      </c>
      <c r="F2749" t="s">
        <v>428</v>
      </c>
      <c r="G2749" t="s">
        <v>424</v>
      </c>
      <c r="H2749" t="s">
        <v>430</v>
      </c>
      <c r="I2749" t="s">
        <v>425</v>
      </c>
      <c r="J2749" t="s">
        <v>426</v>
      </c>
      <c r="L2749" t="s">
        <v>428</v>
      </c>
      <c r="M2749" t="s">
        <v>421</v>
      </c>
    </row>
    <row r="2750" spans="1:13" ht="15" customHeight="1" x14ac:dyDescent="0.25">
      <c r="A2750" s="82">
        <v>45025</v>
      </c>
      <c r="B2750" t="s">
        <v>427</v>
      </c>
      <c r="C2750" t="s">
        <v>421</v>
      </c>
      <c r="D2750" t="s">
        <v>455</v>
      </c>
      <c r="E2750" t="s">
        <v>429</v>
      </c>
      <c r="F2750" t="s">
        <v>428</v>
      </c>
      <c r="G2750" t="s">
        <v>424</v>
      </c>
      <c r="H2750" t="s">
        <v>430</v>
      </c>
      <c r="I2750" t="s">
        <v>425</v>
      </c>
      <c r="J2750" t="s">
        <v>426</v>
      </c>
      <c r="L2750" t="s">
        <v>428</v>
      </c>
      <c r="M2750" t="s">
        <v>421</v>
      </c>
    </row>
    <row r="2751" spans="1:13" ht="15" customHeight="1" x14ac:dyDescent="0.25">
      <c r="A2751" s="82">
        <v>45026</v>
      </c>
      <c r="B2751" t="s">
        <v>455</v>
      </c>
      <c r="C2751" t="s">
        <v>427</v>
      </c>
      <c r="D2751" t="s">
        <v>421</v>
      </c>
      <c r="E2751" t="s">
        <v>429</v>
      </c>
      <c r="F2751" t="s">
        <v>428</v>
      </c>
      <c r="G2751" t="s">
        <v>424</v>
      </c>
      <c r="H2751" t="s">
        <v>430</v>
      </c>
      <c r="I2751" t="s">
        <v>425</v>
      </c>
      <c r="J2751" t="s">
        <v>426</v>
      </c>
      <c r="L2751" t="s">
        <v>428</v>
      </c>
      <c r="M2751" t="s">
        <v>421</v>
      </c>
    </row>
    <row r="2752" spans="1:13" ht="15" customHeight="1" x14ac:dyDescent="0.25">
      <c r="A2752" s="82">
        <v>45027</v>
      </c>
      <c r="B2752" t="s">
        <v>421</v>
      </c>
      <c r="C2752" t="s">
        <v>455</v>
      </c>
      <c r="D2752" t="s">
        <v>427</v>
      </c>
      <c r="E2752" t="s">
        <v>429</v>
      </c>
      <c r="F2752" t="s">
        <v>428</v>
      </c>
      <c r="G2752" t="s">
        <v>424</v>
      </c>
      <c r="H2752" t="s">
        <v>430</v>
      </c>
      <c r="I2752" t="s">
        <v>425</v>
      </c>
      <c r="J2752" t="s">
        <v>426</v>
      </c>
      <c r="L2752" t="s">
        <v>421</v>
      </c>
      <c r="M2752" t="s">
        <v>423</v>
      </c>
    </row>
    <row r="2753" spans="1:13" ht="15" customHeight="1" x14ac:dyDescent="0.25">
      <c r="A2753" s="82">
        <v>45028</v>
      </c>
      <c r="B2753" t="s">
        <v>421</v>
      </c>
      <c r="C2753" t="s">
        <v>427</v>
      </c>
      <c r="D2753" t="s">
        <v>455</v>
      </c>
      <c r="E2753" t="s">
        <v>429</v>
      </c>
      <c r="F2753" t="s">
        <v>428</v>
      </c>
      <c r="G2753" t="s">
        <v>424</v>
      </c>
      <c r="H2753" t="s">
        <v>430</v>
      </c>
      <c r="I2753" t="s">
        <v>425</v>
      </c>
      <c r="J2753" t="s">
        <v>426</v>
      </c>
      <c r="L2753" t="s">
        <v>421</v>
      </c>
      <c r="M2753" t="s">
        <v>423</v>
      </c>
    </row>
    <row r="2754" spans="1:13" ht="15" customHeight="1" x14ac:dyDescent="0.25">
      <c r="A2754" s="82">
        <v>45029</v>
      </c>
      <c r="B2754" t="s">
        <v>427</v>
      </c>
      <c r="C2754" t="s">
        <v>455</v>
      </c>
      <c r="D2754" t="s">
        <v>421</v>
      </c>
      <c r="E2754" t="s">
        <v>429</v>
      </c>
      <c r="F2754" t="s">
        <v>428</v>
      </c>
      <c r="G2754" t="s">
        <v>424</v>
      </c>
      <c r="H2754" t="s">
        <v>430</v>
      </c>
      <c r="I2754" t="s">
        <v>425</v>
      </c>
      <c r="J2754" t="s">
        <v>426</v>
      </c>
      <c r="L2754" t="s">
        <v>421</v>
      </c>
      <c r="M2754" t="s">
        <v>423</v>
      </c>
    </row>
    <row r="2755" spans="1:13" ht="15" customHeight="1" x14ac:dyDescent="0.25">
      <c r="A2755" s="82">
        <v>45030</v>
      </c>
      <c r="B2755" t="s">
        <v>455</v>
      </c>
      <c r="C2755" t="s">
        <v>424</v>
      </c>
      <c r="D2755" t="s">
        <v>429</v>
      </c>
      <c r="E2755" t="s">
        <v>426</v>
      </c>
      <c r="F2755" t="s">
        <v>425</v>
      </c>
      <c r="G2755" t="s">
        <v>424</v>
      </c>
      <c r="H2755" t="s">
        <v>421</v>
      </c>
      <c r="I2755" t="s">
        <v>425</v>
      </c>
      <c r="J2755" t="s">
        <v>427</v>
      </c>
      <c r="L2755" t="s">
        <v>421</v>
      </c>
      <c r="M2755" t="s">
        <v>423</v>
      </c>
    </row>
    <row r="2756" spans="1:13" ht="15" customHeight="1" x14ac:dyDescent="0.25">
      <c r="A2756" s="82">
        <v>45031</v>
      </c>
      <c r="B2756" t="s">
        <v>428</v>
      </c>
      <c r="C2756" t="s">
        <v>424</v>
      </c>
      <c r="D2756" t="s">
        <v>429</v>
      </c>
      <c r="E2756" t="s">
        <v>426</v>
      </c>
      <c r="F2756" t="s">
        <v>425</v>
      </c>
      <c r="G2756" t="s">
        <v>430</v>
      </c>
      <c r="H2756" t="s">
        <v>427</v>
      </c>
      <c r="I2756" t="s">
        <v>421</v>
      </c>
      <c r="J2756" t="s">
        <v>455</v>
      </c>
      <c r="L2756" t="s">
        <v>421</v>
      </c>
      <c r="M2756" t="s">
        <v>423</v>
      </c>
    </row>
    <row r="2757" spans="1:13" ht="15" customHeight="1" x14ac:dyDescent="0.25">
      <c r="A2757" s="82">
        <v>45032</v>
      </c>
      <c r="B2757" t="s">
        <v>428</v>
      </c>
      <c r="C2757" t="s">
        <v>424</v>
      </c>
      <c r="D2757" t="s">
        <v>429</v>
      </c>
      <c r="E2757" t="s">
        <v>426</v>
      </c>
      <c r="F2757" t="s">
        <v>425</v>
      </c>
      <c r="G2757" t="s">
        <v>430</v>
      </c>
      <c r="H2757" t="s">
        <v>455</v>
      </c>
      <c r="I2757" t="s">
        <v>421</v>
      </c>
      <c r="J2757" t="s">
        <v>427</v>
      </c>
      <c r="L2757" t="s">
        <v>421</v>
      </c>
      <c r="M2757" t="s">
        <v>423</v>
      </c>
    </row>
    <row r="2758" spans="1:13" ht="15" customHeight="1" x14ac:dyDescent="0.25">
      <c r="A2758" s="82">
        <v>45033</v>
      </c>
      <c r="B2758" t="s">
        <v>428</v>
      </c>
      <c r="C2758" t="s">
        <v>424</v>
      </c>
      <c r="D2758" t="s">
        <v>429</v>
      </c>
      <c r="E2758" t="s">
        <v>426</v>
      </c>
      <c r="F2758" t="s">
        <v>425</v>
      </c>
      <c r="G2758" t="s">
        <v>430</v>
      </c>
      <c r="H2758" t="s">
        <v>421</v>
      </c>
      <c r="I2758" t="s">
        <v>427</v>
      </c>
      <c r="J2758" t="s">
        <v>455</v>
      </c>
      <c r="L2758" t="s">
        <v>423</v>
      </c>
      <c r="M2758" t="s">
        <v>421</v>
      </c>
    </row>
    <row r="2759" spans="1:13" ht="15" customHeight="1" x14ac:dyDescent="0.25">
      <c r="A2759" s="82">
        <v>45034</v>
      </c>
      <c r="B2759" t="s">
        <v>428</v>
      </c>
      <c r="C2759" t="s">
        <v>424</v>
      </c>
      <c r="D2759" t="s">
        <v>429</v>
      </c>
      <c r="E2759" t="s">
        <v>426</v>
      </c>
      <c r="F2759" t="s">
        <v>425</v>
      </c>
      <c r="G2759" t="s">
        <v>430</v>
      </c>
      <c r="H2759" t="s">
        <v>427</v>
      </c>
      <c r="I2759" t="s">
        <v>455</v>
      </c>
      <c r="J2759" t="s">
        <v>421</v>
      </c>
      <c r="L2759" t="s">
        <v>423</v>
      </c>
      <c r="M2759" t="s">
        <v>421</v>
      </c>
    </row>
    <row r="2760" spans="1:13" ht="15" customHeight="1" x14ac:dyDescent="0.25">
      <c r="A2760" s="82">
        <v>45035</v>
      </c>
      <c r="B2760" t="s">
        <v>428</v>
      </c>
      <c r="C2760" t="s">
        <v>424</v>
      </c>
      <c r="D2760" t="s">
        <v>429</v>
      </c>
      <c r="E2760" t="s">
        <v>426</v>
      </c>
      <c r="F2760" t="s">
        <v>425</v>
      </c>
      <c r="G2760" t="s">
        <v>430</v>
      </c>
      <c r="H2760" t="s">
        <v>455</v>
      </c>
      <c r="I2760" t="s">
        <v>427</v>
      </c>
      <c r="J2760" t="s">
        <v>421</v>
      </c>
      <c r="L2760" t="s">
        <v>423</v>
      </c>
      <c r="M2760" t="s">
        <v>421</v>
      </c>
    </row>
    <row r="2761" spans="1:13" ht="15" customHeight="1" x14ac:dyDescent="0.25">
      <c r="A2761" s="82">
        <v>45036</v>
      </c>
      <c r="B2761" t="s">
        <v>428</v>
      </c>
      <c r="C2761" t="s">
        <v>424</v>
      </c>
      <c r="D2761" t="s">
        <v>429</v>
      </c>
      <c r="E2761" t="s">
        <v>426</v>
      </c>
      <c r="F2761" t="s">
        <v>425</v>
      </c>
      <c r="G2761" t="s">
        <v>430</v>
      </c>
      <c r="H2761" t="s">
        <v>421</v>
      </c>
      <c r="I2761" t="s">
        <v>455</v>
      </c>
      <c r="J2761" t="s">
        <v>427</v>
      </c>
      <c r="L2761" t="s">
        <v>423</v>
      </c>
      <c r="M2761" t="s">
        <v>421</v>
      </c>
    </row>
    <row r="2762" spans="1:13" ht="15" customHeight="1" x14ac:dyDescent="0.25">
      <c r="A2762" s="82">
        <v>45037</v>
      </c>
      <c r="B2762" t="s">
        <v>425</v>
      </c>
      <c r="C2762" t="s">
        <v>424</v>
      </c>
      <c r="D2762" t="s">
        <v>426</v>
      </c>
      <c r="E2762" t="s">
        <v>427</v>
      </c>
      <c r="F2762" t="s">
        <v>425</v>
      </c>
      <c r="G2762" t="s">
        <v>421</v>
      </c>
      <c r="H2762" t="s">
        <v>429</v>
      </c>
      <c r="I2762" t="s">
        <v>424</v>
      </c>
      <c r="J2762" t="s">
        <v>455</v>
      </c>
      <c r="L2762" t="s">
        <v>421</v>
      </c>
      <c r="M2762" t="s">
        <v>423</v>
      </c>
    </row>
    <row r="2763" spans="1:13" ht="15" customHeight="1" x14ac:dyDescent="0.25">
      <c r="A2763" s="82">
        <v>45038</v>
      </c>
      <c r="B2763" t="s">
        <v>425</v>
      </c>
      <c r="C2763" t="s">
        <v>430</v>
      </c>
      <c r="D2763" t="s">
        <v>426</v>
      </c>
      <c r="E2763" t="s">
        <v>455</v>
      </c>
      <c r="F2763" t="s">
        <v>421</v>
      </c>
      <c r="G2763" t="s">
        <v>427</v>
      </c>
      <c r="H2763" t="s">
        <v>429</v>
      </c>
      <c r="I2763" t="s">
        <v>424</v>
      </c>
      <c r="J2763" t="s">
        <v>428</v>
      </c>
      <c r="L2763" t="s">
        <v>421</v>
      </c>
      <c r="M2763" t="s">
        <v>423</v>
      </c>
    </row>
    <row r="2764" spans="1:13" ht="15" customHeight="1" x14ac:dyDescent="0.25">
      <c r="A2764" s="82">
        <v>45039</v>
      </c>
      <c r="B2764" t="s">
        <v>425</v>
      </c>
      <c r="C2764" t="s">
        <v>430</v>
      </c>
      <c r="D2764" t="s">
        <v>426</v>
      </c>
      <c r="E2764" t="s">
        <v>427</v>
      </c>
      <c r="F2764" t="s">
        <v>421</v>
      </c>
      <c r="G2764" t="s">
        <v>455</v>
      </c>
      <c r="H2764" t="s">
        <v>429</v>
      </c>
      <c r="I2764" t="s">
        <v>424</v>
      </c>
      <c r="J2764" t="s">
        <v>428</v>
      </c>
      <c r="L2764" t="s">
        <v>421</v>
      </c>
      <c r="M2764" t="s">
        <v>423</v>
      </c>
    </row>
    <row r="2765" spans="1:13" ht="15" customHeight="1" x14ac:dyDescent="0.25">
      <c r="A2765" s="82">
        <v>45040</v>
      </c>
      <c r="B2765" t="s">
        <v>425</v>
      </c>
      <c r="C2765" t="s">
        <v>430</v>
      </c>
      <c r="D2765" t="s">
        <v>426</v>
      </c>
      <c r="E2765" t="s">
        <v>455</v>
      </c>
      <c r="F2765" t="s">
        <v>427</v>
      </c>
      <c r="G2765" t="s">
        <v>421</v>
      </c>
      <c r="H2765" t="s">
        <v>429</v>
      </c>
      <c r="I2765" t="s">
        <v>424</v>
      </c>
      <c r="J2765" t="s">
        <v>428</v>
      </c>
      <c r="L2765" t="s">
        <v>421</v>
      </c>
      <c r="M2765" t="s">
        <v>423</v>
      </c>
    </row>
    <row r="2766" spans="1:13" ht="15" customHeight="1" x14ac:dyDescent="0.25">
      <c r="A2766" s="82">
        <v>45041</v>
      </c>
      <c r="B2766" t="s">
        <v>425</v>
      </c>
      <c r="C2766" t="s">
        <v>430</v>
      </c>
      <c r="D2766" t="s">
        <v>426</v>
      </c>
      <c r="E2766" t="s">
        <v>421</v>
      </c>
      <c r="F2766" t="s">
        <v>455</v>
      </c>
      <c r="G2766" t="s">
        <v>427</v>
      </c>
      <c r="H2766" t="s">
        <v>429</v>
      </c>
      <c r="I2766" t="s">
        <v>424</v>
      </c>
      <c r="J2766" t="s">
        <v>428</v>
      </c>
      <c r="L2766" t="s">
        <v>421</v>
      </c>
      <c r="M2766" t="s">
        <v>423</v>
      </c>
    </row>
    <row r="2767" spans="1:13" ht="15" customHeight="1" x14ac:dyDescent="0.25">
      <c r="A2767" s="82">
        <v>45042</v>
      </c>
      <c r="B2767" t="s">
        <v>425</v>
      </c>
      <c r="C2767" t="s">
        <v>430</v>
      </c>
      <c r="D2767" t="s">
        <v>426</v>
      </c>
      <c r="E2767" t="s">
        <v>421</v>
      </c>
      <c r="F2767" t="s">
        <v>427</v>
      </c>
      <c r="G2767" t="s">
        <v>455</v>
      </c>
      <c r="H2767" t="s">
        <v>429</v>
      </c>
      <c r="I2767" t="s">
        <v>424</v>
      </c>
      <c r="J2767" t="s">
        <v>428</v>
      </c>
      <c r="L2767" t="s">
        <v>421</v>
      </c>
      <c r="M2767" t="s">
        <v>423</v>
      </c>
    </row>
    <row r="2768" spans="1:13" ht="15" customHeight="1" x14ac:dyDescent="0.25">
      <c r="A2768" s="82">
        <v>45043</v>
      </c>
      <c r="B2768" t="s">
        <v>425</v>
      </c>
      <c r="C2768" t="s">
        <v>430</v>
      </c>
      <c r="D2768" t="s">
        <v>426</v>
      </c>
      <c r="E2768" t="s">
        <v>427</v>
      </c>
      <c r="F2768" t="s">
        <v>455</v>
      </c>
      <c r="G2768" t="s">
        <v>421</v>
      </c>
      <c r="H2768" t="s">
        <v>429</v>
      </c>
      <c r="I2768" t="s">
        <v>424</v>
      </c>
      <c r="J2768" t="s">
        <v>428</v>
      </c>
      <c r="L2768" t="s">
        <v>423</v>
      </c>
      <c r="M2768" t="s">
        <v>421</v>
      </c>
    </row>
    <row r="2769" spans="1:13" ht="15" customHeight="1" x14ac:dyDescent="0.25">
      <c r="A2769" s="82">
        <v>45044</v>
      </c>
      <c r="B2769" t="s">
        <v>425</v>
      </c>
      <c r="C2769" t="s">
        <v>421</v>
      </c>
      <c r="D2769" t="s">
        <v>427</v>
      </c>
      <c r="E2769" t="s">
        <v>455</v>
      </c>
      <c r="F2769" t="s">
        <v>424</v>
      </c>
      <c r="G2769" t="s">
        <v>429</v>
      </c>
      <c r="H2769" t="s">
        <v>426</v>
      </c>
      <c r="I2769" t="s">
        <v>424</v>
      </c>
      <c r="J2769" t="s">
        <v>425</v>
      </c>
      <c r="L2769" t="s">
        <v>423</v>
      </c>
      <c r="M2769" t="s">
        <v>421</v>
      </c>
    </row>
    <row r="2770" spans="1:13" ht="15" customHeight="1" x14ac:dyDescent="0.25">
      <c r="A2770" s="82">
        <v>45045</v>
      </c>
      <c r="B2770" t="s">
        <v>421</v>
      </c>
      <c r="C2770" t="s">
        <v>427</v>
      </c>
      <c r="D2770" t="s">
        <v>455</v>
      </c>
      <c r="E2770" t="s">
        <v>428</v>
      </c>
      <c r="F2770" t="s">
        <v>424</v>
      </c>
      <c r="G2770" t="s">
        <v>429</v>
      </c>
      <c r="H2770" t="s">
        <v>426</v>
      </c>
      <c r="I2770" t="s">
        <v>430</v>
      </c>
      <c r="J2770" t="s">
        <v>425</v>
      </c>
      <c r="L2770" t="s">
        <v>423</v>
      </c>
      <c r="M2770" t="s">
        <v>421</v>
      </c>
    </row>
    <row r="2771" spans="1:13" ht="15" customHeight="1" x14ac:dyDescent="0.25">
      <c r="A2771" s="82">
        <v>45046</v>
      </c>
      <c r="B2771" t="s">
        <v>421</v>
      </c>
      <c r="C2771" t="s">
        <v>455</v>
      </c>
      <c r="D2771" t="s">
        <v>427</v>
      </c>
      <c r="E2771" t="s">
        <v>428</v>
      </c>
      <c r="F2771" t="s">
        <v>424</v>
      </c>
      <c r="G2771" t="s">
        <v>429</v>
      </c>
      <c r="H2771" t="s">
        <v>426</v>
      </c>
      <c r="I2771" t="s">
        <v>430</v>
      </c>
      <c r="J2771" t="s">
        <v>425</v>
      </c>
      <c r="L2771" t="s">
        <v>423</v>
      </c>
      <c r="M2771" t="s">
        <v>421</v>
      </c>
    </row>
    <row r="2772" spans="1:13" ht="15" customHeight="1" x14ac:dyDescent="0.25">
      <c r="A2772" s="82">
        <v>45047</v>
      </c>
      <c r="B2772" t="s">
        <v>427</v>
      </c>
      <c r="C2772" t="s">
        <v>421</v>
      </c>
      <c r="D2772" t="s">
        <v>455</v>
      </c>
      <c r="E2772" t="s">
        <v>428</v>
      </c>
      <c r="F2772" t="s">
        <v>424</v>
      </c>
      <c r="G2772" t="s">
        <v>429</v>
      </c>
      <c r="H2772" t="s">
        <v>426</v>
      </c>
      <c r="I2772" t="s">
        <v>430</v>
      </c>
      <c r="J2772" t="s">
        <v>425</v>
      </c>
      <c r="L2772" t="s">
        <v>423</v>
      </c>
      <c r="M2772" t="s">
        <v>421</v>
      </c>
    </row>
    <row r="2773" spans="1:13" ht="15" customHeight="1" x14ac:dyDescent="0.25">
      <c r="A2773" s="82">
        <v>45048</v>
      </c>
      <c r="B2773" t="s">
        <v>455</v>
      </c>
      <c r="C2773" t="s">
        <v>427</v>
      </c>
      <c r="D2773" t="s">
        <v>421</v>
      </c>
      <c r="E2773" t="s">
        <v>428</v>
      </c>
      <c r="F2773" t="s">
        <v>424</v>
      </c>
      <c r="G2773" t="s">
        <v>429</v>
      </c>
      <c r="H2773" t="s">
        <v>426</v>
      </c>
      <c r="I2773" t="s">
        <v>430</v>
      </c>
      <c r="J2773" t="s">
        <v>425</v>
      </c>
      <c r="L2773" t="s">
        <v>423</v>
      </c>
      <c r="M2773" t="s">
        <v>421</v>
      </c>
    </row>
    <row r="2774" spans="1:13" ht="15" customHeight="1" x14ac:dyDescent="0.25">
      <c r="A2774" s="82">
        <v>45049</v>
      </c>
      <c r="B2774" t="s">
        <v>427</v>
      </c>
      <c r="C2774" t="s">
        <v>455</v>
      </c>
      <c r="D2774" t="s">
        <v>421</v>
      </c>
      <c r="E2774" t="s">
        <v>428</v>
      </c>
      <c r="F2774" t="s">
        <v>424</v>
      </c>
      <c r="G2774" t="s">
        <v>429</v>
      </c>
      <c r="H2774" t="s">
        <v>426</v>
      </c>
      <c r="I2774" t="s">
        <v>430</v>
      </c>
      <c r="J2774" t="s">
        <v>425</v>
      </c>
      <c r="L2774" t="s">
        <v>421</v>
      </c>
      <c r="M2774" t="s">
        <v>423</v>
      </c>
    </row>
    <row r="2775" spans="1:13" ht="15" customHeight="1" x14ac:dyDescent="0.25">
      <c r="A2775" s="82">
        <v>45050</v>
      </c>
      <c r="B2775" t="s">
        <v>455</v>
      </c>
      <c r="C2775" t="s">
        <v>421</v>
      </c>
      <c r="D2775" t="s">
        <v>427</v>
      </c>
      <c r="E2775" t="s">
        <v>428</v>
      </c>
      <c r="F2775" t="s">
        <v>424</v>
      </c>
      <c r="G2775" t="s">
        <v>429</v>
      </c>
      <c r="H2775" t="s">
        <v>426</v>
      </c>
      <c r="I2775" t="s">
        <v>430</v>
      </c>
      <c r="J2775" t="s">
        <v>425</v>
      </c>
      <c r="L2775" t="s">
        <v>421</v>
      </c>
      <c r="M2775" t="s">
        <v>423</v>
      </c>
    </row>
    <row r="2776" spans="1:13" ht="15" customHeight="1" x14ac:dyDescent="0.25">
      <c r="A2776" s="82">
        <v>45051</v>
      </c>
      <c r="B2776" t="s">
        <v>424</v>
      </c>
      <c r="C2776" t="s">
        <v>429</v>
      </c>
      <c r="D2776" t="s">
        <v>455</v>
      </c>
      <c r="E2776" t="s">
        <v>425</v>
      </c>
      <c r="F2776" t="s">
        <v>424</v>
      </c>
      <c r="G2776" t="s">
        <v>426</v>
      </c>
      <c r="H2776" t="s">
        <v>427</v>
      </c>
      <c r="I2776" t="s">
        <v>421</v>
      </c>
      <c r="J2776" t="s">
        <v>425</v>
      </c>
      <c r="L2776" t="s">
        <v>421</v>
      </c>
      <c r="M2776" t="s">
        <v>428</v>
      </c>
    </row>
    <row r="2777" spans="1:13" ht="15" customHeight="1" x14ac:dyDescent="0.25">
      <c r="A2777" s="82">
        <v>45052</v>
      </c>
      <c r="B2777" t="s">
        <v>424</v>
      </c>
      <c r="C2777" t="s">
        <v>429</v>
      </c>
      <c r="D2777" t="s">
        <v>428</v>
      </c>
      <c r="E2777" t="s">
        <v>425</v>
      </c>
      <c r="F2777" t="s">
        <v>430</v>
      </c>
      <c r="G2777" t="s">
        <v>426</v>
      </c>
      <c r="H2777" t="s">
        <v>455</v>
      </c>
      <c r="I2777" t="s">
        <v>427</v>
      </c>
      <c r="J2777" t="s">
        <v>421</v>
      </c>
      <c r="L2777" t="s">
        <v>421</v>
      </c>
      <c r="M2777" t="s">
        <v>428</v>
      </c>
    </row>
    <row r="2778" spans="1:13" ht="15" customHeight="1" x14ac:dyDescent="0.25">
      <c r="A2778" s="82">
        <v>45053</v>
      </c>
      <c r="B2778" t="s">
        <v>424</v>
      </c>
      <c r="C2778" t="s">
        <v>429</v>
      </c>
      <c r="D2778" t="s">
        <v>428</v>
      </c>
      <c r="E2778" t="s">
        <v>425</v>
      </c>
      <c r="F2778" t="s">
        <v>430</v>
      </c>
      <c r="G2778" t="s">
        <v>426</v>
      </c>
      <c r="H2778" t="s">
        <v>427</v>
      </c>
      <c r="I2778" t="s">
        <v>455</v>
      </c>
      <c r="J2778" t="s">
        <v>421</v>
      </c>
      <c r="L2778" t="s">
        <v>421</v>
      </c>
      <c r="M2778" t="s">
        <v>428</v>
      </c>
    </row>
    <row r="2779" spans="1:13" ht="15" customHeight="1" x14ac:dyDescent="0.25">
      <c r="A2779" s="82">
        <v>45054</v>
      </c>
      <c r="B2779" t="s">
        <v>424</v>
      </c>
      <c r="C2779" t="s">
        <v>429</v>
      </c>
      <c r="D2779" t="s">
        <v>428</v>
      </c>
      <c r="E2779" t="s">
        <v>425</v>
      </c>
      <c r="F2779" t="s">
        <v>430</v>
      </c>
      <c r="G2779" t="s">
        <v>426</v>
      </c>
      <c r="H2779" t="s">
        <v>455</v>
      </c>
      <c r="I2779" t="s">
        <v>421</v>
      </c>
      <c r="J2779" t="s">
        <v>427</v>
      </c>
      <c r="L2779" t="s">
        <v>421</v>
      </c>
      <c r="M2779" t="s">
        <v>428</v>
      </c>
    </row>
    <row r="2780" spans="1:13" ht="15" customHeight="1" x14ac:dyDescent="0.25">
      <c r="A2780" s="82">
        <v>45055</v>
      </c>
      <c r="B2780" t="s">
        <v>424</v>
      </c>
      <c r="C2780" t="s">
        <v>429</v>
      </c>
      <c r="D2780" t="s">
        <v>428</v>
      </c>
      <c r="E2780" t="s">
        <v>425</v>
      </c>
      <c r="F2780" t="s">
        <v>430</v>
      </c>
      <c r="G2780" t="s">
        <v>426</v>
      </c>
      <c r="H2780" t="s">
        <v>421</v>
      </c>
      <c r="I2780" t="s">
        <v>427</v>
      </c>
      <c r="J2780" t="s">
        <v>455</v>
      </c>
      <c r="L2780" t="s">
        <v>423</v>
      </c>
      <c r="M2780" t="s">
        <v>421</v>
      </c>
    </row>
    <row r="2781" spans="1:13" ht="15" customHeight="1" x14ac:dyDescent="0.25">
      <c r="A2781" s="82">
        <v>45056</v>
      </c>
      <c r="B2781" t="s">
        <v>424</v>
      </c>
      <c r="C2781" t="s">
        <v>429</v>
      </c>
      <c r="D2781" t="s">
        <v>428</v>
      </c>
      <c r="E2781" t="s">
        <v>425</v>
      </c>
      <c r="F2781" t="s">
        <v>430</v>
      </c>
      <c r="G2781" t="s">
        <v>426</v>
      </c>
      <c r="H2781" t="s">
        <v>421</v>
      </c>
      <c r="I2781" t="s">
        <v>455</v>
      </c>
      <c r="J2781" t="s">
        <v>427</v>
      </c>
      <c r="L2781" t="s">
        <v>423</v>
      </c>
      <c r="M2781" t="s">
        <v>421</v>
      </c>
    </row>
    <row r="2782" spans="1:13" ht="15" customHeight="1" x14ac:dyDescent="0.25">
      <c r="A2782" s="82">
        <v>45057</v>
      </c>
      <c r="B2782" t="s">
        <v>424</v>
      </c>
      <c r="C2782" t="s">
        <v>429</v>
      </c>
      <c r="D2782" t="s">
        <v>428</v>
      </c>
      <c r="E2782" t="s">
        <v>425</v>
      </c>
      <c r="F2782" t="s">
        <v>430</v>
      </c>
      <c r="G2782" t="s">
        <v>426</v>
      </c>
      <c r="H2782" t="s">
        <v>427</v>
      </c>
      <c r="I2782" t="s">
        <v>421</v>
      </c>
      <c r="J2782" t="s">
        <v>455</v>
      </c>
      <c r="L2782" t="s">
        <v>423</v>
      </c>
      <c r="M2782" t="s">
        <v>421</v>
      </c>
    </row>
    <row r="2783" spans="1:13" ht="15" customHeight="1" x14ac:dyDescent="0.25">
      <c r="A2783" s="82">
        <v>45058</v>
      </c>
      <c r="B2783" t="s">
        <v>424</v>
      </c>
      <c r="C2783" t="s">
        <v>426</v>
      </c>
      <c r="D2783" t="s">
        <v>425</v>
      </c>
      <c r="E2783" t="s">
        <v>425</v>
      </c>
      <c r="F2783" t="s">
        <v>421</v>
      </c>
      <c r="G2783" t="s">
        <v>427</v>
      </c>
      <c r="H2783" t="s">
        <v>455</v>
      </c>
      <c r="I2783" t="s">
        <v>429</v>
      </c>
      <c r="J2783" t="s">
        <v>424</v>
      </c>
      <c r="L2783" t="s">
        <v>423</v>
      </c>
      <c r="M2783" t="s">
        <v>421</v>
      </c>
    </row>
    <row r="2784" spans="1:13" ht="15" customHeight="1" x14ac:dyDescent="0.25">
      <c r="A2784" s="82">
        <v>45059</v>
      </c>
      <c r="B2784" t="s">
        <v>430</v>
      </c>
      <c r="C2784" t="s">
        <v>426</v>
      </c>
      <c r="D2784" t="s">
        <v>425</v>
      </c>
      <c r="E2784" t="s">
        <v>421</v>
      </c>
      <c r="F2784" t="s">
        <v>427</v>
      </c>
      <c r="G2784" t="s">
        <v>455</v>
      </c>
      <c r="H2784" t="s">
        <v>428</v>
      </c>
      <c r="I2784" t="s">
        <v>429</v>
      </c>
      <c r="J2784" t="s">
        <v>424</v>
      </c>
      <c r="L2784" t="s">
        <v>423</v>
      </c>
      <c r="M2784" t="s">
        <v>421</v>
      </c>
    </row>
    <row r="2785" spans="1:13" ht="15" customHeight="1" x14ac:dyDescent="0.25">
      <c r="A2785" s="82">
        <v>45060</v>
      </c>
      <c r="B2785" t="s">
        <v>430</v>
      </c>
      <c r="C2785" t="s">
        <v>426</v>
      </c>
      <c r="D2785" t="s">
        <v>425</v>
      </c>
      <c r="E2785" t="s">
        <v>421</v>
      </c>
      <c r="F2785" t="s">
        <v>455</v>
      </c>
      <c r="G2785" t="s">
        <v>427</v>
      </c>
      <c r="H2785" t="s">
        <v>428</v>
      </c>
      <c r="I2785" t="s">
        <v>429</v>
      </c>
      <c r="J2785" t="s">
        <v>424</v>
      </c>
      <c r="L2785" t="s">
        <v>423</v>
      </c>
      <c r="M2785" t="s">
        <v>421</v>
      </c>
    </row>
    <row r="2786" spans="1:13" ht="15" customHeight="1" x14ac:dyDescent="0.25">
      <c r="A2786" s="82">
        <v>45061</v>
      </c>
      <c r="B2786" t="s">
        <v>430</v>
      </c>
      <c r="C2786" t="s">
        <v>426</v>
      </c>
      <c r="D2786" t="s">
        <v>425</v>
      </c>
      <c r="E2786" t="s">
        <v>427</v>
      </c>
      <c r="F2786" t="s">
        <v>421</v>
      </c>
      <c r="G2786" t="s">
        <v>455</v>
      </c>
      <c r="H2786" t="s">
        <v>428</v>
      </c>
      <c r="I2786" t="s">
        <v>429</v>
      </c>
      <c r="J2786" t="s">
        <v>424</v>
      </c>
      <c r="L2786" t="s">
        <v>421</v>
      </c>
      <c r="M2786" t="s">
        <v>423</v>
      </c>
    </row>
    <row r="2787" spans="1:13" ht="15" customHeight="1" x14ac:dyDescent="0.25">
      <c r="A2787" s="82">
        <v>45062</v>
      </c>
      <c r="B2787" t="s">
        <v>430</v>
      </c>
      <c r="C2787" t="s">
        <v>426</v>
      </c>
      <c r="D2787" t="s">
        <v>425</v>
      </c>
      <c r="E2787" t="s">
        <v>455</v>
      </c>
      <c r="F2787" t="s">
        <v>427</v>
      </c>
      <c r="G2787" t="s">
        <v>421</v>
      </c>
      <c r="H2787" t="s">
        <v>428</v>
      </c>
      <c r="I2787" t="s">
        <v>429</v>
      </c>
      <c r="J2787" t="s">
        <v>424</v>
      </c>
      <c r="L2787" t="s">
        <v>421</v>
      </c>
      <c r="M2787" t="s">
        <v>423</v>
      </c>
    </row>
    <row r="2788" spans="1:13" ht="15" customHeight="1" x14ac:dyDescent="0.25">
      <c r="A2788" s="82">
        <v>45063</v>
      </c>
      <c r="B2788" t="s">
        <v>430</v>
      </c>
      <c r="C2788" t="s">
        <v>426</v>
      </c>
      <c r="D2788" t="s">
        <v>425</v>
      </c>
      <c r="E2788" t="s">
        <v>427</v>
      </c>
      <c r="F2788" t="s">
        <v>455</v>
      </c>
      <c r="G2788" t="s">
        <v>421</v>
      </c>
      <c r="H2788" t="s">
        <v>428</v>
      </c>
      <c r="I2788" t="s">
        <v>429</v>
      </c>
      <c r="J2788" t="s">
        <v>424</v>
      </c>
      <c r="L2788" t="s">
        <v>421</v>
      </c>
      <c r="M2788" t="s">
        <v>423</v>
      </c>
    </row>
    <row r="2789" spans="1:13" ht="15" customHeight="1" x14ac:dyDescent="0.25">
      <c r="A2789" s="82">
        <v>45064</v>
      </c>
      <c r="B2789" t="s">
        <v>430</v>
      </c>
      <c r="C2789" t="s">
        <v>426</v>
      </c>
      <c r="D2789" t="s">
        <v>425</v>
      </c>
      <c r="E2789" t="s">
        <v>455</v>
      </c>
      <c r="F2789" t="s">
        <v>421</v>
      </c>
      <c r="G2789" t="s">
        <v>427</v>
      </c>
      <c r="H2789" t="s">
        <v>428</v>
      </c>
      <c r="I2789" t="s">
        <v>429</v>
      </c>
      <c r="J2789" t="s">
        <v>424</v>
      </c>
      <c r="L2789" t="s">
        <v>421</v>
      </c>
      <c r="M2789" t="s">
        <v>423</v>
      </c>
    </row>
    <row r="2790" spans="1:13" ht="15" customHeight="1" x14ac:dyDescent="0.25">
      <c r="A2790" s="82">
        <v>45065</v>
      </c>
      <c r="B2790" t="s">
        <v>421</v>
      </c>
      <c r="C2790" t="s">
        <v>427</v>
      </c>
      <c r="D2790" t="s">
        <v>425</v>
      </c>
      <c r="E2790" t="s">
        <v>424</v>
      </c>
      <c r="F2790" t="s">
        <v>429</v>
      </c>
      <c r="G2790" t="s">
        <v>455</v>
      </c>
      <c r="H2790" t="s">
        <v>425</v>
      </c>
      <c r="I2790" t="s">
        <v>426</v>
      </c>
      <c r="J2790" t="s">
        <v>424</v>
      </c>
      <c r="L2790" t="s">
        <v>423</v>
      </c>
      <c r="M2790" t="s">
        <v>421</v>
      </c>
    </row>
    <row r="2791" spans="1:13" ht="15" customHeight="1" x14ac:dyDescent="0.25">
      <c r="A2791" s="82">
        <v>45066</v>
      </c>
      <c r="B2791" t="s">
        <v>427</v>
      </c>
      <c r="C2791" t="s">
        <v>455</v>
      </c>
      <c r="D2791" t="s">
        <v>421</v>
      </c>
      <c r="E2791" t="s">
        <v>424</v>
      </c>
      <c r="F2791" t="s">
        <v>429</v>
      </c>
      <c r="G2791" t="s">
        <v>428</v>
      </c>
      <c r="H2791" t="s">
        <v>425</v>
      </c>
      <c r="I2791" t="s">
        <v>426</v>
      </c>
      <c r="J2791" t="s">
        <v>430</v>
      </c>
      <c r="L2791" t="s">
        <v>423</v>
      </c>
      <c r="M2791" t="s">
        <v>421</v>
      </c>
    </row>
    <row r="2792" spans="1:13" ht="15" customHeight="1" x14ac:dyDescent="0.25">
      <c r="A2792" s="82">
        <v>45067</v>
      </c>
      <c r="B2792" t="s">
        <v>455</v>
      </c>
      <c r="C2792" t="s">
        <v>427</v>
      </c>
      <c r="D2792" t="s">
        <v>421</v>
      </c>
      <c r="E2792" t="s">
        <v>424</v>
      </c>
      <c r="F2792" t="s">
        <v>429</v>
      </c>
      <c r="G2792" t="s">
        <v>428</v>
      </c>
      <c r="H2792" t="s">
        <v>425</v>
      </c>
      <c r="I2792" t="s">
        <v>426</v>
      </c>
      <c r="J2792" t="s">
        <v>430</v>
      </c>
      <c r="L2792" t="s">
        <v>423</v>
      </c>
      <c r="M2792" t="s">
        <v>421</v>
      </c>
    </row>
    <row r="2793" spans="1:13" ht="15" customHeight="1" x14ac:dyDescent="0.25">
      <c r="A2793" s="82">
        <v>45068</v>
      </c>
      <c r="B2793" t="s">
        <v>421</v>
      </c>
      <c r="C2793" t="s">
        <v>455</v>
      </c>
      <c r="D2793" t="s">
        <v>427</v>
      </c>
      <c r="E2793" t="s">
        <v>424</v>
      </c>
      <c r="F2793" t="s">
        <v>429</v>
      </c>
      <c r="G2793" t="s">
        <v>428</v>
      </c>
      <c r="H2793" t="s">
        <v>425</v>
      </c>
      <c r="I2793" t="s">
        <v>426</v>
      </c>
      <c r="J2793" t="s">
        <v>430</v>
      </c>
      <c r="L2793" t="s">
        <v>423</v>
      </c>
      <c r="M2793" t="s">
        <v>421</v>
      </c>
    </row>
    <row r="2794" spans="1:13" ht="15" customHeight="1" x14ac:dyDescent="0.25">
      <c r="A2794" s="82">
        <v>45069</v>
      </c>
      <c r="B2794" t="s">
        <v>427</v>
      </c>
      <c r="C2794" t="s">
        <v>421</v>
      </c>
      <c r="D2794" t="s">
        <v>455</v>
      </c>
      <c r="E2794" t="s">
        <v>424</v>
      </c>
      <c r="F2794" t="s">
        <v>429</v>
      </c>
      <c r="G2794" t="s">
        <v>428</v>
      </c>
      <c r="H2794" t="s">
        <v>425</v>
      </c>
      <c r="I2794" t="s">
        <v>426</v>
      </c>
      <c r="J2794" t="s">
        <v>430</v>
      </c>
      <c r="L2794" t="s">
        <v>423</v>
      </c>
      <c r="M2794" t="s">
        <v>421</v>
      </c>
    </row>
    <row r="2795" spans="1:13" ht="15" customHeight="1" x14ac:dyDescent="0.25">
      <c r="A2795" s="82">
        <v>45070</v>
      </c>
      <c r="B2795" t="s">
        <v>455</v>
      </c>
      <c r="C2795" t="s">
        <v>421</v>
      </c>
      <c r="D2795" t="s">
        <v>427</v>
      </c>
      <c r="E2795" t="s">
        <v>424</v>
      </c>
      <c r="F2795" t="s">
        <v>429</v>
      </c>
      <c r="G2795" t="s">
        <v>428</v>
      </c>
      <c r="H2795" t="s">
        <v>425</v>
      </c>
      <c r="I2795" t="s">
        <v>426</v>
      </c>
      <c r="J2795" t="s">
        <v>430</v>
      </c>
      <c r="L2795" t="s">
        <v>423</v>
      </c>
      <c r="M2795" t="s">
        <v>421</v>
      </c>
    </row>
    <row r="2796" spans="1:13" ht="15" customHeight="1" x14ac:dyDescent="0.25">
      <c r="A2796" s="82">
        <v>45071</v>
      </c>
      <c r="B2796" t="s">
        <v>421</v>
      </c>
      <c r="C2796" t="s">
        <v>427</v>
      </c>
      <c r="D2796" t="s">
        <v>455</v>
      </c>
      <c r="E2796" t="s">
        <v>424</v>
      </c>
      <c r="F2796" t="s">
        <v>429</v>
      </c>
      <c r="G2796" t="s">
        <v>428</v>
      </c>
      <c r="H2796" t="s">
        <v>425</v>
      </c>
      <c r="I2796" t="s">
        <v>426</v>
      </c>
      <c r="J2796" t="s">
        <v>430</v>
      </c>
      <c r="L2796" t="s">
        <v>421</v>
      </c>
      <c r="M2796" t="s">
        <v>423</v>
      </c>
    </row>
    <row r="2797" spans="1:13" ht="15" customHeight="1" x14ac:dyDescent="0.25">
      <c r="A2797" s="82">
        <v>45072</v>
      </c>
      <c r="B2797" t="s">
        <v>429</v>
      </c>
      <c r="C2797" t="s">
        <v>455</v>
      </c>
      <c r="D2797" t="s">
        <v>424</v>
      </c>
      <c r="E2797" t="s">
        <v>424</v>
      </c>
      <c r="F2797" t="s">
        <v>426</v>
      </c>
      <c r="G2797" t="s">
        <v>425</v>
      </c>
      <c r="H2797" t="s">
        <v>425</v>
      </c>
      <c r="I2797" t="s">
        <v>427</v>
      </c>
      <c r="J2797" t="s">
        <v>421</v>
      </c>
      <c r="L2797" t="s">
        <v>421</v>
      </c>
      <c r="M2797" t="s">
        <v>423</v>
      </c>
    </row>
    <row r="2798" spans="1:13" ht="15" customHeight="1" x14ac:dyDescent="0.25">
      <c r="A2798" s="82">
        <v>45073</v>
      </c>
      <c r="B2798" t="s">
        <v>429</v>
      </c>
      <c r="C2798" t="s">
        <v>428</v>
      </c>
      <c r="D2798" t="s">
        <v>424</v>
      </c>
      <c r="E2798" t="s">
        <v>430</v>
      </c>
      <c r="F2798" t="s">
        <v>426</v>
      </c>
      <c r="G2798" t="s">
        <v>425</v>
      </c>
      <c r="H2798" t="s">
        <v>421</v>
      </c>
      <c r="I2798" t="s">
        <v>455</v>
      </c>
      <c r="J2798" t="s">
        <v>427</v>
      </c>
      <c r="L2798" t="s">
        <v>421</v>
      </c>
      <c r="M2798" t="s">
        <v>423</v>
      </c>
    </row>
    <row r="2799" spans="1:13" ht="15" customHeight="1" x14ac:dyDescent="0.25">
      <c r="A2799" s="82">
        <v>45074</v>
      </c>
      <c r="B2799" t="s">
        <v>429</v>
      </c>
      <c r="C2799" t="s">
        <v>428</v>
      </c>
      <c r="D2799" t="s">
        <v>424</v>
      </c>
      <c r="E2799" t="s">
        <v>430</v>
      </c>
      <c r="F2799" t="s">
        <v>426</v>
      </c>
      <c r="G2799" t="s">
        <v>425</v>
      </c>
      <c r="H2799" t="s">
        <v>421</v>
      </c>
      <c r="I2799" t="s">
        <v>427</v>
      </c>
      <c r="J2799" t="s">
        <v>455</v>
      </c>
      <c r="L2799" t="s">
        <v>421</v>
      </c>
      <c r="M2799" t="s">
        <v>423</v>
      </c>
    </row>
    <row r="2800" spans="1:13" ht="15" customHeight="1" x14ac:dyDescent="0.25">
      <c r="A2800" s="82">
        <v>45075</v>
      </c>
      <c r="B2800" t="s">
        <v>429</v>
      </c>
      <c r="C2800" t="s">
        <v>428</v>
      </c>
      <c r="D2800" t="s">
        <v>424</v>
      </c>
      <c r="E2800" t="s">
        <v>430</v>
      </c>
      <c r="F2800" t="s">
        <v>426</v>
      </c>
      <c r="G2800" t="s">
        <v>425</v>
      </c>
      <c r="H2800" t="s">
        <v>427</v>
      </c>
      <c r="I2800" t="s">
        <v>455</v>
      </c>
      <c r="J2800" t="s">
        <v>421</v>
      </c>
      <c r="L2800" t="s">
        <v>421</v>
      </c>
      <c r="M2800" t="s">
        <v>423</v>
      </c>
    </row>
    <row r="2801" spans="1:13" ht="15" customHeight="1" x14ac:dyDescent="0.25">
      <c r="A2801" s="82">
        <v>45076</v>
      </c>
      <c r="B2801" t="s">
        <v>429</v>
      </c>
      <c r="C2801" t="s">
        <v>428</v>
      </c>
      <c r="D2801" t="s">
        <v>424</v>
      </c>
      <c r="E2801" t="s">
        <v>430</v>
      </c>
      <c r="F2801" t="s">
        <v>426</v>
      </c>
      <c r="G2801" t="s">
        <v>425</v>
      </c>
      <c r="H2801" t="s">
        <v>455</v>
      </c>
      <c r="I2801" t="s">
        <v>421</v>
      </c>
      <c r="J2801" t="s">
        <v>427</v>
      </c>
      <c r="L2801" t="s">
        <v>421</v>
      </c>
      <c r="M2801" t="s">
        <v>423</v>
      </c>
    </row>
    <row r="2802" spans="1:13" ht="15" customHeight="1" x14ac:dyDescent="0.25">
      <c r="A2802" s="82">
        <v>45077</v>
      </c>
      <c r="B2802" t="s">
        <v>429</v>
      </c>
      <c r="C2802" t="s">
        <v>428</v>
      </c>
      <c r="D2802" t="s">
        <v>424</v>
      </c>
      <c r="E2802" t="s">
        <v>430</v>
      </c>
      <c r="F2802" t="s">
        <v>426</v>
      </c>
      <c r="G2802" t="s">
        <v>425</v>
      </c>
      <c r="H2802" t="s">
        <v>427</v>
      </c>
      <c r="I2802" t="s">
        <v>421</v>
      </c>
      <c r="J2802" t="s">
        <v>455</v>
      </c>
      <c r="L2802" t="s">
        <v>423</v>
      </c>
      <c r="M2802" t="s">
        <v>421</v>
      </c>
    </row>
    <row r="2803" spans="1:13" ht="15" customHeight="1" x14ac:dyDescent="0.25">
      <c r="A2803" s="82">
        <v>45078</v>
      </c>
      <c r="B2803" t="s">
        <v>429</v>
      </c>
      <c r="C2803" t="s">
        <v>428</v>
      </c>
      <c r="D2803" t="s">
        <v>424</v>
      </c>
      <c r="E2803" t="s">
        <v>430</v>
      </c>
      <c r="F2803" t="s">
        <v>426</v>
      </c>
      <c r="G2803" t="s">
        <v>425</v>
      </c>
      <c r="H2803" t="s">
        <v>455</v>
      </c>
      <c r="I2803" t="s">
        <v>427</v>
      </c>
      <c r="J2803" t="s">
        <v>421</v>
      </c>
      <c r="L2803" t="s">
        <v>423</v>
      </c>
      <c r="M2803" t="s">
        <v>421</v>
      </c>
    </row>
    <row r="2804" spans="1:13" ht="15" customHeight="1" x14ac:dyDescent="0.25">
      <c r="A2804" s="82">
        <v>45079</v>
      </c>
      <c r="B2804" t="s">
        <v>426</v>
      </c>
      <c r="C2804" t="s">
        <v>425</v>
      </c>
      <c r="D2804" t="s">
        <v>424</v>
      </c>
      <c r="E2804" t="s">
        <v>421</v>
      </c>
      <c r="F2804" t="s">
        <v>427</v>
      </c>
      <c r="G2804" t="s">
        <v>425</v>
      </c>
      <c r="H2804" t="s">
        <v>424</v>
      </c>
      <c r="I2804" t="s">
        <v>455</v>
      </c>
      <c r="J2804" t="s">
        <v>429</v>
      </c>
      <c r="L2804" t="s">
        <v>428</v>
      </c>
      <c r="M2804" t="s">
        <v>421</v>
      </c>
    </row>
    <row r="2805" spans="1:13" ht="15" customHeight="1" x14ac:dyDescent="0.25">
      <c r="A2805" s="82">
        <v>45080</v>
      </c>
      <c r="B2805" t="s">
        <v>426</v>
      </c>
      <c r="C2805" t="s">
        <v>425</v>
      </c>
      <c r="D2805" t="s">
        <v>430</v>
      </c>
      <c r="E2805" t="s">
        <v>427</v>
      </c>
      <c r="F2805" t="s">
        <v>455</v>
      </c>
      <c r="G2805" t="s">
        <v>421</v>
      </c>
      <c r="H2805" t="s">
        <v>424</v>
      </c>
      <c r="I2805" t="s">
        <v>428</v>
      </c>
      <c r="J2805" t="s">
        <v>429</v>
      </c>
      <c r="L2805" t="s">
        <v>428</v>
      </c>
      <c r="M2805" t="s">
        <v>421</v>
      </c>
    </row>
    <row r="2806" spans="1:13" ht="15" customHeight="1" x14ac:dyDescent="0.25">
      <c r="A2806" s="82">
        <v>45081</v>
      </c>
      <c r="B2806" t="s">
        <v>426</v>
      </c>
      <c r="C2806" t="s">
        <v>425</v>
      </c>
      <c r="D2806" t="s">
        <v>430</v>
      </c>
      <c r="E2806" t="s">
        <v>455</v>
      </c>
      <c r="F2806" t="s">
        <v>427</v>
      </c>
      <c r="G2806" t="s">
        <v>421</v>
      </c>
      <c r="H2806" t="s">
        <v>424</v>
      </c>
      <c r="I2806" t="s">
        <v>428</v>
      </c>
      <c r="J2806" t="s">
        <v>429</v>
      </c>
      <c r="L2806" t="s">
        <v>428</v>
      </c>
      <c r="M2806" t="s">
        <v>421</v>
      </c>
    </row>
    <row r="2807" spans="1:13" ht="15" customHeight="1" x14ac:dyDescent="0.25">
      <c r="A2807" s="82">
        <v>45082</v>
      </c>
      <c r="B2807" t="s">
        <v>426</v>
      </c>
      <c r="C2807" t="s">
        <v>425</v>
      </c>
      <c r="D2807" t="s">
        <v>430</v>
      </c>
      <c r="E2807" t="s">
        <v>421</v>
      </c>
      <c r="F2807" t="s">
        <v>455</v>
      </c>
      <c r="G2807" t="s">
        <v>427</v>
      </c>
      <c r="H2807" t="s">
        <v>424</v>
      </c>
      <c r="I2807" t="s">
        <v>428</v>
      </c>
      <c r="J2807" t="s">
        <v>429</v>
      </c>
      <c r="L2807" t="s">
        <v>428</v>
      </c>
      <c r="M2807" t="s">
        <v>421</v>
      </c>
    </row>
    <row r="2808" spans="1:13" ht="15" customHeight="1" x14ac:dyDescent="0.25">
      <c r="A2808" s="82">
        <v>45083</v>
      </c>
      <c r="B2808" t="s">
        <v>426</v>
      </c>
      <c r="C2808" t="s">
        <v>425</v>
      </c>
      <c r="D2808" t="s">
        <v>430</v>
      </c>
      <c r="E2808" t="s">
        <v>427</v>
      </c>
      <c r="F2808" t="s">
        <v>421</v>
      </c>
      <c r="G2808" t="s">
        <v>455</v>
      </c>
      <c r="H2808" t="s">
        <v>424</v>
      </c>
      <c r="I2808" t="s">
        <v>428</v>
      </c>
      <c r="J2808" t="s">
        <v>429</v>
      </c>
      <c r="L2808" t="s">
        <v>421</v>
      </c>
      <c r="M2808" t="s">
        <v>423</v>
      </c>
    </row>
    <row r="2809" spans="1:13" ht="15" customHeight="1" x14ac:dyDescent="0.25">
      <c r="A2809" s="82">
        <v>45084</v>
      </c>
      <c r="B2809" t="s">
        <v>426</v>
      </c>
      <c r="C2809" t="s">
        <v>425</v>
      </c>
      <c r="D2809" t="s">
        <v>430</v>
      </c>
      <c r="E2809" t="s">
        <v>455</v>
      </c>
      <c r="F2809" t="s">
        <v>421</v>
      </c>
      <c r="G2809" t="s">
        <v>427</v>
      </c>
      <c r="H2809" t="s">
        <v>424</v>
      </c>
      <c r="I2809" t="s">
        <v>428</v>
      </c>
      <c r="J2809" t="s">
        <v>429</v>
      </c>
      <c r="L2809" t="s">
        <v>421</v>
      </c>
      <c r="M2809" t="s">
        <v>423</v>
      </c>
    </row>
    <row r="2810" spans="1:13" ht="15" customHeight="1" x14ac:dyDescent="0.25">
      <c r="A2810" s="82">
        <v>45085</v>
      </c>
      <c r="B2810" t="s">
        <v>426</v>
      </c>
      <c r="C2810" t="s">
        <v>425</v>
      </c>
      <c r="D2810" t="s">
        <v>430</v>
      </c>
      <c r="E2810" t="s">
        <v>421</v>
      </c>
      <c r="F2810" t="s">
        <v>427</v>
      </c>
      <c r="G2810" t="s">
        <v>455</v>
      </c>
      <c r="H2810" t="s">
        <v>424</v>
      </c>
      <c r="I2810" t="s">
        <v>428</v>
      </c>
      <c r="J2810" t="s">
        <v>429</v>
      </c>
      <c r="L2810" t="s">
        <v>421</v>
      </c>
      <c r="M2810" t="s">
        <v>423</v>
      </c>
    </row>
    <row r="2811" spans="1:13" ht="15" customHeight="1" x14ac:dyDescent="0.25">
      <c r="A2811" s="82">
        <v>45086</v>
      </c>
      <c r="B2811" t="s">
        <v>427</v>
      </c>
      <c r="C2811" t="s">
        <v>425</v>
      </c>
      <c r="D2811" t="s">
        <v>421</v>
      </c>
      <c r="E2811" t="s">
        <v>429</v>
      </c>
      <c r="F2811" t="s">
        <v>455</v>
      </c>
      <c r="G2811" t="s">
        <v>424</v>
      </c>
      <c r="H2811" t="s">
        <v>424</v>
      </c>
      <c r="I2811" t="s">
        <v>425</v>
      </c>
      <c r="J2811" t="s">
        <v>426</v>
      </c>
      <c r="L2811" t="s">
        <v>421</v>
      </c>
      <c r="M2811" t="s">
        <v>423</v>
      </c>
    </row>
    <row r="2812" spans="1:13" ht="15" customHeight="1" x14ac:dyDescent="0.25">
      <c r="A2812" s="82">
        <v>45087</v>
      </c>
      <c r="B2812" t="s">
        <v>455</v>
      </c>
      <c r="C2812" t="s">
        <v>421</v>
      </c>
      <c r="D2812" t="s">
        <v>427</v>
      </c>
      <c r="E2812" t="s">
        <v>429</v>
      </c>
      <c r="F2812" t="s">
        <v>428</v>
      </c>
      <c r="G2812" t="s">
        <v>424</v>
      </c>
      <c r="H2812" t="s">
        <v>430</v>
      </c>
      <c r="I2812" t="s">
        <v>425</v>
      </c>
      <c r="J2812" t="s">
        <v>426</v>
      </c>
      <c r="L2812" t="s">
        <v>421</v>
      </c>
      <c r="M2812" t="s">
        <v>423</v>
      </c>
    </row>
    <row r="2813" spans="1:13" ht="15" customHeight="1" x14ac:dyDescent="0.25">
      <c r="A2813" s="82">
        <v>45088</v>
      </c>
      <c r="B2813" t="s">
        <v>427</v>
      </c>
      <c r="C2813" t="s">
        <v>421</v>
      </c>
      <c r="D2813" t="s">
        <v>455</v>
      </c>
      <c r="E2813" t="s">
        <v>429</v>
      </c>
      <c r="F2813" t="s">
        <v>428</v>
      </c>
      <c r="G2813" t="s">
        <v>424</v>
      </c>
      <c r="H2813" t="s">
        <v>430</v>
      </c>
      <c r="I2813" t="s">
        <v>425</v>
      </c>
      <c r="J2813" t="s">
        <v>426</v>
      </c>
      <c r="L2813" t="s">
        <v>421</v>
      </c>
      <c r="M2813" t="s">
        <v>423</v>
      </c>
    </row>
    <row r="2814" spans="1:13" ht="15" customHeight="1" x14ac:dyDescent="0.25">
      <c r="A2814" s="82">
        <v>45089</v>
      </c>
      <c r="B2814" t="s">
        <v>455</v>
      </c>
      <c r="C2814" t="s">
        <v>427</v>
      </c>
      <c r="D2814" t="s">
        <v>421</v>
      </c>
      <c r="E2814" t="s">
        <v>429</v>
      </c>
      <c r="F2814" t="s">
        <v>428</v>
      </c>
      <c r="G2814" t="s">
        <v>424</v>
      </c>
      <c r="H2814" t="s">
        <v>430</v>
      </c>
      <c r="I2814" t="s">
        <v>425</v>
      </c>
      <c r="J2814" t="s">
        <v>426</v>
      </c>
      <c r="L2814" t="s">
        <v>423</v>
      </c>
      <c r="M2814" t="s">
        <v>421</v>
      </c>
    </row>
    <row r="2815" spans="1:13" ht="15" customHeight="1" x14ac:dyDescent="0.25">
      <c r="A2815" s="82">
        <v>45090</v>
      </c>
      <c r="B2815" t="s">
        <v>421</v>
      </c>
      <c r="C2815" t="s">
        <v>455</v>
      </c>
      <c r="D2815" t="s">
        <v>427</v>
      </c>
      <c r="E2815" t="s">
        <v>429</v>
      </c>
      <c r="F2815" t="s">
        <v>428</v>
      </c>
      <c r="G2815" t="s">
        <v>424</v>
      </c>
      <c r="H2815" t="s">
        <v>430</v>
      </c>
      <c r="I2815" t="s">
        <v>425</v>
      </c>
      <c r="J2815" t="s">
        <v>426</v>
      </c>
      <c r="L2815" t="s">
        <v>423</v>
      </c>
      <c r="M2815" t="s">
        <v>421</v>
      </c>
    </row>
    <row r="2816" spans="1:13" ht="15" customHeight="1" x14ac:dyDescent="0.25">
      <c r="A2816" s="82">
        <v>45091</v>
      </c>
      <c r="B2816" t="s">
        <v>421</v>
      </c>
      <c r="C2816" t="s">
        <v>427</v>
      </c>
      <c r="D2816" t="s">
        <v>455</v>
      </c>
      <c r="E2816" t="s">
        <v>429</v>
      </c>
      <c r="F2816" t="s">
        <v>428</v>
      </c>
      <c r="G2816" t="s">
        <v>424</v>
      </c>
      <c r="H2816" t="s">
        <v>430</v>
      </c>
      <c r="I2816" t="s">
        <v>425</v>
      </c>
      <c r="J2816" t="s">
        <v>426</v>
      </c>
      <c r="L2816" t="s">
        <v>423</v>
      </c>
      <c r="M2816" t="s">
        <v>421</v>
      </c>
    </row>
    <row r="2817" spans="1:13" ht="15" customHeight="1" x14ac:dyDescent="0.25">
      <c r="A2817" s="82">
        <v>45092</v>
      </c>
      <c r="B2817" t="s">
        <v>427</v>
      </c>
      <c r="C2817" t="s">
        <v>455</v>
      </c>
      <c r="D2817" t="s">
        <v>517</v>
      </c>
      <c r="E2817" t="s">
        <v>429</v>
      </c>
      <c r="F2817" t="s">
        <v>428</v>
      </c>
      <c r="G2817" t="s">
        <v>424</v>
      </c>
      <c r="H2817" t="s">
        <v>430</v>
      </c>
      <c r="I2817" t="s">
        <v>425</v>
      </c>
      <c r="J2817" t="s">
        <v>426</v>
      </c>
      <c r="L2817" t="s">
        <v>423</v>
      </c>
      <c r="M2817" t="s">
        <v>421</v>
      </c>
    </row>
    <row r="2818" spans="1:13" ht="15" customHeight="1" x14ac:dyDescent="0.25">
      <c r="A2818" s="82">
        <v>45093</v>
      </c>
      <c r="B2818" t="s">
        <v>455</v>
      </c>
      <c r="C2818" t="s">
        <v>424</v>
      </c>
      <c r="D2818" t="s">
        <v>514</v>
      </c>
      <c r="E2818" t="s">
        <v>426</v>
      </c>
      <c r="F2818" t="s">
        <v>425</v>
      </c>
      <c r="G2818" t="s">
        <v>424</v>
      </c>
      <c r="H2818" t="s">
        <v>421</v>
      </c>
      <c r="I2818" t="s">
        <v>425</v>
      </c>
      <c r="J2818" t="s">
        <v>427</v>
      </c>
      <c r="L2818" t="s">
        <v>421</v>
      </c>
      <c r="M2818" t="s">
        <v>423</v>
      </c>
    </row>
    <row r="2819" spans="1:13" ht="15" customHeight="1" x14ac:dyDescent="0.25">
      <c r="A2819" s="82">
        <v>45094</v>
      </c>
      <c r="B2819" t="s">
        <v>428</v>
      </c>
      <c r="C2819" t="s">
        <v>424</v>
      </c>
      <c r="D2819" t="s">
        <v>514</v>
      </c>
      <c r="E2819" t="s">
        <v>426</v>
      </c>
      <c r="F2819" t="s">
        <v>425</v>
      </c>
      <c r="G2819" t="s">
        <v>430</v>
      </c>
      <c r="H2819" t="s">
        <v>427</v>
      </c>
      <c r="I2819" t="s">
        <v>421</v>
      </c>
      <c r="J2819" t="s">
        <v>455</v>
      </c>
      <c r="L2819" t="s">
        <v>421</v>
      </c>
      <c r="M2819" t="s">
        <v>423</v>
      </c>
    </row>
    <row r="2820" spans="1:13" ht="15" customHeight="1" x14ac:dyDescent="0.25">
      <c r="A2820" s="82">
        <v>45095</v>
      </c>
      <c r="B2820" t="s">
        <v>428</v>
      </c>
      <c r="C2820" t="s">
        <v>424</v>
      </c>
      <c r="D2820" t="s">
        <v>514</v>
      </c>
      <c r="E2820" t="s">
        <v>426</v>
      </c>
      <c r="F2820" t="s">
        <v>425</v>
      </c>
      <c r="G2820" t="s">
        <v>430</v>
      </c>
      <c r="H2820" t="s">
        <v>455</v>
      </c>
      <c r="I2820" t="s">
        <v>421</v>
      </c>
      <c r="J2820" t="s">
        <v>427</v>
      </c>
      <c r="L2820" t="s">
        <v>421</v>
      </c>
      <c r="M2820" t="s">
        <v>423</v>
      </c>
    </row>
    <row r="2821" spans="1:13" ht="15" customHeight="1" x14ac:dyDescent="0.25">
      <c r="A2821" s="82">
        <v>45096</v>
      </c>
      <c r="B2821" t="s">
        <v>428</v>
      </c>
      <c r="C2821" t="s">
        <v>424</v>
      </c>
      <c r="D2821" t="s">
        <v>514</v>
      </c>
      <c r="E2821" t="s">
        <v>426</v>
      </c>
      <c r="F2821" t="s">
        <v>425</v>
      </c>
      <c r="G2821" t="s">
        <v>430</v>
      </c>
      <c r="H2821" t="s">
        <v>421</v>
      </c>
      <c r="I2821" t="s">
        <v>427</v>
      </c>
      <c r="J2821" t="s">
        <v>455</v>
      </c>
      <c r="L2821" t="s">
        <v>421</v>
      </c>
      <c r="M2821" t="s">
        <v>423</v>
      </c>
    </row>
    <row r="2822" spans="1:13" ht="15" customHeight="1" x14ac:dyDescent="0.25">
      <c r="A2822" s="82">
        <v>45097</v>
      </c>
      <c r="B2822" t="s">
        <v>428</v>
      </c>
      <c r="C2822" t="s">
        <v>424</v>
      </c>
      <c r="D2822" t="s">
        <v>514</v>
      </c>
      <c r="E2822" t="s">
        <v>426</v>
      </c>
      <c r="F2822" t="s">
        <v>425</v>
      </c>
      <c r="G2822" t="s">
        <v>430</v>
      </c>
      <c r="H2822" t="s">
        <v>427</v>
      </c>
      <c r="I2822" t="s">
        <v>455</v>
      </c>
      <c r="J2822" t="s">
        <v>421</v>
      </c>
      <c r="L2822" t="s">
        <v>421</v>
      </c>
      <c r="M2822" t="s">
        <v>423</v>
      </c>
    </row>
    <row r="2823" spans="1:13" ht="15" customHeight="1" x14ac:dyDescent="0.25">
      <c r="A2823" s="82">
        <v>45098</v>
      </c>
      <c r="B2823" t="s">
        <v>428</v>
      </c>
      <c r="C2823" t="s">
        <v>424</v>
      </c>
      <c r="D2823" t="s">
        <v>514</v>
      </c>
      <c r="E2823" t="s">
        <v>426</v>
      </c>
      <c r="F2823" t="s">
        <v>425</v>
      </c>
      <c r="G2823" t="s">
        <v>430</v>
      </c>
      <c r="H2823" t="s">
        <v>455</v>
      </c>
      <c r="I2823" t="s">
        <v>427</v>
      </c>
      <c r="J2823" t="s">
        <v>421</v>
      </c>
      <c r="L2823" t="s">
        <v>421</v>
      </c>
      <c r="M2823" t="s">
        <v>423</v>
      </c>
    </row>
    <row r="2824" spans="1:13" ht="15" customHeight="1" x14ac:dyDescent="0.25">
      <c r="A2824" s="82">
        <v>45099</v>
      </c>
      <c r="B2824" t="s">
        <v>428</v>
      </c>
      <c r="C2824" t="s">
        <v>424</v>
      </c>
      <c r="D2824" t="s">
        <v>514</v>
      </c>
      <c r="E2824" t="s">
        <v>426</v>
      </c>
      <c r="F2824" t="s">
        <v>425</v>
      </c>
      <c r="G2824" t="s">
        <v>430</v>
      </c>
      <c r="H2824" t="s">
        <v>517</v>
      </c>
      <c r="I2824" t="s">
        <v>455</v>
      </c>
      <c r="J2824" t="s">
        <v>427</v>
      </c>
      <c r="L2824" t="s">
        <v>423</v>
      </c>
      <c r="M2824" t="s">
        <v>421</v>
      </c>
    </row>
    <row r="2825" spans="1:13" ht="15" customHeight="1" x14ac:dyDescent="0.25">
      <c r="A2825" s="82">
        <v>45100</v>
      </c>
      <c r="B2825" t="s">
        <v>425</v>
      </c>
      <c r="C2825" t="s">
        <v>424</v>
      </c>
      <c r="D2825" t="s">
        <v>426</v>
      </c>
      <c r="E2825" t="s">
        <v>427</v>
      </c>
      <c r="F2825" t="s">
        <v>425</v>
      </c>
      <c r="G2825" t="s">
        <v>421</v>
      </c>
      <c r="H2825" t="s">
        <v>514</v>
      </c>
      <c r="I2825" t="s">
        <v>424</v>
      </c>
      <c r="J2825" t="s">
        <v>455</v>
      </c>
      <c r="L2825" t="s">
        <v>423</v>
      </c>
      <c r="M2825" t="s">
        <v>421</v>
      </c>
    </row>
    <row r="2826" spans="1:13" ht="15" customHeight="1" x14ac:dyDescent="0.25">
      <c r="A2826" s="82">
        <v>45101</v>
      </c>
      <c r="B2826" t="s">
        <v>425</v>
      </c>
      <c r="C2826" t="s">
        <v>430</v>
      </c>
      <c r="D2826" t="s">
        <v>426</v>
      </c>
      <c r="E2826" t="s">
        <v>455</v>
      </c>
      <c r="F2826" t="s">
        <v>421</v>
      </c>
      <c r="G2826" t="s">
        <v>427</v>
      </c>
      <c r="H2826" t="s">
        <v>514</v>
      </c>
      <c r="I2826" t="s">
        <v>424</v>
      </c>
      <c r="J2826" t="s">
        <v>428</v>
      </c>
      <c r="L2826" t="s">
        <v>423</v>
      </c>
      <c r="M2826" t="s">
        <v>421</v>
      </c>
    </row>
    <row r="2827" spans="1:13" ht="15" customHeight="1" x14ac:dyDescent="0.25">
      <c r="A2827" s="82">
        <v>45102</v>
      </c>
      <c r="B2827" t="s">
        <v>425</v>
      </c>
      <c r="C2827" t="s">
        <v>430</v>
      </c>
      <c r="D2827" t="s">
        <v>426</v>
      </c>
      <c r="E2827" t="s">
        <v>427</v>
      </c>
      <c r="F2827" t="s">
        <v>421</v>
      </c>
      <c r="G2827" t="s">
        <v>455</v>
      </c>
      <c r="H2827" t="s">
        <v>514</v>
      </c>
      <c r="I2827" t="s">
        <v>424</v>
      </c>
      <c r="J2827" t="s">
        <v>428</v>
      </c>
      <c r="L2827" t="s">
        <v>423</v>
      </c>
      <c r="M2827" t="s">
        <v>421</v>
      </c>
    </row>
    <row r="2828" spans="1:13" ht="15" customHeight="1" x14ac:dyDescent="0.25">
      <c r="A2828" s="82">
        <v>45103</v>
      </c>
      <c r="B2828" t="s">
        <v>425</v>
      </c>
      <c r="C2828" t="s">
        <v>430</v>
      </c>
      <c r="D2828" t="s">
        <v>426</v>
      </c>
      <c r="E2828" t="s">
        <v>455</v>
      </c>
      <c r="F2828" t="s">
        <v>427</v>
      </c>
      <c r="G2828" t="s">
        <v>421</v>
      </c>
      <c r="H2828" t="s">
        <v>514</v>
      </c>
      <c r="I2828" t="s">
        <v>424</v>
      </c>
      <c r="J2828" t="s">
        <v>428</v>
      </c>
      <c r="L2828" t="s">
        <v>423</v>
      </c>
      <c r="M2828" t="s">
        <v>421</v>
      </c>
    </row>
    <row r="2829" spans="1:13" ht="15" customHeight="1" x14ac:dyDescent="0.25">
      <c r="A2829" s="82">
        <v>45104</v>
      </c>
      <c r="B2829" t="s">
        <v>425</v>
      </c>
      <c r="C2829" t="s">
        <v>430</v>
      </c>
      <c r="D2829" t="s">
        <v>426</v>
      </c>
      <c r="E2829" t="s">
        <v>421</v>
      </c>
      <c r="F2829" t="s">
        <v>455</v>
      </c>
      <c r="G2829" t="s">
        <v>427</v>
      </c>
      <c r="H2829" t="s">
        <v>514</v>
      </c>
      <c r="I2829" t="s">
        <v>424</v>
      </c>
      <c r="J2829" t="s">
        <v>428</v>
      </c>
      <c r="L2829" t="s">
        <v>423</v>
      </c>
      <c r="M2829" t="s">
        <v>421</v>
      </c>
    </row>
    <row r="2830" spans="1:13" ht="15" customHeight="1" x14ac:dyDescent="0.25">
      <c r="A2830" s="82">
        <v>45105</v>
      </c>
      <c r="B2830" t="s">
        <v>425</v>
      </c>
      <c r="C2830" t="s">
        <v>430</v>
      </c>
      <c r="D2830" t="s">
        <v>426</v>
      </c>
      <c r="E2830" t="s">
        <v>421</v>
      </c>
      <c r="F2830" t="s">
        <v>427</v>
      </c>
      <c r="G2830" t="s">
        <v>455</v>
      </c>
      <c r="H2830" t="s">
        <v>514</v>
      </c>
      <c r="I2830" t="s">
        <v>424</v>
      </c>
      <c r="J2830" t="s">
        <v>428</v>
      </c>
      <c r="L2830" t="s">
        <v>421</v>
      </c>
      <c r="M2830" t="s">
        <v>423</v>
      </c>
    </row>
    <row r="2831" spans="1:13" ht="15" customHeight="1" x14ac:dyDescent="0.25">
      <c r="A2831" s="82">
        <v>45106</v>
      </c>
      <c r="B2831" t="s">
        <v>425</v>
      </c>
      <c r="C2831" t="s">
        <v>430</v>
      </c>
      <c r="D2831" t="s">
        <v>426</v>
      </c>
      <c r="E2831" t="s">
        <v>427</v>
      </c>
      <c r="F2831" t="s">
        <v>455</v>
      </c>
      <c r="G2831" t="s">
        <v>517</v>
      </c>
      <c r="H2831" t="s">
        <v>514</v>
      </c>
      <c r="I2831" t="s">
        <v>424</v>
      </c>
      <c r="J2831" t="s">
        <v>428</v>
      </c>
      <c r="L2831" t="s">
        <v>421</v>
      </c>
      <c r="M2831" t="s">
        <v>423</v>
      </c>
    </row>
    <row r="2832" spans="1:13" ht="15" customHeight="1" x14ac:dyDescent="0.25">
      <c r="A2832" s="82">
        <v>45107</v>
      </c>
      <c r="B2832" t="s">
        <v>425</v>
      </c>
      <c r="C2832" t="s">
        <v>421</v>
      </c>
      <c r="D2832" t="s">
        <v>427</v>
      </c>
      <c r="E2832" t="s">
        <v>455</v>
      </c>
      <c r="F2832" t="s">
        <v>424</v>
      </c>
      <c r="G2832" t="s">
        <v>514</v>
      </c>
      <c r="H2832" t="s">
        <v>426</v>
      </c>
      <c r="I2832" t="s">
        <v>424</v>
      </c>
      <c r="J2832" t="s">
        <v>425</v>
      </c>
      <c r="L2832" t="s">
        <v>421</v>
      </c>
      <c r="M2832" t="s">
        <v>428</v>
      </c>
    </row>
    <row r="2833" spans="1:13" ht="15" customHeight="1" x14ac:dyDescent="0.25">
      <c r="A2833" s="82">
        <v>45108</v>
      </c>
      <c r="B2833" t="s">
        <v>421</v>
      </c>
      <c r="C2833" t="s">
        <v>427</v>
      </c>
      <c r="D2833" t="s">
        <v>455</v>
      </c>
      <c r="E2833" t="s">
        <v>428</v>
      </c>
      <c r="F2833" t="s">
        <v>516</v>
      </c>
      <c r="G2833" t="s">
        <v>514</v>
      </c>
      <c r="H2833" t="s">
        <v>426</v>
      </c>
      <c r="I2833" t="s">
        <v>430</v>
      </c>
      <c r="J2833" t="s">
        <v>425</v>
      </c>
      <c r="L2833" t="s">
        <v>421</v>
      </c>
      <c r="M2833" t="s">
        <v>428</v>
      </c>
    </row>
    <row r="2834" spans="1:13" ht="15" customHeight="1" x14ac:dyDescent="0.25">
      <c r="A2834" s="82">
        <v>45109</v>
      </c>
      <c r="B2834" t="s">
        <v>421</v>
      </c>
      <c r="C2834" t="s">
        <v>455</v>
      </c>
      <c r="D2834" t="s">
        <v>427</v>
      </c>
      <c r="E2834" t="s">
        <v>428</v>
      </c>
      <c r="F2834" t="s">
        <v>516</v>
      </c>
      <c r="G2834" t="s">
        <v>514</v>
      </c>
      <c r="H2834" t="s">
        <v>426</v>
      </c>
      <c r="I2834" t="s">
        <v>430</v>
      </c>
      <c r="J2834" t="s">
        <v>425</v>
      </c>
      <c r="L2834" t="s">
        <v>421</v>
      </c>
      <c r="M2834" t="s">
        <v>428</v>
      </c>
    </row>
    <row r="2835" spans="1:13" ht="15" customHeight="1" x14ac:dyDescent="0.25">
      <c r="A2835" s="82">
        <v>45110</v>
      </c>
      <c r="B2835" t="s">
        <v>427</v>
      </c>
      <c r="C2835" t="s">
        <v>421</v>
      </c>
      <c r="D2835" t="s">
        <v>455</v>
      </c>
      <c r="E2835" t="s">
        <v>428</v>
      </c>
      <c r="F2835" t="s">
        <v>516</v>
      </c>
      <c r="G2835" t="s">
        <v>514</v>
      </c>
      <c r="H2835" t="s">
        <v>426</v>
      </c>
      <c r="I2835" t="s">
        <v>430</v>
      </c>
      <c r="J2835" t="s">
        <v>425</v>
      </c>
      <c r="L2835" t="s">
        <v>421</v>
      </c>
      <c r="M2835" t="s">
        <v>428</v>
      </c>
    </row>
    <row r="2836" spans="1:13" ht="15" customHeight="1" x14ac:dyDescent="0.25">
      <c r="A2836" s="82">
        <v>45111</v>
      </c>
      <c r="B2836" t="s">
        <v>455</v>
      </c>
      <c r="C2836" t="s">
        <v>427</v>
      </c>
      <c r="D2836" t="s">
        <v>421</v>
      </c>
      <c r="E2836" t="s">
        <v>428</v>
      </c>
      <c r="F2836" t="s">
        <v>516</v>
      </c>
      <c r="G2836" t="s">
        <v>514</v>
      </c>
      <c r="H2836" t="s">
        <v>426</v>
      </c>
      <c r="I2836" t="s">
        <v>430</v>
      </c>
      <c r="J2836" t="s">
        <v>425</v>
      </c>
      <c r="L2836" t="s">
        <v>423</v>
      </c>
      <c r="M2836" t="s">
        <v>421</v>
      </c>
    </row>
    <row r="2837" spans="1:13" ht="15" customHeight="1" x14ac:dyDescent="0.25">
      <c r="A2837" s="82">
        <v>45112</v>
      </c>
      <c r="B2837" t="s">
        <v>427</v>
      </c>
      <c r="C2837" t="s">
        <v>455</v>
      </c>
      <c r="D2837" t="s">
        <v>421</v>
      </c>
      <c r="E2837" t="s">
        <v>428</v>
      </c>
      <c r="F2837" t="s">
        <v>516</v>
      </c>
      <c r="G2837" t="s">
        <v>514</v>
      </c>
      <c r="H2837" t="s">
        <v>426</v>
      </c>
      <c r="I2837" t="s">
        <v>430</v>
      </c>
      <c r="J2837" t="s">
        <v>425</v>
      </c>
      <c r="L2837" t="s">
        <v>423</v>
      </c>
      <c r="M2837" t="s">
        <v>421</v>
      </c>
    </row>
    <row r="2838" spans="1:13" ht="15" customHeight="1" x14ac:dyDescent="0.25">
      <c r="A2838" s="82">
        <v>45113</v>
      </c>
      <c r="B2838" t="s">
        <v>455</v>
      </c>
      <c r="C2838" t="s">
        <v>517</v>
      </c>
      <c r="D2838" t="s">
        <v>427</v>
      </c>
      <c r="E2838" t="s">
        <v>428</v>
      </c>
      <c r="F2838" t="s">
        <v>516</v>
      </c>
      <c r="G2838" t="s">
        <v>514</v>
      </c>
      <c r="H2838" t="s">
        <v>426</v>
      </c>
      <c r="I2838" t="s">
        <v>430</v>
      </c>
      <c r="J2838" t="s">
        <v>425</v>
      </c>
      <c r="L2838" t="s">
        <v>423</v>
      </c>
      <c r="M2838" t="s">
        <v>421</v>
      </c>
    </row>
    <row r="2839" spans="1:13" ht="15" customHeight="1" x14ac:dyDescent="0.25">
      <c r="A2839" s="82">
        <v>45114</v>
      </c>
      <c r="B2839" t="s">
        <v>516</v>
      </c>
      <c r="C2839" t="s">
        <v>514</v>
      </c>
      <c r="D2839" t="s">
        <v>455</v>
      </c>
      <c r="E2839" t="s">
        <v>425</v>
      </c>
      <c r="F2839" t="s">
        <v>516</v>
      </c>
      <c r="G2839" t="s">
        <v>426</v>
      </c>
      <c r="H2839" t="s">
        <v>427</v>
      </c>
      <c r="I2839" t="s">
        <v>421</v>
      </c>
      <c r="J2839" t="s">
        <v>425</v>
      </c>
      <c r="L2839" t="s">
        <v>423</v>
      </c>
      <c r="M2839" t="s">
        <v>421</v>
      </c>
    </row>
    <row r="2840" spans="1:13" ht="15" customHeight="1" x14ac:dyDescent="0.25">
      <c r="A2840" s="82">
        <v>45115</v>
      </c>
      <c r="B2840" t="s">
        <v>516</v>
      </c>
      <c r="C2840" t="s">
        <v>514</v>
      </c>
      <c r="D2840" t="s">
        <v>428</v>
      </c>
      <c r="E2840" t="s">
        <v>425</v>
      </c>
      <c r="F2840" t="s">
        <v>430</v>
      </c>
      <c r="G2840" t="s">
        <v>426</v>
      </c>
      <c r="H2840" t="s">
        <v>455</v>
      </c>
      <c r="I2840" t="s">
        <v>427</v>
      </c>
      <c r="J2840" t="s">
        <v>421</v>
      </c>
      <c r="L2840" t="s">
        <v>423</v>
      </c>
      <c r="M2840" t="s">
        <v>421</v>
      </c>
    </row>
    <row r="2841" spans="1:13" ht="15" customHeight="1" x14ac:dyDescent="0.25">
      <c r="A2841" s="82">
        <v>45116</v>
      </c>
      <c r="B2841" t="s">
        <v>516</v>
      </c>
      <c r="C2841" t="s">
        <v>514</v>
      </c>
      <c r="D2841" t="s">
        <v>428</v>
      </c>
      <c r="E2841" t="s">
        <v>425</v>
      </c>
      <c r="F2841" t="s">
        <v>430</v>
      </c>
      <c r="G2841" t="s">
        <v>426</v>
      </c>
      <c r="H2841" t="s">
        <v>427</v>
      </c>
      <c r="I2841" t="s">
        <v>455</v>
      </c>
      <c r="J2841" t="s">
        <v>421</v>
      </c>
      <c r="L2841" t="s">
        <v>423</v>
      </c>
      <c r="M2841" t="s">
        <v>421</v>
      </c>
    </row>
    <row r="2842" spans="1:13" ht="15" customHeight="1" x14ac:dyDescent="0.25">
      <c r="A2842" s="82">
        <v>45117</v>
      </c>
      <c r="B2842" t="s">
        <v>516</v>
      </c>
      <c r="C2842" t="s">
        <v>514</v>
      </c>
      <c r="D2842" t="s">
        <v>428</v>
      </c>
      <c r="E2842" t="s">
        <v>425</v>
      </c>
      <c r="F2842" t="s">
        <v>430</v>
      </c>
      <c r="G2842" t="s">
        <v>426</v>
      </c>
      <c r="H2842" t="s">
        <v>455</v>
      </c>
      <c r="I2842" t="s">
        <v>421</v>
      </c>
      <c r="J2842" t="s">
        <v>427</v>
      </c>
      <c r="L2842" t="s">
        <v>421</v>
      </c>
      <c r="M2842" t="s">
        <v>423</v>
      </c>
    </row>
    <row r="2843" spans="1:13" ht="15" customHeight="1" x14ac:dyDescent="0.25">
      <c r="A2843" s="82">
        <v>45118</v>
      </c>
      <c r="B2843" t="s">
        <v>516</v>
      </c>
      <c r="C2843" t="s">
        <v>514</v>
      </c>
      <c r="D2843" t="s">
        <v>428</v>
      </c>
      <c r="E2843" t="s">
        <v>425</v>
      </c>
      <c r="F2843" t="s">
        <v>430</v>
      </c>
      <c r="G2843" t="s">
        <v>426</v>
      </c>
      <c r="H2843" t="s">
        <v>421</v>
      </c>
      <c r="I2843" t="s">
        <v>427</v>
      </c>
      <c r="J2843" t="s">
        <v>455</v>
      </c>
      <c r="L2843" t="s">
        <v>421</v>
      </c>
      <c r="M2843" t="s">
        <v>423</v>
      </c>
    </row>
    <row r="2844" spans="1:13" ht="15" customHeight="1" x14ac:dyDescent="0.25">
      <c r="A2844" s="82">
        <v>45119</v>
      </c>
      <c r="B2844" t="s">
        <v>516</v>
      </c>
      <c r="C2844" t="s">
        <v>514</v>
      </c>
      <c r="D2844" t="s">
        <v>428</v>
      </c>
      <c r="E2844" t="s">
        <v>425</v>
      </c>
      <c r="F2844" t="s">
        <v>430</v>
      </c>
      <c r="G2844" t="s">
        <v>426</v>
      </c>
      <c r="H2844" t="s">
        <v>421</v>
      </c>
      <c r="I2844" t="s">
        <v>455</v>
      </c>
      <c r="J2844" t="s">
        <v>427</v>
      </c>
      <c r="L2844" t="s">
        <v>421</v>
      </c>
      <c r="M2844" t="s">
        <v>423</v>
      </c>
    </row>
    <row r="2845" spans="1:13" ht="15" customHeight="1" x14ac:dyDescent="0.25">
      <c r="A2845" s="82">
        <v>45120</v>
      </c>
      <c r="B2845" t="s">
        <v>516</v>
      </c>
      <c r="C2845" t="s">
        <v>514</v>
      </c>
      <c r="D2845" t="s">
        <v>428</v>
      </c>
      <c r="E2845" t="s">
        <v>425</v>
      </c>
      <c r="F2845" t="s">
        <v>430</v>
      </c>
      <c r="G2845" t="s">
        <v>426</v>
      </c>
      <c r="H2845" t="s">
        <v>427</v>
      </c>
      <c r="I2845" t="s">
        <v>517</v>
      </c>
      <c r="J2845" t="s">
        <v>455</v>
      </c>
      <c r="L2845" t="s">
        <v>421</v>
      </c>
      <c r="M2845" t="s">
        <v>423</v>
      </c>
    </row>
    <row r="2846" spans="1:13" ht="15" customHeight="1" x14ac:dyDescent="0.25">
      <c r="A2846" s="82">
        <v>45121</v>
      </c>
      <c r="B2846" t="s">
        <v>516</v>
      </c>
      <c r="C2846" t="s">
        <v>426</v>
      </c>
      <c r="D2846" t="s">
        <v>425</v>
      </c>
      <c r="E2846" t="s">
        <v>425</v>
      </c>
      <c r="F2846" t="s">
        <v>421</v>
      </c>
      <c r="G2846" t="s">
        <v>427</v>
      </c>
      <c r="H2846" t="s">
        <v>455</v>
      </c>
      <c r="I2846" t="s">
        <v>514</v>
      </c>
      <c r="J2846" t="s">
        <v>516</v>
      </c>
      <c r="L2846" t="s">
        <v>423</v>
      </c>
      <c r="M2846" t="s">
        <v>421</v>
      </c>
    </row>
    <row r="2847" spans="1:13" ht="15" customHeight="1" x14ac:dyDescent="0.25">
      <c r="A2847" s="82">
        <v>45122</v>
      </c>
      <c r="B2847" t="s">
        <v>430</v>
      </c>
      <c r="C2847" t="s">
        <v>426</v>
      </c>
      <c r="D2847" t="s">
        <v>425</v>
      </c>
      <c r="E2847" t="s">
        <v>421</v>
      </c>
      <c r="F2847" t="s">
        <v>427</v>
      </c>
      <c r="G2847" t="s">
        <v>455</v>
      </c>
      <c r="H2847" t="s">
        <v>428</v>
      </c>
      <c r="I2847" t="s">
        <v>514</v>
      </c>
      <c r="J2847" t="s">
        <v>516</v>
      </c>
      <c r="L2847" t="s">
        <v>423</v>
      </c>
      <c r="M2847" t="s">
        <v>421</v>
      </c>
    </row>
    <row r="2848" spans="1:13" ht="15" customHeight="1" x14ac:dyDescent="0.25">
      <c r="A2848" s="82">
        <v>45123</v>
      </c>
      <c r="B2848" t="s">
        <v>430</v>
      </c>
      <c r="C2848" t="s">
        <v>426</v>
      </c>
      <c r="D2848" t="s">
        <v>425</v>
      </c>
      <c r="E2848" t="s">
        <v>421</v>
      </c>
      <c r="F2848" t="s">
        <v>455</v>
      </c>
      <c r="G2848" t="s">
        <v>427</v>
      </c>
      <c r="H2848" t="s">
        <v>428</v>
      </c>
      <c r="I2848" t="s">
        <v>514</v>
      </c>
      <c r="J2848" t="s">
        <v>516</v>
      </c>
      <c r="L2848" t="s">
        <v>423</v>
      </c>
      <c r="M2848" t="s">
        <v>421</v>
      </c>
    </row>
    <row r="2849" spans="1:13" ht="15" customHeight="1" x14ac:dyDescent="0.25">
      <c r="A2849" s="82">
        <v>45124</v>
      </c>
      <c r="B2849" t="s">
        <v>430</v>
      </c>
      <c r="C2849" t="s">
        <v>426</v>
      </c>
      <c r="D2849" t="s">
        <v>425</v>
      </c>
      <c r="E2849" t="s">
        <v>427</v>
      </c>
      <c r="F2849" t="s">
        <v>421</v>
      </c>
      <c r="G2849" t="s">
        <v>455</v>
      </c>
      <c r="H2849" t="s">
        <v>428</v>
      </c>
      <c r="I2849" t="s">
        <v>514</v>
      </c>
      <c r="J2849" t="s">
        <v>516</v>
      </c>
      <c r="L2849" t="s">
        <v>423</v>
      </c>
      <c r="M2849" t="s">
        <v>421</v>
      </c>
    </row>
    <row r="2850" spans="1:13" ht="15" customHeight="1" x14ac:dyDescent="0.25">
      <c r="A2850" s="82">
        <v>45125</v>
      </c>
      <c r="B2850" t="s">
        <v>430</v>
      </c>
      <c r="C2850" t="s">
        <v>426</v>
      </c>
      <c r="D2850" t="s">
        <v>425</v>
      </c>
      <c r="E2850" t="s">
        <v>455</v>
      </c>
      <c r="F2850" t="s">
        <v>427</v>
      </c>
      <c r="G2850" t="s">
        <v>421</v>
      </c>
      <c r="H2850" t="s">
        <v>428</v>
      </c>
      <c r="I2850" t="s">
        <v>514</v>
      </c>
      <c r="J2850" t="s">
        <v>516</v>
      </c>
      <c r="L2850" t="s">
        <v>423</v>
      </c>
      <c r="M2850" t="s">
        <v>421</v>
      </c>
    </row>
    <row r="2851" spans="1:13" ht="15" customHeight="1" x14ac:dyDescent="0.25">
      <c r="A2851" s="82">
        <v>45126</v>
      </c>
      <c r="B2851" t="s">
        <v>430</v>
      </c>
      <c r="C2851" t="s">
        <v>426</v>
      </c>
      <c r="D2851" t="s">
        <v>425</v>
      </c>
      <c r="E2851" t="s">
        <v>427</v>
      </c>
      <c r="F2851" t="s">
        <v>455</v>
      </c>
      <c r="G2851" t="s">
        <v>421</v>
      </c>
      <c r="H2851" t="s">
        <v>428</v>
      </c>
      <c r="I2851" t="s">
        <v>514</v>
      </c>
      <c r="J2851" t="s">
        <v>516</v>
      </c>
      <c r="L2851" t="s">
        <v>423</v>
      </c>
      <c r="M2851" t="s">
        <v>421</v>
      </c>
    </row>
    <row r="2852" spans="1:13" ht="15" customHeight="1" x14ac:dyDescent="0.25">
      <c r="A2852" s="82">
        <v>45127</v>
      </c>
      <c r="B2852" t="s">
        <v>430</v>
      </c>
      <c r="C2852" t="s">
        <v>426</v>
      </c>
      <c r="D2852" t="s">
        <v>425</v>
      </c>
      <c r="E2852" t="s">
        <v>455</v>
      </c>
      <c r="F2852" t="s">
        <v>517</v>
      </c>
      <c r="G2852" t="s">
        <v>427</v>
      </c>
      <c r="H2852" t="s">
        <v>428</v>
      </c>
      <c r="I2852" t="s">
        <v>514</v>
      </c>
      <c r="J2852" t="s">
        <v>516</v>
      </c>
      <c r="L2852" t="s">
        <v>421</v>
      </c>
      <c r="M2852" t="s">
        <v>423</v>
      </c>
    </row>
    <row r="2853" spans="1:13" ht="15" customHeight="1" x14ac:dyDescent="0.25">
      <c r="A2853" s="82">
        <v>45128</v>
      </c>
      <c r="B2853" t="s">
        <v>421</v>
      </c>
      <c r="C2853" t="s">
        <v>427</v>
      </c>
      <c r="D2853" t="s">
        <v>425</v>
      </c>
      <c r="E2853" t="s">
        <v>516</v>
      </c>
      <c r="F2853" t="s">
        <v>514</v>
      </c>
      <c r="G2853" t="s">
        <v>455</v>
      </c>
      <c r="H2853" t="s">
        <v>425</v>
      </c>
      <c r="I2853" t="s">
        <v>426</v>
      </c>
      <c r="J2853" t="s">
        <v>516</v>
      </c>
      <c r="L2853" t="s">
        <v>421</v>
      </c>
      <c r="M2853" t="s">
        <v>423</v>
      </c>
    </row>
    <row r="2854" spans="1:13" ht="15" customHeight="1" x14ac:dyDescent="0.25">
      <c r="A2854" s="82">
        <v>45129</v>
      </c>
      <c r="B2854" t="s">
        <v>427</v>
      </c>
      <c r="C2854" t="s">
        <v>455</v>
      </c>
      <c r="D2854" t="s">
        <v>421</v>
      </c>
      <c r="E2854" t="s">
        <v>516</v>
      </c>
      <c r="F2854" t="s">
        <v>514</v>
      </c>
      <c r="G2854" t="s">
        <v>428</v>
      </c>
      <c r="H2854" t="s">
        <v>425</v>
      </c>
      <c r="I2854" t="s">
        <v>426</v>
      </c>
      <c r="J2854" t="s">
        <v>430</v>
      </c>
      <c r="L2854" t="s">
        <v>421</v>
      </c>
      <c r="M2854" t="s">
        <v>423</v>
      </c>
    </row>
    <row r="2855" spans="1:13" ht="15" customHeight="1" x14ac:dyDescent="0.25">
      <c r="A2855" s="82">
        <v>45130</v>
      </c>
      <c r="B2855" t="s">
        <v>455</v>
      </c>
      <c r="C2855" t="s">
        <v>427</v>
      </c>
      <c r="D2855" t="s">
        <v>421</v>
      </c>
      <c r="E2855" t="s">
        <v>516</v>
      </c>
      <c r="F2855" t="s">
        <v>514</v>
      </c>
      <c r="G2855" t="s">
        <v>428</v>
      </c>
      <c r="H2855" t="s">
        <v>425</v>
      </c>
      <c r="I2855" t="s">
        <v>426</v>
      </c>
      <c r="J2855" t="s">
        <v>430</v>
      </c>
      <c r="L2855" t="s">
        <v>421</v>
      </c>
      <c r="M2855" t="s">
        <v>423</v>
      </c>
    </row>
    <row r="2856" spans="1:13" ht="15" customHeight="1" x14ac:dyDescent="0.25">
      <c r="A2856" s="82">
        <v>45131</v>
      </c>
      <c r="B2856" t="s">
        <v>421</v>
      </c>
      <c r="C2856" t="s">
        <v>455</v>
      </c>
      <c r="D2856" t="s">
        <v>427</v>
      </c>
      <c r="E2856" t="s">
        <v>516</v>
      </c>
      <c r="F2856" t="s">
        <v>514</v>
      </c>
      <c r="G2856" t="s">
        <v>428</v>
      </c>
      <c r="H2856" t="s">
        <v>425</v>
      </c>
      <c r="I2856" t="s">
        <v>426</v>
      </c>
      <c r="J2856" t="s">
        <v>430</v>
      </c>
      <c r="L2856" t="s">
        <v>421</v>
      </c>
      <c r="M2856" t="s">
        <v>423</v>
      </c>
    </row>
    <row r="2857" spans="1:13" ht="15" customHeight="1" x14ac:dyDescent="0.25">
      <c r="A2857" s="82">
        <v>45132</v>
      </c>
      <c r="B2857" t="s">
        <v>427</v>
      </c>
      <c r="C2857" t="s">
        <v>421</v>
      </c>
      <c r="D2857" t="s">
        <v>455</v>
      </c>
      <c r="E2857" t="s">
        <v>516</v>
      </c>
      <c r="F2857" t="s">
        <v>514</v>
      </c>
      <c r="G2857" t="s">
        <v>428</v>
      </c>
      <c r="H2857" t="s">
        <v>425</v>
      </c>
      <c r="I2857" t="s">
        <v>426</v>
      </c>
      <c r="J2857" t="s">
        <v>430</v>
      </c>
      <c r="L2857" t="s">
        <v>421</v>
      </c>
      <c r="M2857" t="s">
        <v>423</v>
      </c>
    </row>
    <row r="2858" spans="1:13" ht="15" customHeight="1" x14ac:dyDescent="0.25">
      <c r="A2858" s="82">
        <v>45133</v>
      </c>
      <c r="B2858" t="s">
        <v>455</v>
      </c>
      <c r="C2858" t="s">
        <v>421</v>
      </c>
      <c r="D2858" t="s">
        <v>427</v>
      </c>
      <c r="E2858" t="s">
        <v>516</v>
      </c>
      <c r="F2858" t="s">
        <v>514</v>
      </c>
      <c r="G2858" t="s">
        <v>428</v>
      </c>
      <c r="H2858" t="s">
        <v>425</v>
      </c>
      <c r="I2858" t="s">
        <v>426</v>
      </c>
      <c r="J2858" t="s">
        <v>430</v>
      </c>
      <c r="L2858" t="s">
        <v>421</v>
      </c>
      <c r="M2858" t="s">
        <v>423</v>
      </c>
    </row>
    <row r="2859" spans="1:13" ht="15" customHeight="1" x14ac:dyDescent="0.25">
      <c r="A2859" s="82">
        <v>45134</v>
      </c>
      <c r="B2859" t="s">
        <v>421</v>
      </c>
      <c r="C2859" t="s">
        <v>427</v>
      </c>
      <c r="D2859" t="s">
        <v>455</v>
      </c>
      <c r="E2859" t="s">
        <v>424</v>
      </c>
      <c r="F2859" t="s">
        <v>514</v>
      </c>
      <c r="G2859" t="s">
        <v>428</v>
      </c>
      <c r="H2859" t="s">
        <v>425</v>
      </c>
      <c r="I2859" t="s">
        <v>426</v>
      </c>
      <c r="J2859" t="s">
        <v>430</v>
      </c>
      <c r="L2859" t="s">
        <v>428</v>
      </c>
      <c r="M2859" t="s">
        <v>421</v>
      </c>
    </row>
    <row r="2860" spans="1:13" ht="15" customHeight="1" x14ac:dyDescent="0.25">
      <c r="A2860" s="82">
        <v>45135</v>
      </c>
      <c r="B2860" t="s">
        <v>426</v>
      </c>
      <c r="C2860" t="s">
        <v>455</v>
      </c>
      <c r="D2860" t="s">
        <v>523</v>
      </c>
      <c r="E2860" t="s">
        <v>430</v>
      </c>
      <c r="F2860" t="s">
        <v>514</v>
      </c>
      <c r="G2860" t="s">
        <v>425</v>
      </c>
      <c r="H2860" t="s">
        <v>425</v>
      </c>
      <c r="I2860" t="s">
        <v>427</v>
      </c>
      <c r="J2860" t="s">
        <v>421</v>
      </c>
      <c r="L2860" t="s">
        <v>428</v>
      </c>
      <c r="M2860" t="s">
        <v>421</v>
      </c>
    </row>
    <row r="2861" spans="1:13" ht="15" customHeight="1" x14ac:dyDescent="0.25">
      <c r="A2861" s="82">
        <v>45136</v>
      </c>
      <c r="B2861" t="s">
        <v>514</v>
      </c>
      <c r="C2861" t="s">
        <v>428</v>
      </c>
      <c r="D2861" t="s">
        <v>523</v>
      </c>
      <c r="E2861" t="s">
        <v>524</v>
      </c>
      <c r="F2861" t="s">
        <v>514</v>
      </c>
      <c r="G2861" t="s">
        <v>425</v>
      </c>
      <c r="H2861" t="s">
        <v>421</v>
      </c>
      <c r="I2861" t="s">
        <v>455</v>
      </c>
      <c r="J2861" t="s">
        <v>427</v>
      </c>
      <c r="L2861" t="s">
        <v>428</v>
      </c>
      <c r="M2861" t="s">
        <v>525</v>
      </c>
    </row>
    <row r="2862" spans="1:13" ht="15" customHeight="1" x14ac:dyDescent="0.25">
      <c r="A2862" s="82">
        <v>45137</v>
      </c>
      <c r="B2862" t="s">
        <v>514</v>
      </c>
      <c r="C2862" t="s">
        <v>428</v>
      </c>
      <c r="D2862" t="s">
        <v>523</v>
      </c>
      <c r="E2862" t="s">
        <v>524</v>
      </c>
      <c r="F2862" t="s">
        <v>426</v>
      </c>
      <c r="G2862" t="s">
        <v>425</v>
      </c>
      <c r="H2862" t="s">
        <v>421</v>
      </c>
      <c r="I2862" t="s">
        <v>427</v>
      </c>
      <c r="J2862" t="s">
        <v>455</v>
      </c>
      <c r="L2862" t="s">
        <v>428</v>
      </c>
      <c r="M2862" t="s">
        <v>525</v>
      </c>
    </row>
    <row r="2863" spans="1:13" ht="15" customHeight="1" x14ac:dyDescent="0.25">
      <c r="A2863" s="82">
        <v>45138</v>
      </c>
      <c r="B2863" t="s">
        <v>514</v>
      </c>
      <c r="C2863" t="s">
        <v>428</v>
      </c>
      <c r="D2863" t="s">
        <v>523</v>
      </c>
      <c r="E2863" t="s">
        <v>524</v>
      </c>
      <c r="F2863" t="s">
        <v>421</v>
      </c>
      <c r="G2863" t="s">
        <v>425</v>
      </c>
      <c r="H2863" t="s">
        <v>427</v>
      </c>
      <c r="I2863" t="s">
        <v>455</v>
      </c>
      <c r="J2863" t="s">
        <v>526</v>
      </c>
      <c r="L2863" t="s">
        <v>421</v>
      </c>
      <c r="M2863" t="s">
        <v>525</v>
      </c>
    </row>
    <row r="2864" spans="1:13" ht="15" customHeight="1" x14ac:dyDescent="0.25">
      <c r="A2864" s="82">
        <v>45139</v>
      </c>
      <c r="B2864" t="s">
        <v>514</v>
      </c>
      <c r="C2864" t="s">
        <v>428</v>
      </c>
      <c r="D2864" t="s">
        <v>523</v>
      </c>
      <c r="E2864" t="s">
        <v>524</v>
      </c>
      <c r="F2864" t="s">
        <v>427</v>
      </c>
      <c r="G2864" t="s">
        <v>425</v>
      </c>
      <c r="H2864" t="s">
        <v>455</v>
      </c>
      <c r="I2864" t="s">
        <v>421</v>
      </c>
      <c r="J2864" t="s">
        <v>526</v>
      </c>
      <c r="L2864" t="s">
        <v>421</v>
      </c>
      <c r="M2864" t="s">
        <v>525</v>
      </c>
    </row>
    <row r="2865" spans="1:13" ht="15" customHeight="1" x14ac:dyDescent="0.25">
      <c r="A2865" s="82">
        <v>45140</v>
      </c>
      <c r="B2865" t="s">
        <v>514</v>
      </c>
      <c r="C2865" t="s">
        <v>428</v>
      </c>
      <c r="D2865" t="s">
        <v>523</v>
      </c>
      <c r="E2865" t="s">
        <v>524</v>
      </c>
      <c r="F2865" t="s">
        <v>455</v>
      </c>
      <c r="G2865" t="s">
        <v>425</v>
      </c>
      <c r="H2865" t="s">
        <v>427</v>
      </c>
      <c r="I2865" t="s">
        <v>421</v>
      </c>
      <c r="J2865" t="s">
        <v>526</v>
      </c>
      <c r="L2865" t="s">
        <v>421</v>
      </c>
      <c r="M2865" t="s">
        <v>525</v>
      </c>
    </row>
    <row r="2866" spans="1:13" ht="15" customHeight="1" x14ac:dyDescent="0.25">
      <c r="A2866" s="82">
        <v>45141</v>
      </c>
      <c r="B2866" t="s">
        <v>514</v>
      </c>
      <c r="C2866" t="s">
        <v>428</v>
      </c>
      <c r="D2866" t="s">
        <v>523</v>
      </c>
      <c r="E2866" t="s">
        <v>524</v>
      </c>
      <c r="F2866" t="s">
        <v>421</v>
      </c>
      <c r="G2866" t="s">
        <v>425</v>
      </c>
      <c r="H2866" t="s">
        <v>455</v>
      </c>
      <c r="I2866" t="s">
        <v>427</v>
      </c>
      <c r="J2866" t="s">
        <v>526</v>
      </c>
      <c r="L2866" t="s">
        <v>421</v>
      </c>
      <c r="M2866" t="s">
        <v>525</v>
      </c>
    </row>
    <row r="2867" spans="1:13" ht="15" customHeight="1" x14ac:dyDescent="0.25">
      <c r="A2867" s="82">
        <v>45142</v>
      </c>
      <c r="B2867" t="s">
        <v>514</v>
      </c>
      <c r="C2867" t="s">
        <v>425</v>
      </c>
      <c r="D2867" t="s">
        <v>523</v>
      </c>
      <c r="E2867" t="s">
        <v>524</v>
      </c>
      <c r="F2867" t="s">
        <v>427</v>
      </c>
      <c r="G2867" t="s">
        <v>425</v>
      </c>
      <c r="H2867" t="s">
        <v>421</v>
      </c>
      <c r="I2867" t="s">
        <v>455</v>
      </c>
      <c r="J2867" t="s">
        <v>526</v>
      </c>
      <c r="L2867" t="s">
        <v>421</v>
      </c>
      <c r="M2867" t="s">
        <v>525</v>
      </c>
    </row>
    <row r="2868" spans="1:13" ht="15" customHeight="1" x14ac:dyDescent="0.25">
      <c r="A2868" s="82">
        <v>45143</v>
      </c>
      <c r="B2868" t="s">
        <v>514</v>
      </c>
      <c r="C2868" t="s">
        <v>425</v>
      </c>
      <c r="D2868" t="s">
        <v>523</v>
      </c>
      <c r="E2868" t="s">
        <v>524</v>
      </c>
      <c r="F2868" t="s">
        <v>455</v>
      </c>
      <c r="G2868" t="s">
        <v>421</v>
      </c>
      <c r="H2868" t="s">
        <v>427</v>
      </c>
      <c r="I2868" t="s">
        <v>428</v>
      </c>
      <c r="J2868" t="s">
        <v>526</v>
      </c>
      <c r="L2868" t="s">
        <v>421</v>
      </c>
      <c r="M2868" t="s">
        <v>525</v>
      </c>
    </row>
    <row r="2869" spans="1:13" ht="15" customHeight="1" x14ac:dyDescent="0.25">
      <c r="A2869" s="82">
        <v>45144</v>
      </c>
      <c r="B2869" t="s">
        <v>514</v>
      </c>
      <c r="C2869" t="s">
        <v>425</v>
      </c>
      <c r="D2869" t="s">
        <v>523</v>
      </c>
      <c r="E2869" t="s">
        <v>524</v>
      </c>
      <c r="F2869" t="s">
        <v>427</v>
      </c>
      <c r="G2869" t="s">
        <v>421</v>
      </c>
      <c r="H2869" t="s">
        <v>455</v>
      </c>
      <c r="I2869" t="s">
        <v>428</v>
      </c>
      <c r="J2869" t="s">
        <v>526</v>
      </c>
      <c r="L2869" t="s">
        <v>421</v>
      </c>
      <c r="M2869" t="s">
        <v>525</v>
      </c>
    </row>
    <row r="2870" spans="1:13" ht="15" customHeight="1" x14ac:dyDescent="0.25">
      <c r="A2870" s="82">
        <v>45145</v>
      </c>
      <c r="B2870" t="s">
        <v>514</v>
      </c>
      <c r="C2870" t="s">
        <v>425</v>
      </c>
      <c r="D2870" t="s">
        <v>523</v>
      </c>
      <c r="E2870" t="s">
        <v>524</v>
      </c>
      <c r="F2870" t="s">
        <v>455</v>
      </c>
      <c r="G2870" t="s">
        <v>427</v>
      </c>
      <c r="H2870" t="s">
        <v>421</v>
      </c>
      <c r="I2870" t="s">
        <v>428</v>
      </c>
      <c r="J2870" t="s">
        <v>526</v>
      </c>
      <c r="L2870" t="s">
        <v>421</v>
      </c>
      <c r="M2870" t="s">
        <v>525</v>
      </c>
    </row>
    <row r="2871" spans="1:13" ht="15" customHeight="1" x14ac:dyDescent="0.25">
      <c r="A2871" s="82">
        <v>45146</v>
      </c>
      <c r="B2871" t="s">
        <v>514</v>
      </c>
      <c r="C2871" t="s">
        <v>425</v>
      </c>
      <c r="D2871" t="s">
        <v>430</v>
      </c>
      <c r="E2871" t="s">
        <v>421</v>
      </c>
      <c r="F2871" t="s">
        <v>427</v>
      </c>
      <c r="G2871" t="s">
        <v>455</v>
      </c>
      <c r="H2871" t="s">
        <v>424</v>
      </c>
      <c r="I2871" t="s">
        <v>428</v>
      </c>
      <c r="J2871" t="s">
        <v>514</v>
      </c>
      <c r="L2871" t="s">
        <v>423</v>
      </c>
      <c r="M2871" t="s">
        <v>421</v>
      </c>
    </row>
    <row r="2872" spans="1:13" ht="15" customHeight="1" x14ac:dyDescent="0.25">
      <c r="A2872" s="82">
        <v>45147</v>
      </c>
      <c r="B2872" t="s">
        <v>426</v>
      </c>
      <c r="C2872" t="s">
        <v>425</v>
      </c>
      <c r="D2872" t="s">
        <v>430</v>
      </c>
      <c r="E2872" t="s">
        <v>421</v>
      </c>
      <c r="F2872" t="s">
        <v>455</v>
      </c>
      <c r="G2872" t="s">
        <v>427</v>
      </c>
      <c r="H2872" t="s">
        <v>516</v>
      </c>
      <c r="I2872" t="s">
        <v>428</v>
      </c>
      <c r="J2872" t="s">
        <v>514</v>
      </c>
      <c r="L2872" t="s">
        <v>423</v>
      </c>
      <c r="M2872" t="s">
        <v>421</v>
      </c>
    </row>
    <row r="2873" spans="1:13" ht="15" customHeight="1" x14ac:dyDescent="0.25">
      <c r="A2873" s="82">
        <v>45148</v>
      </c>
      <c r="B2873" t="s">
        <v>426</v>
      </c>
      <c r="C2873" t="s">
        <v>425</v>
      </c>
      <c r="D2873" t="s">
        <v>430</v>
      </c>
      <c r="E2873" t="s">
        <v>517</v>
      </c>
      <c r="F2873" t="s">
        <v>427</v>
      </c>
      <c r="G2873" t="s">
        <v>455</v>
      </c>
      <c r="H2873" t="s">
        <v>516</v>
      </c>
      <c r="I2873" t="s">
        <v>428</v>
      </c>
      <c r="J2873" t="s">
        <v>514</v>
      </c>
      <c r="L2873" t="s">
        <v>423</v>
      </c>
      <c r="M2873" t="s">
        <v>423</v>
      </c>
    </row>
    <row r="2874" spans="1:13" ht="15" customHeight="1" x14ac:dyDescent="0.25">
      <c r="A2874" s="82">
        <v>45149</v>
      </c>
      <c r="B2874" t="s">
        <v>427</v>
      </c>
      <c r="C2874" t="s">
        <v>425</v>
      </c>
      <c r="D2874" t="s">
        <v>421</v>
      </c>
      <c r="E2874" t="s">
        <v>514</v>
      </c>
      <c r="F2874" t="s">
        <v>455</v>
      </c>
      <c r="G2874" t="s">
        <v>516</v>
      </c>
      <c r="H2874" t="s">
        <v>516</v>
      </c>
      <c r="I2874" t="s">
        <v>425</v>
      </c>
      <c r="J2874" t="s">
        <v>426</v>
      </c>
      <c r="L2874" t="s">
        <v>421</v>
      </c>
      <c r="M2874" t="s">
        <v>423</v>
      </c>
    </row>
    <row r="2875" spans="1:13" ht="15" customHeight="1" x14ac:dyDescent="0.25">
      <c r="A2875" s="82">
        <v>45150</v>
      </c>
      <c r="B2875" t="s">
        <v>455</v>
      </c>
      <c r="C2875" t="s">
        <v>421</v>
      </c>
      <c r="D2875" t="s">
        <v>427</v>
      </c>
      <c r="E2875" t="s">
        <v>514</v>
      </c>
      <c r="F2875" t="s">
        <v>428</v>
      </c>
      <c r="G2875" t="s">
        <v>516</v>
      </c>
      <c r="H2875" t="s">
        <v>430</v>
      </c>
      <c r="I2875" t="s">
        <v>425</v>
      </c>
      <c r="J2875" t="s">
        <v>426</v>
      </c>
      <c r="L2875" t="s">
        <v>421</v>
      </c>
      <c r="M2875" t="s">
        <v>423</v>
      </c>
    </row>
    <row r="2876" spans="1:13" ht="15" customHeight="1" x14ac:dyDescent="0.25">
      <c r="A2876" s="82">
        <v>45151</v>
      </c>
      <c r="B2876" t="s">
        <v>427</v>
      </c>
      <c r="C2876" t="s">
        <v>421</v>
      </c>
      <c r="D2876" t="s">
        <v>455</v>
      </c>
      <c r="E2876" t="s">
        <v>514</v>
      </c>
      <c r="F2876" t="s">
        <v>428</v>
      </c>
      <c r="G2876" t="s">
        <v>516</v>
      </c>
      <c r="H2876" t="s">
        <v>430</v>
      </c>
      <c r="I2876" t="s">
        <v>425</v>
      </c>
      <c r="J2876" t="s">
        <v>426</v>
      </c>
      <c r="L2876" t="s">
        <v>421</v>
      </c>
      <c r="M2876" t="s">
        <v>423</v>
      </c>
    </row>
    <row r="2877" spans="1:13" ht="15" customHeight="1" x14ac:dyDescent="0.25">
      <c r="A2877" s="82">
        <v>45152</v>
      </c>
      <c r="B2877" t="s">
        <v>455</v>
      </c>
      <c r="C2877" t="s">
        <v>427</v>
      </c>
      <c r="D2877" t="s">
        <v>421</v>
      </c>
      <c r="E2877" t="s">
        <v>514</v>
      </c>
      <c r="F2877" t="s">
        <v>428</v>
      </c>
      <c r="G2877" t="s">
        <v>516</v>
      </c>
      <c r="H2877" t="s">
        <v>430</v>
      </c>
      <c r="I2877" t="s">
        <v>425</v>
      </c>
      <c r="J2877" t="s">
        <v>426</v>
      </c>
      <c r="L2877" t="s">
        <v>421</v>
      </c>
      <c r="M2877" t="s">
        <v>423</v>
      </c>
    </row>
    <row r="2878" spans="1:13" ht="15" customHeight="1" x14ac:dyDescent="0.25">
      <c r="A2878" s="82">
        <v>45153</v>
      </c>
      <c r="B2878" t="s">
        <v>421</v>
      </c>
      <c r="C2878" t="s">
        <v>455</v>
      </c>
      <c r="D2878" t="s">
        <v>427</v>
      </c>
      <c r="E2878" t="s">
        <v>514</v>
      </c>
      <c r="F2878" t="s">
        <v>428</v>
      </c>
      <c r="G2878" t="s">
        <v>516</v>
      </c>
      <c r="H2878" t="s">
        <v>430</v>
      </c>
      <c r="I2878" t="s">
        <v>425</v>
      </c>
      <c r="J2878" t="s">
        <v>426</v>
      </c>
      <c r="L2878" t="s">
        <v>421</v>
      </c>
      <c r="M2878" t="s">
        <v>423</v>
      </c>
    </row>
    <row r="2879" spans="1:13" ht="15" customHeight="1" x14ac:dyDescent="0.25">
      <c r="A2879" s="82">
        <v>45154</v>
      </c>
      <c r="B2879" t="s">
        <v>421</v>
      </c>
      <c r="C2879" t="s">
        <v>427</v>
      </c>
      <c r="D2879" t="s">
        <v>455</v>
      </c>
      <c r="E2879" t="s">
        <v>514</v>
      </c>
      <c r="F2879" t="s">
        <v>428</v>
      </c>
      <c r="G2879" t="s">
        <v>516</v>
      </c>
      <c r="H2879" t="s">
        <v>430</v>
      </c>
      <c r="I2879" t="s">
        <v>425</v>
      </c>
      <c r="J2879" t="s">
        <v>426</v>
      </c>
      <c r="L2879" t="s">
        <v>421</v>
      </c>
      <c r="M2879" t="s">
        <v>423</v>
      </c>
    </row>
    <row r="2880" spans="1:13" ht="15" customHeight="1" x14ac:dyDescent="0.25">
      <c r="A2880" s="82">
        <v>45155</v>
      </c>
      <c r="B2880" t="s">
        <v>427</v>
      </c>
      <c r="C2880" t="s">
        <v>455</v>
      </c>
      <c r="D2880" t="s">
        <v>517</v>
      </c>
      <c r="E2880" t="s">
        <v>514</v>
      </c>
      <c r="F2880" t="s">
        <v>428</v>
      </c>
      <c r="G2880" t="s">
        <v>516</v>
      </c>
      <c r="H2880" t="s">
        <v>430</v>
      </c>
      <c r="I2880" t="s">
        <v>425</v>
      </c>
      <c r="J2880" t="s">
        <v>426</v>
      </c>
      <c r="L2880" t="s">
        <v>423</v>
      </c>
      <c r="M2880" t="s">
        <v>421</v>
      </c>
    </row>
    <row r="2881" spans="1:13" ht="15" customHeight="1" x14ac:dyDescent="0.25">
      <c r="A2881" s="82">
        <v>45156</v>
      </c>
      <c r="B2881" t="s">
        <v>455</v>
      </c>
      <c r="C2881" t="s">
        <v>516</v>
      </c>
      <c r="D2881" t="s">
        <v>514</v>
      </c>
      <c r="E2881" t="s">
        <v>426</v>
      </c>
      <c r="F2881" t="s">
        <v>425</v>
      </c>
      <c r="G2881" t="s">
        <v>516</v>
      </c>
      <c r="H2881" t="s">
        <v>421</v>
      </c>
      <c r="I2881" t="s">
        <v>425</v>
      </c>
      <c r="J2881" t="s">
        <v>427</v>
      </c>
      <c r="L2881" t="s">
        <v>423</v>
      </c>
      <c r="M2881" t="s">
        <v>421</v>
      </c>
    </row>
    <row r="2882" spans="1:13" ht="15" customHeight="1" x14ac:dyDescent="0.25">
      <c r="A2882" s="82">
        <v>45157</v>
      </c>
      <c r="B2882" t="s">
        <v>428</v>
      </c>
      <c r="C2882" t="s">
        <v>516</v>
      </c>
      <c r="D2882" t="s">
        <v>514</v>
      </c>
      <c r="E2882" t="s">
        <v>426</v>
      </c>
      <c r="F2882" t="s">
        <v>425</v>
      </c>
      <c r="G2882" t="s">
        <v>430</v>
      </c>
      <c r="H2882" t="s">
        <v>427</v>
      </c>
      <c r="I2882" t="s">
        <v>421</v>
      </c>
      <c r="J2882" t="s">
        <v>455</v>
      </c>
      <c r="L2882" t="s">
        <v>423</v>
      </c>
      <c r="M2882" t="s">
        <v>421</v>
      </c>
    </row>
    <row r="2883" spans="1:13" ht="15" customHeight="1" x14ac:dyDescent="0.25">
      <c r="A2883" s="82">
        <v>45158</v>
      </c>
      <c r="B2883" t="s">
        <v>428</v>
      </c>
      <c r="C2883" t="s">
        <v>516</v>
      </c>
      <c r="D2883" t="s">
        <v>514</v>
      </c>
      <c r="E2883" t="s">
        <v>426</v>
      </c>
      <c r="F2883" t="s">
        <v>425</v>
      </c>
      <c r="G2883" t="s">
        <v>430</v>
      </c>
      <c r="H2883" t="s">
        <v>455</v>
      </c>
      <c r="I2883" t="s">
        <v>421</v>
      </c>
      <c r="J2883" t="s">
        <v>427</v>
      </c>
      <c r="L2883" t="s">
        <v>423</v>
      </c>
      <c r="M2883" t="s">
        <v>421</v>
      </c>
    </row>
    <row r="2884" spans="1:13" ht="15" customHeight="1" x14ac:dyDescent="0.25">
      <c r="A2884" s="82">
        <v>45159</v>
      </c>
      <c r="B2884" t="s">
        <v>428</v>
      </c>
      <c r="C2884" t="s">
        <v>516</v>
      </c>
      <c r="D2884" t="s">
        <v>514</v>
      </c>
      <c r="E2884" t="s">
        <v>426</v>
      </c>
      <c r="F2884" t="s">
        <v>425</v>
      </c>
      <c r="G2884" t="s">
        <v>430</v>
      </c>
      <c r="H2884" t="s">
        <v>421</v>
      </c>
      <c r="I2884" t="s">
        <v>427</v>
      </c>
      <c r="J2884" t="s">
        <v>455</v>
      </c>
      <c r="L2884" t="s">
        <v>423</v>
      </c>
      <c r="M2884" t="s">
        <v>421</v>
      </c>
    </row>
    <row r="2885" spans="1:13" ht="15" customHeight="1" x14ac:dyDescent="0.25">
      <c r="A2885" s="82">
        <v>45160</v>
      </c>
      <c r="B2885" t="s">
        <v>428</v>
      </c>
      <c r="C2885" t="s">
        <v>516</v>
      </c>
      <c r="D2885" t="s">
        <v>514</v>
      </c>
      <c r="E2885" t="s">
        <v>426</v>
      </c>
      <c r="F2885" t="s">
        <v>425</v>
      </c>
      <c r="G2885" t="s">
        <v>430</v>
      </c>
      <c r="H2885" t="s">
        <v>427</v>
      </c>
      <c r="I2885" t="s">
        <v>455</v>
      </c>
      <c r="J2885" t="s">
        <v>421</v>
      </c>
      <c r="L2885" t="s">
        <v>423</v>
      </c>
      <c r="M2885" t="s">
        <v>421</v>
      </c>
    </row>
    <row r="2886" spans="1:13" ht="15" customHeight="1" x14ac:dyDescent="0.25">
      <c r="A2886" s="82">
        <v>45161</v>
      </c>
      <c r="B2886" t="s">
        <v>428</v>
      </c>
      <c r="C2886" t="s">
        <v>516</v>
      </c>
      <c r="D2886" t="s">
        <v>514</v>
      </c>
      <c r="E2886" t="s">
        <v>426</v>
      </c>
      <c r="F2886" t="s">
        <v>425</v>
      </c>
      <c r="G2886" t="s">
        <v>430</v>
      </c>
      <c r="H2886" t="s">
        <v>455</v>
      </c>
      <c r="I2886" t="s">
        <v>427</v>
      </c>
      <c r="J2886" t="s">
        <v>421</v>
      </c>
      <c r="L2886" t="s">
        <v>421</v>
      </c>
      <c r="M2886" t="s">
        <v>423</v>
      </c>
    </row>
    <row r="2887" spans="1:13" ht="15" customHeight="1" x14ac:dyDescent="0.25">
      <c r="A2887" s="82">
        <v>45162</v>
      </c>
      <c r="B2887" t="s">
        <v>428</v>
      </c>
      <c r="C2887" t="s">
        <v>516</v>
      </c>
      <c r="D2887" t="s">
        <v>514</v>
      </c>
      <c r="E2887" t="s">
        <v>426</v>
      </c>
      <c r="F2887" t="s">
        <v>425</v>
      </c>
      <c r="G2887" t="s">
        <v>430</v>
      </c>
      <c r="H2887" t="s">
        <v>517</v>
      </c>
      <c r="I2887" t="s">
        <v>455</v>
      </c>
      <c r="J2887" t="s">
        <v>427</v>
      </c>
      <c r="L2887" t="s">
        <v>421</v>
      </c>
      <c r="M2887" t="s">
        <v>423</v>
      </c>
    </row>
    <row r="2888" spans="1:13" ht="15" customHeight="1" x14ac:dyDescent="0.25">
      <c r="A2888" s="82">
        <v>45163</v>
      </c>
      <c r="B2888" t="s">
        <v>425</v>
      </c>
      <c r="C2888" t="s">
        <v>516</v>
      </c>
      <c r="D2888" t="s">
        <v>426</v>
      </c>
      <c r="E2888" t="s">
        <v>427</v>
      </c>
      <c r="F2888" t="s">
        <v>425</v>
      </c>
      <c r="G2888" t="s">
        <v>421</v>
      </c>
      <c r="H2888" t="s">
        <v>514</v>
      </c>
      <c r="I2888" t="s">
        <v>516</v>
      </c>
      <c r="J2888" t="s">
        <v>455</v>
      </c>
      <c r="L2888" t="s">
        <v>421</v>
      </c>
      <c r="M2888" t="s">
        <v>428</v>
      </c>
    </row>
    <row r="2889" spans="1:13" ht="15" customHeight="1" x14ac:dyDescent="0.25">
      <c r="A2889" s="82">
        <v>45164</v>
      </c>
      <c r="B2889" t="s">
        <v>425</v>
      </c>
      <c r="C2889" t="s">
        <v>430</v>
      </c>
      <c r="D2889" t="s">
        <v>426</v>
      </c>
      <c r="E2889" t="s">
        <v>455</v>
      </c>
      <c r="F2889" t="s">
        <v>421</v>
      </c>
      <c r="G2889" t="s">
        <v>427</v>
      </c>
      <c r="H2889" t="s">
        <v>514</v>
      </c>
      <c r="I2889" t="s">
        <v>516</v>
      </c>
      <c r="J2889" t="s">
        <v>428</v>
      </c>
      <c r="L2889" t="s">
        <v>421</v>
      </c>
      <c r="M2889" t="s">
        <v>428</v>
      </c>
    </row>
    <row r="2890" spans="1:13" ht="15" customHeight="1" x14ac:dyDescent="0.25">
      <c r="A2890" s="82">
        <v>45165</v>
      </c>
      <c r="B2890" t="s">
        <v>425</v>
      </c>
      <c r="C2890" t="s">
        <v>430</v>
      </c>
      <c r="D2890" t="s">
        <v>426</v>
      </c>
      <c r="E2890" t="s">
        <v>427</v>
      </c>
      <c r="F2890" t="s">
        <v>421</v>
      </c>
      <c r="G2890" t="s">
        <v>455</v>
      </c>
      <c r="H2890" t="s">
        <v>514</v>
      </c>
      <c r="I2890" t="s">
        <v>516</v>
      </c>
      <c r="J2890" t="s">
        <v>428</v>
      </c>
      <c r="L2890" t="s">
        <v>421</v>
      </c>
      <c r="M2890" t="s">
        <v>428</v>
      </c>
    </row>
    <row r="2891" spans="1:13" ht="15" customHeight="1" x14ac:dyDescent="0.25">
      <c r="A2891" s="82">
        <v>45166</v>
      </c>
      <c r="B2891" t="s">
        <v>425</v>
      </c>
      <c r="C2891" t="s">
        <v>430</v>
      </c>
      <c r="D2891" t="s">
        <v>426</v>
      </c>
      <c r="E2891" t="s">
        <v>455</v>
      </c>
      <c r="F2891" t="s">
        <v>427</v>
      </c>
      <c r="G2891" t="s">
        <v>421</v>
      </c>
      <c r="H2891" t="s">
        <v>514</v>
      </c>
      <c r="I2891" t="s">
        <v>516</v>
      </c>
      <c r="J2891" t="s">
        <v>428</v>
      </c>
      <c r="L2891" t="s">
        <v>421</v>
      </c>
      <c r="M2891" t="s">
        <v>428</v>
      </c>
    </row>
    <row r="2892" spans="1:13" ht="15" customHeight="1" x14ac:dyDescent="0.25">
      <c r="A2892" s="82">
        <v>45167</v>
      </c>
      <c r="B2892" t="s">
        <v>425</v>
      </c>
      <c r="C2892" t="s">
        <v>430</v>
      </c>
      <c r="D2892" t="s">
        <v>426</v>
      </c>
      <c r="E2892" t="s">
        <v>421</v>
      </c>
      <c r="F2892" t="s">
        <v>455</v>
      </c>
      <c r="G2892" t="s">
        <v>427</v>
      </c>
      <c r="H2892" t="s">
        <v>514</v>
      </c>
      <c r="I2892" t="s">
        <v>424</v>
      </c>
      <c r="J2892" t="s">
        <v>428</v>
      </c>
      <c r="L2892" t="s">
        <v>423</v>
      </c>
      <c r="M2892" t="s">
        <v>421</v>
      </c>
    </row>
    <row r="2893" spans="1:13" ht="15" customHeight="1" x14ac:dyDescent="0.25">
      <c r="A2893" s="82">
        <v>45168</v>
      </c>
      <c r="B2893" t="s">
        <v>425</v>
      </c>
      <c r="C2893" t="s">
        <v>430</v>
      </c>
      <c r="D2893" t="s">
        <v>426</v>
      </c>
      <c r="E2893" t="s">
        <v>421</v>
      </c>
      <c r="F2893" t="s">
        <v>427</v>
      </c>
      <c r="G2893" t="s">
        <v>455</v>
      </c>
      <c r="H2893" t="s">
        <v>514</v>
      </c>
      <c r="I2893" t="s">
        <v>424</v>
      </c>
      <c r="J2893" t="s">
        <v>428</v>
      </c>
      <c r="L2893" t="s">
        <v>423</v>
      </c>
      <c r="M2893" t="s">
        <v>421</v>
      </c>
    </row>
    <row r="2894" spans="1:13" ht="15" customHeight="1" x14ac:dyDescent="0.25">
      <c r="A2894" s="82">
        <v>45169</v>
      </c>
      <c r="B2894" t="s">
        <v>425</v>
      </c>
      <c r="C2894" t="s">
        <v>430</v>
      </c>
      <c r="D2894" t="s">
        <v>426</v>
      </c>
      <c r="E2894" t="s">
        <v>427</v>
      </c>
      <c r="F2894" t="s">
        <v>455</v>
      </c>
      <c r="G2894" t="s">
        <v>517</v>
      </c>
      <c r="H2894" t="s">
        <v>514</v>
      </c>
      <c r="I2894" t="s">
        <v>424</v>
      </c>
      <c r="J2894" t="s">
        <v>428</v>
      </c>
      <c r="L2894" t="s">
        <v>423</v>
      </c>
      <c r="M2894" t="s">
        <v>421</v>
      </c>
    </row>
    <row r="2895" spans="1:13" ht="15" customHeight="1" x14ac:dyDescent="0.25">
      <c r="A2895" s="82">
        <v>45170</v>
      </c>
      <c r="B2895" t="s">
        <v>425</v>
      </c>
      <c r="C2895" t="s">
        <v>421</v>
      </c>
      <c r="D2895" t="s">
        <v>427</v>
      </c>
      <c r="E2895" t="s">
        <v>455</v>
      </c>
      <c r="F2895" t="s">
        <v>424</v>
      </c>
      <c r="G2895" t="s">
        <v>514</v>
      </c>
      <c r="H2895" t="s">
        <v>426</v>
      </c>
      <c r="I2895" t="s">
        <v>424</v>
      </c>
      <c r="J2895" t="s">
        <v>425</v>
      </c>
      <c r="L2895" t="s">
        <v>423</v>
      </c>
      <c r="M2895" t="s">
        <v>421</v>
      </c>
    </row>
    <row r="2896" spans="1:13" ht="15" customHeight="1" x14ac:dyDescent="0.25">
      <c r="A2896" s="82">
        <v>45171</v>
      </c>
      <c r="B2896" t="s">
        <v>421</v>
      </c>
      <c r="C2896" t="s">
        <v>427</v>
      </c>
      <c r="D2896" t="s">
        <v>455</v>
      </c>
      <c r="E2896" t="s">
        <v>428</v>
      </c>
      <c r="F2896" t="s">
        <v>424</v>
      </c>
      <c r="G2896" t="s">
        <v>514</v>
      </c>
      <c r="H2896" t="s">
        <v>426</v>
      </c>
      <c r="I2896" t="s">
        <v>430</v>
      </c>
      <c r="J2896" t="s">
        <v>425</v>
      </c>
      <c r="L2896" t="s">
        <v>423</v>
      </c>
      <c r="M2896" t="s">
        <v>421</v>
      </c>
    </row>
    <row r="2897" spans="1:13" ht="15" customHeight="1" x14ac:dyDescent="0.25">
      <c r="A2897" s="82">
        <v>45172</v>
      </c>
      <c r="B2897" t="s">
        <v>421</v>
      </c>
      <c r="C2897" t="s">
        <v>455</v>
      </c>
      <c r="D2897" t="s">
        <v>427</v>
      </c>
      <c r="E2897" t="s">
        <v>428</v>
      </c>
      <c r="F2897" t="s">
        <v>424</v>
      </c>
      <c r="G2897" t="s">
        <v>514</v>
      </c>
      <c r="H2897" t="s">
        <v>426</v>
      </c>
      <c r="I2897" t="s">
        <v>430</v>
      </c>
      <c r="J2897" t="s">
        <v>425</v>
      </c>
      <c r="L2897" t="s">
        <v>423</v>
      </c>
      <c r="M2897" t="s">
        <v>421</v>
      </c>
    </row>
    <row r="2898" spans="1:13" ht="15" customHeight="1" x14ac:dyDescent="0.25">
      <c r="A2898" s="82">
        <v>45173</v>
      </c>
      <c r="B2898" t="s">
        <v>427</v>
      </c>
      <c r="C2898" t="s">
        <v>421</v>
      </c>
      <c r="D2898" t="s">
        <v>455</v>
      </c>
      <c r="E2898" t="s">
        <v>428</v>
      </c>
      <c r="F2898" t="s">
        <v>424</v>
      </c>
      <c r="G2898" t="s">
        <v>514</v>
      </c>
      <c r="H2898" t="s">
        <v>426</v>
      </c>
      <c r="I2898" t="s">
        <v>430</v>
      </c>
      <c r="J2898" t="s">
        <v>425</v>
      </c>
      <c r="L2898" t="s">
        <v>421</v>
      </c>
      <c r="M2898" t="s">
        <v>423</v>
      </c>
    </row>
    <row r="2899" spans="1:13" ht="15" customHeight="1" x14ac:dyDescent="0.25">
      <c r="A2899" s="82">
        <v>45174</v>
      </c>
      <c r="B2899" t="s">
        <v>455</v>
      </c>
      <c r="C2899" t="s">
        <v>427</v>
      </c>
      <c r="D2899" t="s">
        <v>421</v>
      </c>
      <c r="E2899" t="s">
        <v>428</v>
      </c>
      <c r="F2899" t="s">
        <v>424</v>
      </c>
      <c r="G2899" t="s">
        <v>514</v>
      </c>
      <c r="H2899" t="s">
        <v>426</v>
      </c>
      <c r="I2899" t="s">
        <v>430</v>
      </c>
      <c r="J2899" t="s">
        <v>425</v>
      </c>
      <c r="L2899" t="s">
        <v>421</v>
      </c>
      <c r="M2899" t="s">
        <v>423</v>
      </c>
    </row>
    <row r="2900" spans="1:13" ht="15" customHeight="1" x14ac:dyDescent="0.25">
      <c r="A2900" s="82">
        <v>45175</v>
      </c>
      <c r="B2900" t="s">
        <v>427</v>
      </c>
      <c r="C2900" t="s">
        <v>455</v>
      </c>
      <c r="D2900" t="s">
        <v>421</v>
      </c>
      <c r="E2900" t="s">
        <v>428</v>
      </c>
      <c r="F2900" t="s">
        <v>424</v>
      </c>
      <c r="G2900" t="s">
        <v>514</v>
      </c>
      <c r="H2900" t="s">
        <v>426</v>
      </c>
      <c r="I2900" t="s">
        <v>430</v>
      </c>
      <c r="J2900" t="s">
        <v>425</v>
      </c>
      <c r="L2900" t="s">
        <v>421</v>
      </c>
      <c r="M2900" t="s">
        <v>423</v>
      </c>
    </row>
    <row r="2901" spans="1:13" ht="15" customHeight="1" x14ac:dyDescent="0.25">
      <c r="A2901" s="82">
        <v>45176</v>
      </c>
      <c r="B2901" t="s">
        <v>455</v>
      </c>
      <c r="C2901" t="s">
        <v>517</v>
      </c>
      <c r="D2901" t="s">
        <v>427</v>
      </c>
      <c r="E2901" t="s">
        <v>428</v>
      </c>
      <c r="F2901" t="s">
        <v>424</v>
      </c>
      <c r="G2901" t="s">
        <v>514</v>
      </c>
      <c r="H2901" t="s">
        <v>426</v>
      </c>
      <c r="I2901" t="s">
        <v>430</v>
      </c>
      <c r="J2901" t="s">
        <v>425</v>
      </c>
      <c r="L2901" t="s">
        <v>421</v>
      </c>
      <c r="M2901" t="s">
        <v>423</v>
      </c>
    </row>
    <row r="2902" spans="1:13" ht="15" customHeight="1" x14ac:dyDescent="0.25">
      <c r="A2902" s="82">
        <v>45177</v>
      </c>
      <c r="B2902" t="s">
        <v>424</v>
      </c>
      <c r="C2902" t="s">
        <v>514</v>
      </c>
      <c r="D2902" t="s">
        <v>455</v>
      </c>
      <c r="E2902" t="s">
        <v>425</v>
      </c>
      <c r="F2902" t="s">
        <v>424</v>
      </c>
      <c r="G2902" t="s">
        <v>426</v>
      </c>
      <c r="H2902" t="s">
        <v>427</v>
      </c>
      <c r="I2902" t="s">
        <v>421</v>
      </c>
      <c r="J2902" t="s">
        <v>425</v>
      </c>
      <c r="L2902" t="s">
        <v>423</v>
      </c>
      <c r="M2902" t="s">
        <v>421</v>
      </c>
    </row>
    <row r="2903" spans="1:13" ht="15" customHeight="1" x14ac:dyDescent="0.25">
      <c r="A2903" s="82">
        <v>45178</v>
      </c>
      <c r="B2903" t="s">
        <v>424</v>
      </c>
      <c r="C2903" t="s">
        <v>514</v>
      </c>
      <c r="D2903" t="s">
        <v>428</v>
      </c>
      <c r="E2903" t="s">
        <v>425</v>
      </c>
      <c r="F2903" t="s">
        <v>430</v>
      </c>
      <c r="G2903" t="s">
        <v>426</v>
      </c>
      <c r="H2903" t="s">
        <v>455</v>
      </c>
      <c r="I2903" t="s">
        <v>427</v>
      </c>
      <c r="J2903" t="s">
        <v>421</v>
      </c>
      <c r="L2903" t="s">
        <v>423</v>
      </c>
      <c r="M2903" t="s">
        <v>421</v>
      </c>
    </row>
    <row r="2904" spans="1:13" ht="15" customHeight="1" x14ac:dyDescent="0.25">
      <c r="A2904" s="82">
        <v>45179</v>
      </c>
      <c r="B2904" t="s">
        <v>424</v>
      </c>
      <c r="C2904" t="s">
        <v>514</v>
      </c>
      <c r="D2904" t="s">
        <v>428</v>
      </c>
      <c r="E2904" t="s">
        <v>425</v>
      </c>
      <c r="F2904" t="s">
        <v>430</v>
      </c>
      <c r="G2904" t="s">
        <v>426</v>
      </c>
      <c r="H2904" t="s">
        <v>427</v>
      </c>
      <c r="I2904" t="s">
        <v>455</v>
      </c>
      <c r="J2904" t="s">
        <v>421</v>
      </c>
      <c r="L2904" t="s">
        <v>423</v>
      </c>
      <c r="M2904" t="s">
        <v>421</v>
      </c>
    </row>
    <row r="2905" spans="1:13" ht="15" customHeight="1" x14ac:dyDescent="0.25">
      <c r="A2905" s="82">
        <v>45180</v>
      </c>
      <c r="B2905" t="s">
        <v>424</v>
      </c>
      <c r="C2905" t="s">
        <v>514</v>
      </c>
      <c r="D2905" t="s">
        <v>428</v>
      </c>
      <c r="E2905" t="s">
        <v>425</v>
      </c>
      <c r="F2905" t="s">
        <v>430</v>
      </c>
      <c r="G2905" t="s">
        <v>426</v>
      </c>
      <c r="H2905" t="s">
        <v>455</v>
      </c>
      <c r="I2905" t="s">
        <v>421</v>
      </c>
      <c r="J2905" t="s">
        <v>427</v>
      </c>
      <c r="L2905" t="s">
        <v>423</v>
      </c>
      <c r="M2905" t="s">
        <v>421</v>
      </c>
    </row>
    <row r="2906" spans="1:13" ht="15" customHeight="1" x14ac:dyDescent="0.25">
      <c r="A2906" s="82">
        <v>45181</v>
      </c>
      <c r="B2906" t="s">
        <v>424</v>
      </c>
      <c r="C2906" t="s">
        <v>514</v>
      </c>
      <c r="D2906" t="s">
        <v>428</v>
      </c>
      <c r="E2906" t="s">
        <v>425</v>
      </c>
      <c r="F2906" t="s">
        <v>430</v>
      </c>
      <c r="G2906" t="s">
        <v>426</v>
      </c>
      <c r="H2906" t="s">
        <v>421</v>
      </c>
      <c r="I2906" t="s">
        <v>427</v>
      </c>
      <c r="J2906" t="s">
        <v>455</v>
      </c>
      <c r="L2906" t="s">
        <v>423</v>
      </c>
      <c r="M2906" t="s">
        <v>421</v>
      </c>
    </row>
    <row r="2907" spans="1:13" ht="15" customHeight="1" x14ac:dyDescent="0.25">
      <c r="A2907" s="82">
        <v>45182</v>
      </c>
      <c r="B2907" t="s">
        <v>424</v>
      </c>
      <c r="C2907" t="s">
        <v>514</v>
      </c>
      <c r="D2907" t="s">
        <v>428</v>
      </c>
      <c r="E2907" t="s">
        <v>425</v>
      </c>
      <c r="F2907" t="s">
        <v>430</v>
      </c>
      <c r="G2907" t="s">
        <v>426</v>
      </c>
      <c r="H2907" t="s">
        <v>421</v>
      </c>
      <c r="I2907" t="s">
        <v>455</v>
      </c>
      <c r="J2907" t="s">
        <v>427</v>
      </c>
      <c r="L2907" t="s">
        <v>423</v>
      </c>
      <c r="M2907" t="s">
        <v>421</v>
      </c>
    </row>
    <row r="2908" spans="1:13" ht="15" customHeight="1" x14ac:dyDescent="0.25">
      <c r="A2908" s="82">
        <v>45183</v>
      </c>
      <c r="B2908" t="s">
        <v>424</v>
      </c>
      <c r="C2908" t="s">
        <v>514</v>
      </c>
      <c r="D2908" t="s">
        <v>428</v>
      </c>
      <c r="E2908" t="s">
        <v>425</v>
      </c>
      <c r="F2908" t="s">
        <v>430</v>
      </c>
      <c r="G2908" t="s">
        <v>426</v>
      </c>
      <c r="H2908" t="s">
        <v>427</v>
      </c>
      <c r="I2908" t="s">
        <v>517</v>
      </c>
      <c r="J2908" t="s">
        <v>455</v>
      </c>
      <c r="L2908" t="s">
        <v>421</v>
      </c>
      <c r="M2908" t="s">
        <v>423</v>
      </c>
    </row>
    <row r="2909" spans="1:13" ht="15" customHeight="1" x14ac:dyDescent="0.25">
      <c r="A2909" s="82">
        <v>45184</v>
      </c>
      <c r="B2909" t="s">
        <v>424</v>
      </c>
      <c r="C2909" t="s">
        <v>426</v>
      </c>
      <c r="D2909" t="s">
        <v>425</v>
      </c>
      <c r="E2909" t="s">
        <v>425</v>
      </c>
      <c r="F2909" t="s">
        <v>421</v>
      </c>
      <c r="G2909" t="s">
        <v>427</v>
      </c>
      <c r="H2909" t="s">
        <v>455</v>
      </c>
      <c r="I2909" t="s">
        <v>514</v>
      </c>
      <c r="J2909" t="s">
        <v>424</v>
      </c>
      <c r="L2909" t="s">
        <v>421</v>
      </c>
      <c r="M2909" t="s">
        <v>423</v>
      </c>
    </row>
    <row r="2910" spans="1:13" ht="15" customHeight="1" x14ac:dyDescent="0.25">
      <c r="A2910" s="82">
        <v>45185</v>
      </c>
      <c r="B2910" t="s">
        <v>430</v>
      </c>
      <c r="C2910" t="s">
        <v>426</v>
      </c>
      <c r="D2910" t="s">
        <v>425</v>
      </c>
      <c r="E2910" t="s">
        <v>421</v>
      </c>
      <c r="F2910" t="s">
        <v>427</v>
      </c>
      <c r="G2910" t="s">
        <v>455</v>
      </c>
      <c r="H2910" t="s">
        <v>428</v>
      </c>
      <c r="I2910" t="s">
        <v>514</v>
      </c>
      <c r="J2910" t="s">
        <v>424</v>
      </c>
      <c r="L2910" t="s">
        <v>421</v>
      </c>
      <c r="M2910" t="s">
        <v>423</v>
      </c>
    </row>
    <row r="2911" spans="1:13" ht="15" customHeight="1" x14ac:dyDescent="0.25">
      <c r="A2911" s="82">
        <v>45186</v>
      </c>
      <c r="B2911" t="s">
        <v>430</v>
      </c>
      <c r="C2911" t="s">
        <v>426</v>
      </c>
      <c r="D2911" t="s">
        <v>425</v>
      </c>
      <c r="E2911" t="s">
        <v>421</v>
      </c>
      <c r="F2911" t="s">
        <v>455</v>
      </c>
      <c r="G2911" t="s">
        <v>427</v>
      </c>
      <c r="H2911" t="s">
        <v>428</v>
      </c>
      <c r="I2911" t="s">
        <v>514</v>
      </c>
      <c r="J2911" t="s">
        <v>424</v>
      </c>
      <c r="L2911" t="s">
        <v>421</v>
      </c>
      <c r="M2911" t="s">
        <v>423</v>
      </c>
    </row>
    <row r="2912" spans="1:13" ht="15" customHeight="1" x14ac:dyDescent="0.25">
      <c r="A2912" s="82">
        <v>45187</v>
      </c>
      <c r="B2912" t="s">
        <v>430</v>
      </c>
      <c r="C2912" t="s">
        <v>426</v>
      </c>
      <c r="D2912" t="s">
        <v>425</v>
      </c>
      <c r="E2912" t="s">
        <v>427</v>
      </c>
      <c r="F2912" t="s">
        <v>421</v>
      </c>
      <c r="G2912" t="s">
        <v>455</v>
      </c>
      <c r="H2912" t="s">
        <v>428</v>
      </c>
      <c r="I2912" t="s">
        <v>429</v>
      </c>
      <c r="J2912" t="s">
        <v>424</v>
      </c>
      <c r="L2912" t="s">
        <v>421</v>
      </c>
      <c r="M2912" t="s">
        <v>423</v>
      </c>
    </row>
    <row r="2913" spans="1:13" ht="15" customHeight="1" x14ac:dyDescent="0.25">
      <c r="A2913" s="82">
        <v>45188</v>
      </c>
      <c r="B2913" t="s">
        <v>430</v>
      </c>
      <c r="C2913" t="s">
        <v>426</v>
      </c>
      <c r="D2913" t="s">
        <v>425</v>
      </c>
      <c r="E2913" t="s">
        <v>455</v>
      </c>
      <c r="F2913" t="s">
        <v>427</v>
      </c>
      <c r="G2913" t="s">
        <v>421</v>
      </c>
      <c r="H2913" t="s">
        <v>428</v>
      </c>
      <c r="I2913" t="s">
        <v>429</v>
      </c>
      <c r="J2913" t="s">
        <v>424</v>
      </c>
      <c r="L2913" t="s">
        <v>421</v>
      </c>
      <c r="M2913" t="s">
        <v>423</v>
      </c>
    </row>
    <row r="2914" spans="1:13" ht="15" customHeight="1" x14ac:dyDescent="0.25">
      <c r="A2914" s="82">
        <v>45189</v>
      </c>
      <c r="B2914" t="s">
        <v>430</v>
      </c>
      <c r="C2914" t="s">
        <v>426</v>
      </c>
      <c r="D2914" t="s">
        <v>425</v>
      </c>
      <c r="E2914" t="s">
        <v>427</v>
      </c>
      <c r="F2914" t="s">
        <v>455</v>
      </c>
      <c r="G2914" t="s">
        <v>421</v>
      </c>
      <c r="H2914" t="s">
        <v>428</v>
      </c>
      <c r="I2914" t="s">
        <v>429</v>
      </c>
      <c r="J2914" t="s">
        <v>424</v>
      </c>
      <c r="L2914" t="s">
        <v>423</v>
      </c>
      <c r="M2914" t="s">
        <v>421</v>
      </c>
    </row>
    <row r="2915" spans="1:13" ht="15" customHeight="1" x14ac:dyDescent="0.25">
      <c r="A2915" s="82">
        <v>45190</v>
      </c>
      <c r="B2915" t="s">
        <v>430</v>
      </c>
      <c r="C2915" t="s">
        <v>426</v>
      </c>
      <c r="D2915" t="s">
        <v>425</v>
      </c>
      <c r="E2915" t="s">
        <v>455</v>
      </c>
      <c r="F2915" t="s">
        <v>421</v>
      </c>
      <c r="G2915" t="s">
        <v>427</v>
      </c>
      <c r="H2915" t="s">
        <v>428</v>
      </c>
      <c r="I2915" t="s">
        <v>429</v>
      </c>
      <c r="J2915" t="s">
        <v>424</v>
      </c>
      <c r="L2915" t="s">
        <v>423</v>
      </c>
      <c r="M2915" t="s">
        <v>421</v>
      </c>
    </row>
    <row r="2916" spans="1:13" ht="15" customHeight="1" x14ac:dyDescent="0.25">
      <c r="A2916" s="82">
        <v>45191</v>
      </c>
      <c r="B2916" t="s">
        <v>421</v>
      </c>
      <c r="C2916" t="s">
        <v>427</v>
      </c>
      <c r="D2916" t="s">
        <v>425</v>
      </c>
      <c r="E2916" t="s">
        <v>424</v>
      </c>
      <c r="F2916" t="s">
        <v>429</v>
      </c>
      <c r="G2916" t="s">
        <v>455</v>
      </c>
      <c r="H2916" t="s">
        <v>425</v>
      </c>
      <c r="I2916" t="s">
        <v>426</v>
      </c>
      <c r="J2916" t="s">
        <v>424</v>
      </c>
      <c r="L2916" t="s">
        <v>428</v>
      </c>
      <c r="M2916" t="s">
        <v>421</v>
      </c>
    </row>
    <row r="2917" spans="1:13" ht="15" customHeight="1" x14ac:dyDescent="0.25">
      <c r="A2917" s="82">
        <v>45192</v>
      </c>
      <c r="B2917" t="s">
        <v>427</v>
      </c>
      <c r="C2917" t="s">
        <v>455</v>
      </c>
      <c r="D2917" t="s">
        <v>421</v>
      </c>
      <c r="E2917" t="s">
        <v>424</v>
      </c>
      <c r="F2917" t="s">
        <v>429</v>
      </c>
      <c r="G2917" t="s">
        <v>428</v>
      </c>
      <c r="H2917" t="s">
        <v>425</v>
      </c>
      <c r="I2917" t="s">
        <v>426</v>
      </c>
      <c r="J2917" t="s">
        <v>430</v>
      </c>
      <c r="L2917" t="s">
        <v>428</v>
      </c>
      <c r="M2917" t="s">
        <v>421</v>
      </c>
    </row>
    <row r="2918" spans="1:13" ht="15" customHeight="1" x14ac:dyDescent="0.25">
      <c r="A2918" s="82">
        <v>45193</v>
      </c>
      <c r="B2918" t="s">
        <v>455</v>
      </c>
      <c r="C2918" t="s">
        <v>427</v>
      </c>
      <c r="D2918" t="s">
        <v>421</v>
      </c>
      <c r="E2918" t="s">
        <v>424</v>
      </c>
      <c r="F2918" t="s">
        <v>429</v>
      </c>
      <c r="G2918" t="s">
        <v>428</v>
      </c>
      <c r="H2918" t="s">
        <v>425</v>
      </c>
      <c r="I2918" t="s">
        <v>426</v>
      </c>
      <c r="J2918" t="s">
        <v>430</v>
      </c>
      <c r="L2918" t="s">
        <v>428</v>
      </c>
      <c r="M2918" t="s">
        <v>421</v>
      </c>
    </row>
    <row r="2919" spans="1:13" ht="15" customHeight="1" x14ac:dyDescent="0.25">
      <c r="A2919" s="82">
        <v>45194</v>
      </c>
      <c r="B2919" t="s">
        <v>421</v>
      </c>
      <c r="C2919" t="s">
        <v>455</v>
      </c>
      <c r="D2919" t="s">
        <v>427</v>
      </c>
      <c r="E2919" t="s">
        <v>424</v>
      </c>
      <c r="F2919" t="s">
        <v>429</v>
      </c>
      <c r="G2919" t="s">
        <v>428</v>
      </c>
      <c r="H2919" t="s">
        <v>425</v>
      </c>
      <c r="I2919" t="s">
        <v>426</v>
      </c>
      <c r="J2919" t="s">
        <v>430</v>
      </c>
      <c r="L2919" t="s">
        <v>428</v>
      </c>
      <c r="M2919" t="s">
        <v>421</v>
      </c>
    </row>
    <row r="2920" spans="1:13" ht="15" customHeight="1" x14ac:dyDescent="0.25">
      <c r="A2920" s="82">
        <v>45195</v>
      </c>
      <c r="B2920" t="s">
        <v>427</v>
      </c>
      <c r="C2920" t="s">
        <v>421</v>
      </c>
      <c r="D2920" t="s">
        <v>455</v>
      </c>
      <c r="E2920" t="s">
        <v>424</v>
      </c>
      <c r="F2920" t="s">
        <v>429</v>
      </c>
      <c r="G2920" t="s">
        <v>428</v>
      </c>
      <c r="H2920" t="s">
        <v>425</v>
      </c>
      <c r="I2920" t="s">
        <v>426</v>
      </c>
      <c r="J2920" t="s">
        <v>430</v>
      </c>
      <c r="L2920" t="s">
        <v>421</v>
      </c>
      <c r="M2920" t="s">
        <v>423</v>
      </c>
    </row>
    <row r="2921" spans="1:13" ht="15" customHeight="1" x14ac:dyDescent="0.25">
      <c r="A2921" s="82">
        <v>45196</v>
      </c>
      <c r="B2921" t="s">
        <v>455</v>
      </c>
      <c r="C2921" t="s">
        <v>421</v>
      </c>
      <c r="D2921" t="s">
        <v>427</v>
      </c>
      <c r="E2921" t="s">
        <v>424</v>
      </c>
      <c r="F2921" t="s">
        <v>429</v>
      </c>
      <c r="G2921" t="s">
        <v>428</v>
      </c>
      <c r="H2921" t="s">
        <v>425</v>
      </c>
      <c r="I2921" t="s">
        <v>426</v>
      </c>
      <c r="J2921" t="s">
        <v>430</v>
      </c>
      <c r="L2921" t="s">
        <v>421</v>
      </c>
      <c r="M2921" t="s">
        <v>423</v>
      </c>
    </row>
    <row r="2922" spans="1:13" ht="15" customHeight="1" x14ac:dyDescent="0.25">
      <c r="A2922" s="82">
        <v>45197</v>
      </c>
      <c r="B2922" t="s">
        <v>421</v>
      </c>
      <c r="C2922" t="s">
        <v>427</v>
      </c>
      <c r="D2922" t="s">
        <v>455</v>
      </c>
      <c r="E2922" t="s">
        <v>424</v>
      </c>
      <c r="F2922" t="s">
        <v>429</v>
      </c>
      <c r="G2922" t="s">
        <v>428</v>
      </c>
      <c r="H2922" t="s">
        <v>425</v>
      </c>
      <c r="I2922" t="s">
        <v>426</v>
      </c>
      <c r="J2922" t="s">
        <v>430</v>
      </c>
      <c r="L2922" t="s">
        <v>421</v>
      </c>
      <c r="M2922" t="s">
        <v>423</v>
      </c>
    </row>
    <row r="2923" spans="1:13" ht="15" customHeight="1" x14ac:dyDescent="0.25">
      <c r="A2923" s="82">
        <v>45198</v>
      </c>
      <c r="B2923" t="s">
        <v>429</v>
      </c>
      <c r="C2923" t="s">
        <v>455</v>
      </c>
      <c r="D2923" t="s">
        <v>424</v>
      </c>
      <c r="E2923" t="s">
        <v>424</v>
      </c>
      <c r="F2923" t="s">
        <v>426</v>
      </c>
      <c r="G2923" t="s">
        <v>425</v>
      </c>
      <c r="H2923" t="s">
        <v>425</v>
      </c>
      <c r="I2923" t="s">
        <v>427</v>
      </c>
      <c r="J2923" t="s">
        <v>421</v>
      </c>
      <c r="L2923" t="s">
        <v>421</v>
      </c>
      <c r="M2923" t="s">
        <v>423</v>
      </c>
    </row>
    <row r="2924" spans="1:13" ht="15" customHeight="1" x14ac:dyDescent="0.25">
      <c r="A2924" s="82">
        <v>45199</v>
      </c>
      <c r="B2924" t="s">
        <v>429</v>
      </c>
      <c r="C2924" t="s">
        <v>428</v>
      </c>
      <c r="D2924" t="s">
        <v>424</v>
      </c>
      <c r="E2924" t="s">
        <v>430</v>
      </c>
      <c r="F2924" t="s">
        <v>426</v>
      </c>
      <c r="G2924" t="s">
        <v>425</v>
      </c>
      <c r="H2924" t="s">
        <v>421</v>
      </c>
      <c r="I2924" t="s">
        <v>455</v>
      </c>
      <c r="J2924" t="s">
        <v>427</v>
      </c>
      <c r="L2924" t="s">
        <v>421</v>
      </c>
      <c r="M2924" t="s">
        <v>423</v>
      </c>
    </row>
    <row r="2925" spans="1:13" ht="15" customHeight="1" x14ac:dyDescent="0.25">
      <c r="A2925" s="82">
        <v>45200</v>
      </c>
      <c r="B2925" t="s">
        <v>429</v>
      </c>
      <c r="C2925" t="s">
        <v>428</v>
      </c>
      <c r="D2925" t="s">
        <v>424</v>
      </c>
      <c r="E2925" t="s">
        <v>430</v>
      </c>
      <c r="F2925" t="s">
        <v>426</v>
      </c>
      <c r="G2925" t="s">
        <v>425</v>
      </c>
      <c r="H2925" t="s">
        <v>421</v>
      </c>
      <c r="I2925" t="s">
        <v>427</v>
      </c>
      <c r="J2925" t="s">
        <v>455</v>
      </c>
      <c r="L2925" t="s">
        <v>421</v>
      </c>
      <c r="M2925" t="s">
        <v>423</v>
      </c>
    </row>
    <row r="2926" spans="1:13" ht="15" customHeight="1" x14ac:dyDescent="0.25">
      <c r="A2926" s="82">
        <v>45201</v>
      </c>
      <c r="B2926" t="s">
        <v>429</v>
      </c>
      <c r="C2926" t="s">
        <v>428</v>
      </c>
      <c r="D2926" t="s">
        <v>424</v>
      </c>
      <c r="E2926" t="s">
        <v>430</v>
      </c>
      <c r="F2926" t="s">
        <v>426</v>
      </c>
      <c r="G2926" t="s">
        <v>425</v>
      </c>
      <c r="H2926" t="s">
        <v>427</v>
      </c>
      <c r="I2926" t="s">
        <v>455</v>
      </c>
      <c r="J2926" t="s">
        <v>421</v>
      </c>
      <c r="L2926" t="s">
        <v>423</v>
      </c>
      <c r="M2926" t="s">
        <v>421</v>
      </c>
    </row>
    <row r="2927" spans="1:13" ht="15" customHeight="1" x14ac:dyDescent="0.25">
      <c r="A2927" s="82">
        <v>45202</v>
      </c>
      <c r="B2927" t="s">
        <v>429</v>
      </c>
      <c r="C2927" t="s">
        <v>428</v>
      </c>
      <c r="D2927" t="s">
        <v>424</v>
      </c>
      <c r="E2927" t="s">
        <v>430</v>
      </c>
      <c r="F2927" t="s">
        <v>426</v>
      </c>
      <c r="G2927" t="s">
        <v>425</v>
      </c>
      <c r="H2927" t="s">
        <v>455</v>
      </c>
      <c r="I2927" t="s">
        <v>421</v>
      </c>
      <c r="J2927" t="s">
        <v>427</v>
      </c>
      <c r="L2927" t="s">
        <v>423</v>
      </c>
      <c r="M2927" t="s">
        <v>421</v>
      </c>
    </row>
    <row r="2928" spans="1:13" ht="15" customHeight="1" x14ac:dyDescent="0.25">
      <c r="A2928" s="82">
        <v>45203</v>
      </c>
      <c r="B2928" t="s">
        <v>429</v>
      </c>
      <c r="C2928" t="s">
        <v>428</v>
      </c>
      <c r="D2928" t="s">
        <v>424</v>
      </c>
      <c r="E2928" t="s">
        <v>430</v>
      </c>
      <c r="F2928" t="s">
        <v>426</v>
      </c>
      <c r="G2928" t="s">
        <v>425</v>
      </c>
      <c r="H2928" t="s">
        <v>427</v>
      </c>
      <c r="I2928" t="s">
        <v>421</v>
      </c>
      <c r="J2928" t="s">
        <v>455</v>
      </c>
      <c r="L2928" t="s">
        <v>423</v>
      </c>
      <c r="M2928" t="s">
        <v>421</v>
      </c>
    </row>
    <row r="2929" spans="1:13" ht="15" customHeight="1" x14ac:dyDescent="0.25">
      <c r="A2929" s="82">
        <v>45204</v>
      </c>
      <c r="B2929" t="s">
        <v>429</v>
      </c>
      <c r="C2929" t="s">
        <v>428</v>
      </c>
      <c r="D2929" t="s">
        <v>424</v>
      </c>
      <c r="E2929" t="s">
        <v>430</v>
      </c>
      <c r="F2929" t="s">
        <v>426</v>
      </c>
      <c r="G2929" t="s">
        <v>425</v>
      </c>
      <c r="H2929" t="s">
        <v>455</v>
      </c>
      <c r="I2929" t="s">
        <v>427</v>
      </c>
      <c r="J2929" t="s">
        <v>421</v>
      </c>
      <c r="L2929" t="s">
        <v>423</v>
      </c>
      <c r="M2929" t="s">
        <v>421</v>
      </c>
    </row>
    <row r="2930" spans="1:13" ht="15" customHeight="1" x14ac:dyDescent="0.25">
      <c r="A2930" s="82">
        <v>45205</v>
      </c>
      <c r="B2930" t="s">
        <v>426</v>
      </c>
      <c r="C2930" t="s">
        <v>425</v>
      </c>
      <c r="D2930" t="s">
        <v>424</v>
      </c>
      <c r="E2930" t="s">
        <v>421</v>
      </c>
      <c r="F2930" t="s">
        <v>427</v>
      </c>
      <c r="G2930" t="s">
        <v>425</v>
      </c>
      <c r="H2930" t="s">
        <v>424</v>
      </c>
      <c r="I2930" t="s">
        <v>455</v>
      </c>
      <c r="J2930" t="s">
        <v>429</v>
      </c>
      <c r="L2930" t="s">
        <v>421</v>
      </c>
      <c r="M2930" t="s">
        <v>423</v>
      </c>
    </row>
    <row r="2931" spans="1:13" ht="15" customHeight="1" x14ac:dyDescent="0.25">
      <c r="A2931" s="82">
        <v>45206</v>
      </c>
      <c r="B2931" t="s">
        <v>426</v>
      </c>
      <c r="C2931" t="s">
        <v>425</v>
      </c>
      <c r="D2931" t="s">
        <v>430</v>
      </c>
      <c r="E2931" t="s">
        <v>427</v>
      </c>
      <c r="F2931" t="s">
        <v>455</v>
      </c>
      <c r="G2931" t="s">
        <v>421</v>
      </c>
      <c r="H2931" t="s">
        <v>424</v>
      </c>
      <c r="I2931" t="s">
        <v>428</v>
      </c>
      <c r="J2931" t="s">
        <v>429</v>
      </c>
      <c r="L2931" t="s">
        <v>421</v>
      </c>
      <c r="M2931" t="s">
        <v>423</v>
      </c>
    </row>
    <row r="2932" spans="1:13" ht="15" customHeight="1" x14ac:dyDescent="0.25">
      <c r="A2932" s="82">
        <v>45207</v>
      </c>
      <c r="B2932" t="s">
        <v>426</v>
      </c>
      <c r="C2932" t="s">
        <v>425</v>
      </c>
      <c r="D2932" t="s">
        <v>430</v>
      </c>
      <c r="E2932" t="s">
        <v>455</v>
      </c>
      <c r="F2932" t="s">
        <v>427</v>
      </c>
      <c r="G2932" t="s">
        <v>421</v>
      </c>
      <c r="H2932" t="s">
        <v>424</v>
      </c>
      <c r="I2932" t="s">
        <v>428</v>
      </c>
      <c r="J2932" t="s">
        <v>429</v>
      </c>
      <c r="L2932" t="s">
        <v>421</v>
      </c>
      <c r="M2932" t="s">
        <v>423</v>
      </c>
    </row>
    <row r="2933" spans="1:13" ht="15" customHeight="1" x14ac:dyDescent="0.25">
      <c r="A2933" s="82">
        <v>45208</v>
      </c>
      <c r="B2933" t="s">
        <v>426</v>
      </c>
      <c r="C2933" t="s">
        <v>425</v>
      </c>
      <c r="D2933" t="s">
        <v>430</v>
      </c>
      <c r="E2933" t="s">
        <v>421</v>
      </c>
      <c r="F2933" t="s">
        <v>455</v>
      </c>
      <c r="G2933" t="s">
        <v>427</v>
      </c>
      <c r="H2933" t="s">
        <v>424</v>
      </c>
      <c r="I2933" t="s">
        <v>428</v>
      </c>
      <c r="J2933" t="s">
        <v>429</v>
      </c>
      <c r="L2933" t="s">
        <v>421</v>
      </c>
      <c r="M2933" t="s">
        <v>423</v>
      </c>
    </row>
    <row r="2934" spans="1:13" ht="15" customHeight="1" x14ac:dyDescent="0.25">
      <c r="A2934" s="82">
        <v>45209</v>
      </c>
      <c r="B2934" t="s">
        <v>426</v>
      </c>
      <c r="C2934" t="s">
        <v>425</v>
      </c>
      <c r="D2934" t="s">
        <v>430</v>
      </c>
      <c r="E2934" t="s">
        <v>427</v>
      </c>
      <c r="F2934" t="s">
        <v>421</v>
      </c>
      <c r="G2934" t="s">
        <v>455</v>
      </c>
      <c r="H2934" t="s">
        <v>424</v>
      </c>
      <c r="I2934" t="s">
        <v>428</v>
      </c>
      <c r="J2934" t="s">
        <v>429</v>
      </c>
      <c r="L2934" t="s">
        <v>421</v>
      </c>
      <c r="M2934" t="s">
        <v>423</v>
      </c>
    </row>
    <row r="2935" spans="1:13" ht="15" customHeight="1" x14ac:dyDescent="0.25">
      <c r="A2935" s="82">
        <v>45210</v>
      </c>
      <c r="B2935" t="s">
        <v>426</v>
      </c>
      <c r="C2935" t="s">
        <v>425</v>
      </c>
      <c r="D2935" t="s">
        <v>430</v>
      </c>
      <c r="E2935" t="s">
        <v>455</v>
      </c>
      <c r="F2935" t="s">
        <v>421</v>
      </c>
      <c r="G2935" t="s">
        <v>427</v>
      </c>
      <c r="H2935" t="s">
        <v>424</v>
      </c>
      <c r="I2935" t="s">
        <v>428</v>
      </c>
      <c r="J2935" t="s">
        <v>429</v>
      </c>
      <c r="L2935" t="s">
        <v>421</v>
      </c>
      <c r="M2935" t="s">
        <v>423</v>
      </c>
    </row>
    <row r="2936" spans="1:13" ht="15" customHeight="1" x14ac:dyDescent="0.25">
      <c r="A2936" s="82">
        <v>45211</v>
      </c>
      <c r="B2936" t="s">
        <v>426</v>
      </c>
      <c r="C2936" t="s">
        <v>425</v>
      </c>
      <c r="D2936" t="s">
        <v>430</v>
      </c>
      <c r="E2936" t="s">
        <v>421</v>
      </c>
      <c r="F2936" t="s">
        <v>427</v>
      </c>
      <c r="G2936" t="s">
        <v>455</v>
      </c>
      <c r="H2936" t="s">
        <v>424</v>
      </c>
      <c r="I2936" t="s">
        <v>428</v>
      </c>
      <c r="J2936" t="s">
        <v>429</v>
      </c>
      <c r="L2936" t="s">
        <v>423</v>
      </c>
      <c r="M2936" t="s">
        <v>421</v>
      </c>
    </row>
    <row r="2937" spans="1:13" ht="15" customHeight="1" x14ac:dyDescent="0.25">
      <c r="A2937" s="82">
        <v>45212</v>
      </c>
      <c r="B2937" t="s">
        <v>427</v>
      </c>
      <c r="C2937" t="s">
        <v>425</v>
      </c>
      <c r="D2937" t="s">
        <v>421</v>
      </c>
      <c r="E2937" t="s">
        <v>429</v>
      </c>
      <c r="F2937" t="s">
        <v>455</v>
      </c>
      <c r="G2937" t="s">
        <v>424</v>
      </c>
      <c r="H2937" t="s">
        <v>424</v>
      </c>
      <c r="I2937" t="s">
        <v>425</v>
      </c>
      <c r="J2937" t="s">
        <v>426</v>
      </c>
      <c r="L2937" t="s">
        <v>423</v>
      </c>
      <c r="M2937" t="s">
        <v>421</v>
      </c>
    </row>
    <row r="2938" spans="1:13" ht="15" customHeight="1" x14ac:dyDescent="0.25">
      <c r="A2938" s="82">
        <v>45213</v>
      </c>
      <c r="B2938" t="s">
        <v>455</v>
      </c>
      <c r="C2938" t="s">
        <v>421</v>
      </c>
      <c r="D2938" t="s">
        <v>427</v>
      </c>
      <c r="E2938" t="s">
        <v>429</v>
      </c>
      <c r="F2938" t="s">
        <v>428</v>
      </c>
      <c r="G2938" t="s">
        <v>424</v>
      </c>
      <c r="H2938" t="s">
        <v>430</v>
      </c>
      <c r="I2938" t="s">
        <v>425</v>
      </c>
      <c r="J2938" t="s">
        <v>426</v>
      </c>
      <c r="L2938" t="s">
        <v>423</v>
      </c>
      <c r="M2938" t="s">
        <v>421</v>
      </c>
    </row>
    <row r="2939" spans="1:13" ht="15" customHeight="1" x14ac:dyDescent="0.25">
      <c r="A2939" s="82">
        <v>45214</v>
      </c>
      <c r="B2939" t="s">
        <v>427</v>
      </c>
      <c r="C2939" t="s">
        <v>421</v>
      </c>
      <c r="D2939" t="s">
        <v>455</v>
      </c>
      <c r="E2939" t="s">
        <v>429</v>
      </c>
      <c r="F2939" t="s">
        <v>428</v>
      </c>
      <c r="G2939" t="s">
        <v>424</v>
      </c>
      <c r="H2939" t="s">
        <v>430</v>
      </c>
      <c r="I2939" t="s">
        <v>425</v>
      </c>
      <c r="J2939" t="s">
        <v>426</v>
      </c>
      <c r="L2939" t="s">
        <v>423</v>
      </c>
      <c r="M2939" t="s">
        <v>421</v>
      </c>
    </row>
    <row r="2940" spans="1:13" ht="15" customHeight="1" x14ac:dyDescent="0.25">
      <c r="A2940" s="82">
        <v>45215</v>
      </c>
      <c r="B2940" t="s">
        <v>455</v>
      </c>
      <c r="C2940" t="s">
        <v>427</v>
      </c>
      <c r="D2940" t="s">
        <v>421</v>
      </c>
      <c r="E2940" t="s">
        <v>429</v>
      </c>
      <c r="F2940" t="s">
        <v>428</v>
      </c>
      <c r="G2940" t="s">
        <v>424</v>
      </c>
      <c r="H2940" t="s">
        <v>430</v>
      </c>
      <c r="I2940" t="s">
        <v>425</v>
      </c>
      <c r="J2940" t="s">
        <v>426</v>
      </c>
      <c r="L2940" t="s">
        <v>423</v>
      </c>
      <c r="M2940" t="s">
        <v>421</v>
      </c>
    </row>
    <row r="2941" spans="1:13" ht="15" customHeight="1" x14ac:dyDescent="0.25">
      <c r="A2941" s="82">
        <v>45216</v>
      </c>
      <c r="B2941" t="s">
        <v>421</v>
      </c>
      <c r="C2941" t="s">
        <v>455</v>
      </c>
      <c r="D2941" t="s">
        <v>427</v>
      </c>
      <c r="E2941" t="s">
        <v>429</v>
      </c>
      <c r="F2941" t="s">
        <v>428</v>
      </c>
      <c r="G2941" t="s">
        <v>424</v>
      </c>
      <c r="H2941" t="s">
        <v>430</v>
      </c>
      <c r="I2941" t="s">
        <v>425</v>
      </c>
      <c r="J2941" t="s">
        <v>426</v>
      </c>
      <c r="L2941" t="s">
        <v>423</v>
      </c>
      <c r="M2941" t="s">
        <v>421</v>
      </c>
    </row>
    <row r="2942" spans="1:13" ht="15" customHeight="1" x14ac:dyDescent="0.25">
      <c r="A2942" s="82">
        <v>45217</v>
      </c>
      <c r="B2942" t="s">
        <v>421</v>
      </c>
      <c r="C2942" t="s">
        <v>427</v>
      </c>
      <c r="D2942" t="s">
        <v>455</v>
      </c>
      <c r="E2942" t="s">
        <v>429</v>
      </c>
      <c r="F2942" t="s">
        <v>428</v>
      </c>
      <c r="G2942" t="s">
        <v>424</v>
      </c>
      <c r="H2942" t="s">
        <v>430</v>
      </c>
      <c r="I2942" t="s">
        <v>425</v>
      </c>
      <c r="J2942" t="s">
        <v>426</v>
      </c>
      <c r="L2942" t="s">
        <v>421</v>
      </c>
      <c r="M2942" t="s">
        <v>423</v>
      </c>
    </row>
    <row r="2943" spans="1:13" ht="15" customHeight="1" x14ac:dyDescent="0.25">
      <c r="A2943" s="82">
        <v>45218</v>
      </c>
      <c r="B2943" t="s">
        <v>427</v>
      </c>
      <c r="C2943" t="s">
        <v>455</v>
      </c>
      <c r="D2943" t="s">
        <v>421</v>
      </c>
      <c r="E2943" t="s">
        <v>429</v>
      </c>
      <c r="F2943" t="s">
        <v>428</v>
      </c>
      <c r="G2943" t="s">
        <v>424</v>
      </c>
      <c r="H2943" t="s">
        <v>430</v>
      </c>
      <c r="I2943" t="s">
        <v>425</v>
      </c>
      <c r="J2943" t="s">
        <v>426</v>
      </c>
      <c r="L2943" t="s">
        <v>421</v>
      </c>
      <c r="M2943" t="s">
        <v>423</v>
      </c>
    </row>
    <row r="2944" spans="1:13" ht="15" customHeight="1" x14ac:dyDescent="0.25">
      <c r="A2944" s="82">
        <v>45219</v>
      </c>
      <c r="B2944" t="s">
        <v>455</v>
      </c>
      <c r="C2944" t="s">
        <v>424</v>
      </c>
      <c r="D2944" t="s">
        <v>429</v>
      </c>
      <c r="E2944" t="s">
        <v>426</v>
      </c>
      <c r="F2944" t="s">
        <v>425</v>
      </c>
      <c r="G2944" t="s">
        <v>424</v>
      </c>
      <c r="H2944" t="s">
        <v>421</v>
      </c>
      <c r="I2944" t="s">
        <v>425</v>
      </c>
      <c r="J2944" t="s">
        <v>427</v>
      </c>
      <c r="L2944" t="s">
        <v>421</v>
      </c>
      <c r="M2944" t="s">
        <v>428</v>
      </c>
    </row>
    <row r="2945" spans="1:13" ht="15" customHeight="1" x14ac:dyDescent="0.25">
      <c r="A2945" s="82">
        <v>45220</v>
      </c>
      <c r="B2945" t="s">
        <v>428</v>
      </c>
      <c r="C2945" t="s">
        <v>424</v>
      </c>
      <c r="D2945" t="s">
        <v>429</v>
      </c>
      <c r="E2945" t="s">
        <v>426</v>
      </c>
      <c r="F2945" t="s">
        <v>425</v>
      </c>
      <c r="G2945" t="s">
        <v>430</v>
      </c>
      <c r="H2945" t="s">
        <v>427</v>
      </c>
      <c r="I2945" t="s">
        <v>421</v>
      </c>
      <c r="J2945" t="s">
        <v>455</v>
      </c>
      <c r="L2945" t="s">
        <v>421</v>
      </c>
      <c r="M2945" t="s">
        <v>428</v>
      </c>
    </row>
    <row r="2946" spans="1:13" ht="15" customHeight="1" x14ac:dyDescent="0.25">
      <c r="A2946" s="82">
        <v>45221</v>
      </c>
      <c r="B2946" t="s">
        <v>428</v>
      </c>
      <c r="C2946" t="s">
        <v>424</v>
      </c>
      <c r="D2946" t="s">
        <v>429</v>
      </c>
      <c r="E2946" t="s">
        <v>426</v>
      </c>
      <c r="F2946" t="s">
        <v>425</v>
      </c>
      <c r="G2946" t="s">
        <v>430</v>
      </c>
      <c r="H2946" t="s">
        <v>455</v>
      </c>
      <c r="I2946" t="s">
        <v>421</v>
      </c>
      <c r="J2946" t="s">
        <v>427</v>
      </c>
      <c r="L2946" t="s">
        <v>421</v>
      </c>
      <c r="M2946" t="s">
        <v>428</v>
      </c>
    </row>
    <row r="2947" spans="1:13" ht="15" customHeight="1" x14ac:dyDescent="0.25">
      <c r="A2947" s="82">
        <v>45222</v>
      </c>
      <c r="B2947" t="s">
        <v>428</v>
      </c>
      <c r="C2947" t="s">
        <v>424</v>
      </c>
      <c r="D2947" t="s">
        <v>429</v>
      </c>
      <c r="E2947" t="s">
        <v>426</v>
      </c>
      <c r="F2947" t="s">
        <v>425</v>
      </c>
      <c r="G2947" t="s">
        <v>430</v>
      </c>
      <c r="H2947" t="s">
        <v>421</v>
      </c>
      <c r="I2947" t="s">
        <v>427</v>
      </c>
      <c r="J2947" t="s">
        <v>455</v>
      </c>
      <c r="L2947" t="s">
        <v>421</v>
      </c>
      <c r="M2947" t="s">
        <v>428</v>
      </c>
    </row>
    <row r="2948" spans="1:13" ht="15" customHeight="1" x14ac:dyDescent="0.25">
      <c r="A2948" s="82">
        <v>45223</v>
      </c>
      <c r="B2948" t="s">
        <v>428</v>
      </c>
      <c r="C2948" t="s">
        <v>424</v>
      </c>
      <c r="D2948" t="s">
        <v>429</v>
      </c>
      <c r="E2948" t="s">
        <v>426</v>
      </c>
      <c r="F2948" t="s">
        <v>425</v>
      </c>
      <c r="G2948" t="s">
        <v>430</v>
      </c>
      <c r="H2948" t="s">
        <v>427</v>
      </c>
      <c r="I2948" t="s">
        <v>455</v>
      </c>
      <c r="J2948" t="s">
        <v>421</v>
      </c>
      <c r="L2948" t="s">
        <v>423</v>
      </c>
      <c r="M2948" t="s">
        <v>421</v>
      </c>
    </row>
    <row r="2949" spans="1:13" ht="15" customHeight="1" x14ac:dyDescent="0.25">
      <c r="A2949" s="82">
        <v>45224</v>
      </c>
      <c r="B2949" t="s">
        <v>428</v>
      </c>
      <c r="C2949" t="s">
        <v>424</v>
      </c>
      <c r="D2949" t="s">
        <v>429</v>
      </c>
      <c r="E2949" t="s">
        <v>426</v>
      </c>
      <c r="F2949" t="s">
        <v>425</v>
      </c>
      <c r="G2949" t="s">
        <v>430</v>
      </c>
      <c r="H2949" t="s">
        <v>455</v>
      </c>
      <c r="I2949" t="s">
        <v>427</v>
      </c>
      <c r="J2949" t="s">
        <v>421</v>
      </c>
      <c r="L2949" t="s">
        <v>423</v>
      </c>
      <c r="M2949" t="s">
        <v>421</v>
      </c>
    </row>
    <row r="2950" spans="1:13" ht="15" customHeight="1" x14ac:dyDescent="0.25">
      <c r="A2950" s="82">
        <v>45225</v>
      </c>
      <c r="B2950" t="s">
        <v>428</v>
      </c>
      <c r="C2950" t="s">
        <v>424</v>
      </c>
      <c r="D2950" t="s">
        <v>429</v>
      </c>
      <c r="E2950" t="s">
        <v>426</v>
      </c>
      <c r="F2950" t="s">
        <v>425</v>
      </c>
      <c r="G2950" t="s">
        <v>430</v>
      </c>
      <c r="H2950" t="s">
        <v>421</v>
      </c>
      <c r="I2950" t="s">
        <v>455</v>
      </c>
      <c r="J2950" t="s">
        <v>427</v>
      </c>
      <c r="L2950" t="s">
        <v>423</v>
      </c>
      <c r="M2950" t="s">
        <v>421</v>
      </c>
    </row>
    <row r="2951" spans="1:13" ht="15" customHeight="1" x14ac:dyDescent="0.25">
      <c r="A2951" s="82">
        <v>45226</v>
      </c>
      <c r="B2951" t="s">
        <v>425</v>
      </c>
      <c r="C2951" t="s">
        <v>424</v>
      </c>
      <c r="D2951" t="s">
        <v>426</v>
      </c>
      <c r="E2951" t="s">
        <v>427</v>
      </c>
      <c r="F2951" t="s">
        <v>425</v>
      </c>
      <c r="G2951" t="s">
        <v>421</v>
      </c>
      <c r="H2951" t="s">
        <v>429</v>
      </c>
      <c r="I2951" t="s">
        <v>424</v>
      </c>
      <c r="J2951" t="s">
        <v>455</v>
      </c>
      <c r="L2951" t="s">
        <v>423</v>
      </c>
      <c r="M2951" t="s">
        <v>421</v>
      </c>
    </row>
    <row r="2952" spans="1:13" ht="15" customHeight="1" x14ac:dyDescent="0.25">
      <c r="A2952" s="82">
        <v>45227</v>
      </c>
      <c r="B2952" t="s">
        <v>425</v>
      </c>
      <c r="C2952" t="s">
        <v>430</v>
      </c>
      <c r="D2952" t="s">
        <v>426</v>
      </c>
      <c r="E2952" t="s">
        <v>455</v>
      </c>
      <c r="F2952" t="s">
        <v>421</v>
      </c>
      <c r="G2952" t="s">
        <v>427</v>
      </c>
      <c r="H2952" t="s">
        <v>429</v>
      </c>
      <c r="I2952" t="s">
        <v>424</v>
      </c>
      <c r="J2952" t="s">
        <v>428</v>
      </c>
      <c r="L2952" t="s">
        <v>423</v>
      </c>
      <c r="M2952" t="s">
        <v>421</v>
      </c>
    </row>
    <row r="2953" spans="1:13" ht="15" customHeight="1" x14ac:dyDescent="0.25">
      <c r="A2953" s="82">
        <v>45228</v>
      </c>
      <c r="B2953" t="s">
        <v>425</v>
      </c>
      <c r="C2953" t="s">
        <v>430</v>
      </c>
      <c r="D2953" t="s">
        <v>426</v>
      </c>
      <c r="E2953" t="s">
        <v>427</v>
      </c>
      <c r="F2953" t="s">
        <v>421</v>
      </c>
      <c r="G2953" t="s">
        <v>455</v>
      </c>
      <c r="H2953" t="s">
        <v>429</v>
      </c>
      <c r="I2953" t="s">
        <v>424</v>
      </c>
      <c r="J2953" t="s">
        <v>428</v>
      </c>
      <c r="L2953" t="s">
        <v>423</v>
      </c>
      <c r="M2953" t="s">
        <v>421</v>
      </c>
    </row>
    <row r="2954" spans="1:13" ht="15" customHeight="1" x14ac:dyDescent="0.25">
      <c r="A2954" s="82">
        <v>45229</v>
      </c>
      <c r="B2954" t="s">
        <v>425</v>
      </c>
      <c r="C2954" t="s">
        <v>430</v>
      </c>
      <c r="D2954" t="s">
        <v>426</v>
      </c>
      <c r="E2954" t="s">
        <v>455</v>
      </c>
      <c r="F2954" t="s">
        <v>427</v>
      </c>
      <c r="G2954" t="s">
        <v>421</v>
      </c>
      <c r="H2954" t="s">
        <v>429</v>
      </c>
      <c r="I2954" t="s">
        <v>424</v>
      </c>
      <c r="J2954" t="s">
        <v>428</v>
      </c>
      <c r="L2954" t="s">
        <v>421</v>
      </c>
      <c r="M2954" t="s">
        <v>423</v>
      </c>
    </row>
    <row r="2955" spans="1:13" ht="15" customHeight="1" x14ac:dyDescent="0.25">
      <c r="A2955" s="82">
        <v>45230</v>
      </c>
      <c r="B2955" t="s">
        <v>425</v>
      </c>
      <c r="C2955" t="s">
        <v>430</v>
      </c>
      <c r="D2955" t="s">
        <v>426</v>
      </c>
      <c r="E2955" t="s">
        <v>421</v>
      </c>
      <c r="F2955" t="s">
        <v>455</v>
      </c>
      <c r="G2955" t="s">
        <v>427</v>
      </c>
      <c r="H2955" t="s">
        <v>429</v>
      </c>
      <c r="I2955" t="s">
        <v>424</v>
      </c>
      <c r="J2955" t="s">
        <v>428</v>
      </c>
      <c r="L2955" t="s">
        <v>421</v>
      </c>
      <c r="M2955" t="s">
        <v>423</v>
      </c>
    </row>
    <row r="2956" spans="1:13" ht="15" customHeight="1" x14ac:dyDescent="0.25">
      <c r="A2956" s="82">
        <v>45231</v>
      </c>
      <c r="B2956" t="s">
        <v>425</v>
      </c>
      <c r="C2956" t="s">
        <v>430</v>
      </c>
      <c r="D2956" t="s">
        <v>426</v>
      </c>
      <c r="E2956" t="s">
        <v>421</v>
      </c>
      <c r="F2956" t="s">
        <v>427</v>
      </c>
      <c r="G2956" t="s">
        <v>455</v>
      </c>
      <c r="H2956" t="s">
        <v>429</v>
      </c>
      <c r="I2956" t="s">
        <v>424</v>
      </c>
      <c r="J2956" t="s">
        <v>428</v>
      </c>
      <c r="L2956" t="s">
        <v>421</v>
      </c>
      <c r="M2956" t="s">
        <v>423</v>
      </c>
    </row>
    <row r="2957" spans="1:13" ht="15" customHeight="1" x14ac:dyDescent="0.25">
      <c r="A2957" s="82">
        <v>45232</v>
      </c>
      <c r="B2957" t="s">
        <v>425</v>
      </c>
      <c r="C2957" t="s">
        <v>430</v>
      </c>
      <c r="D2957" t="s">
        <v>426</v>
      </c>
      <c r="E2957" t="s">
        <v>427</v>
      </c>
      <c r="F2957" t="s">
        <v>455</v>
      </c>
      <c r="G2957" t="s">
        <v>421</v>
      </c>
      <c r="H2957" t="s">
        <v>429</v>
      </c>
      <c r="I2957" t="s">
        <v>424</v>
      </c>
      <c r="J2957" t="s">
        <v>428</v>
      </c>
      <c r="L2957" t="s">
        <v>421</v>
      </c>
      <c r="M2957" t="s">
        <v>423</v>
      </c>
    </row>
    <row r="2958" spans="1:13" ht="15" customHeight="1" x14ac:dyDescent="0.25">
      <c r="A2958" s="82">
        <v>45233</v>
      </c>
      <c r="B2958" t="s">
        <v>425</v>
      </c>
      <c r="C2958" t="s">
        <v>421</v>
      </c>
      <c r="D2958" t="s">
        <v>427</v>
      </c>
      <c r="E2958" t="s">
        <v>455</v>
      </c>
      <c r="F2958" t="s">
        <v>424</v>
      </c>
      <c r="G2958" t="s">
        <v>429</v>
      </c>
      <c r="H2958" t="s">
        <v>426</v>
      </c>
      <c r="I2958" t="s">
        <v>424</v>
      </c>
      <c r="J2958" t="s">
        <v>425</v>
      </c>
      <c r="L2958" t="s">
        <v>423</v>
      </c>
      <c r="M2958" t="s">
        <v>421</v>
      </c>
    </row>
    <row r="2959" spans="1:13" ht="15" customHeight="1" x14ac:dyDescent="0.25">
      <c r="A2959" s="82">
        <v>45234</v>
      </c>
      <c r="B2959" t="s">
        <v>421</v>
      </c>
      <c r="C2959" t="s">
        <v>427</v>
      </c>
      <c r="D2959" t="s">
        <v>455</v>
      </c>
      <c r="E2959" t="s">
        <v>428</v>
      </c>
      <c r="F2959" t="s">
        <v>424</v>
      </c>
      <c r="G2959" t="s">
        <v>429</v>
      </c>
      <c r="H2959" t="s">
        <v>426</v>
      </c>
      <c r="I2959" t="s">
        <v>430</v>
      </c>
      <c r="J2959" t="s">
        <v>425</v>
      </c>
      <c r="L2959" t="s">
        <v>423</v>
      </c>
      <c r="M2959" t="s">
        <v>421</v>
      </c>
    </row>
    <row r="2960" spans="1:13" ht="15" customHeight="1" x14ac:dyDescent="0.25">
      <c r="A2960" s="82">
        <v>45235</v>
      </c>
      <c r="B2960" t="s">
        <v>421</v>
      </c>
      <c r="C2960" t="s">
        <v>455</v>
      </c>
      <c r="D2960" t="s">
        <v>427</v>
      </c>
      <c r="E2960" t="s">
        <v>428</v>
      </c>
      <c r="F2960" t="s">
        <v>424</v>
      </c>
      <c r="G2960" t="s">
        <v>429</v>
      </c>
      <c r="H2960" t="s">
        <v>426</v>
      </c>
      <c r="I2960" t="s">
        <v>430</v>
      </c>
      <c r="J2960" t="s">
        <v>425</v>
      </c>
      <c r="L2960" t="s">
        <v>423</v>
      </c>
      <c r="M2960" t="s">
        <v>421</v>
      </c>
    </row>
    <row r="2961" spans="1:13" ht="15" customHeight="1" x14ac:dyDescent="0.25">
      <c r="A2961" s="82">
        <v>45236</v>
      </c>
      <c r="B2961" t="s">
        <v>427</v>
      </c>
      <c r="C2961" t="s">
        <v>421</v>
      </c>
      <c r="D2961" t="s">
        <v>455</v>
      </c>
      <c r="E2961" t="s">
        <v>428</v>
      </c>
      <c r="F2961" t="s">
        <v>424</v>
      </c>
      <c r="G2961" t="s">
        <v>429</v>
      </c>
      <c r="H2961" t="s">
        <v>426</v>
      </c>
      <c r="I2961" t="s">
        <v>430</v>
      </c>
      <c r="J2961" t="s">
        <v>425</v>
      </c>
      <c r="L2961" t="s">
        <v>423</v>
      </c>
      <c r="M2961" t="s">
        <v>421</v>
      </c>
    </row>
    <row r="2962" spans="1:13" ht="15" customHeight="1" x14ac:dyDescent="0.25">
      <c r="A2962" s="82">
        <v>45237</v>
      </c>
      <c r="B2962" t="s">
        <v>455</v>
      </c>
      <c r="C2962" t="s">
        <v>427</v>
      </c>
      <c r="D2962" t="s">
        <v>421</v>
      </c>
      <c r="E2962" t="s">
        <v>428</v>
      </c>
      <c r="F2962" t="s">
        <v>424</v>
      </c>
      <c r="G2962" t="s">
        <v>429</v>
      </c>
      <c r="H2962" t="s">
        <v>426</v>
      </c>
      <c r="I2962" t="s">
        <v>430</v>
      </c>
      <c r="J2962" t="s">
        <v>425</v>
      </c>
      <c r="L2962" t="s">
        <v>423</v>
      </c>
      <c r="M2962" t="s">
        <v>421</v>
      </c>
    </row>
    <row r="2963" spans="1:13" ht="15" customHeight="1" x14ac:dyDescent="0.25">
      <c r="A2963" s="82">
        <v>45238</v>
      </c>
      <c r="B2963" t="s">
        <v>427</v>
      </c>
      <c r="C2963" t="s">
        <v>455</v>
      </c>
      <c r="D2963" t="s">
        <v>421</v>
      </c>
      <c r="E2963" t="s">
        <v>428</v>
      </c>
      <c r="F2963" t="s">
        <v>424</v>
      </c>
      <c r="G2963" t="s">
        <v>429</v>
      </c>
      <c r="H2963" t="s">
        <v>426</v>
      </c>
      <c r="I2963" t="s">
        <v>430</v>
      </c>
      <c r="J2963" t="s">
        <v>425</v>
      </c>
      <c r="L2963" t="s">
        <v>423</v>
      </c>
      <c r="M2963" t="s">
        <v>421</v>
      </c>
    </row>
    <row r="2964" spans="1:13" ht="15" customHeight="1" x14ac:dyDescent="0.25">
      <c r="A2964" s="82">
        <v>45239</v>
      </c>
      <c r="B2964" t="s">
        <v>455</v>
      </c>
      <c r="C2964" t="s">
        <v>421</v>
      </c>
      <c r="D2964" t="s">
        <v>427</v>
      </c>
      <c r="E2964" t="s">
        <v>428</v>
      </c>
      <c r="F2964" t="s">
        <v>424</v>
      </c>
      <c r="G2964" t="s">
        <v>429</v>
      </c>
      <c r="H2964" t="s">
        <v>426</v>
      </c>
      <c r="I2964" t="s">
        <v>430</v>
      </c>
      <c r="J2964" t="s">
        <v>425</v>
      </c>
      <c r="L2964" t="s">
        <v>421</v>
      </c>
      <c r="M2964" t="s">
        <v>423</v>
      </c>
    </row>
    <row r="2965" spans="1:13" ht="15" customHeight="1" x14ac:dyDescent="0.25">
      <c r="A2965" s="82">
        <v>45240</v>
      </c>
      <c r="B2965" t="s">
        <v>424</v>
      </c>
      <c r="C2965" t="s">
        <v>429</v>
      </c>
      <c r="D2965" t="s">
        <v>455</v>
      </c>
      <c r="E2965" t="s">
        <v>425</v>
      </c>
      <c r="F2965" t="s">
        <v>424</v>
      </c>
      <c r="G2965" t="s">
        <v>426</v>
      </c>
      <c r="H2965" t="s">
        <v>427</v>
      </c>
      <c r="I2965" t="s">
        <v>421</v>
      </c>
      <c r="J2965" t="s">
        <v>425</v>
      </c>
      <c r="L2965" t="s">
        <v>421</v>
      </c>
      <c r="M2965" t="s">
        <v>423</v>
      </c>
    </row>
    <row r="2966" spans="1:13" ht="15" customHeight="1" x14ac:dyDescent="0.25">
      <c r="A2966" s="82">
        <v>45241</v>
      </c>
      <c r="B2966" t="s">
        <v>424</v>
      </c>
      <c r="C2966" t="s">
        <v>429</v>
      </c>
      <c r="D2966" t="s">
        <v>428</v>
      </c>
      <c r="E2966" t="s">
        <v>425</v>
      </c>
      <c r="F2966" t="s">
        <v>430</v>
      </c>
      <c r="G2966" t="s">
        <v>426</v>
      </c>
      <c r="H2966" t="s">
        <v>455</v>
      </c>
      <c r="I2966" t="s">
        <v>427</v>
      </c>
      <c r="J2966" t="s">
        <v>421</v>
      </c>
      <c r="L2966" t="s">
        <v>421</v>
      </c>
      <c r="M2966" t="s">
        <v>423</v>
      </c>
    </row>
    <row r="2967" spans="1:13" ht="15" customHeight="1" x14ac:dyDescent="0.25">
      <c r="A2967" s="82">
        <v>45242</v>
      </c>
      <c r="B2967" t="s">
        <v>424</v>
      </c>
      <c r="C2967" t="s">
        <v>429</v>
      </c>
      <c r="D2967" t="s">
        <v>428</v>
      </c>
      <c r="E2967" t="s">
        <v>425</v>
      </c>
      <c r="F2967" t="s">
        <v>430</v>
      </c>
      <c r="G2967" t="s">
        <v>426</v>
      </c>
      <c r="H2967" t="s">
        <v>427</v>
      </c>
      <c r="I2967" t="s">
        <v>455</v>
      </c>
      <c r="J2967" t="s">
        <v>421</v>
      </c>
      <c r="L2967" t="s">
        <v>421</v>
      </c>
      <c r="M2967" t="s">
        <v>423</v>
      </c>
    </row>
    <row r="2968" spans="1:13" ht="15" customHeight="1" x14ac:dyDescent="0.25">
      <c r="A2968" s="82">
        <v>45243</v>
      </c>
      <c r="B2968" t="s">
        <v>424</v>
      </c>
      <c r="C2968" t="s">
        <v>429</v>
      </c>
      <c r="D2968" t="s">
        <v>428</v>
      </c>
      <c r="E2968" t="s">
        <v>425</v>
      </c>
      <c r="F2968" t="s">
        <v>430</v>
      </c>
      <c r="G2968" t="s">
        <v>426</v>
      </c>
      <c r="H2968" t="s">
        <v>455</v>
      </c>
      <c r="I2968" t="s">
        <v>421</v>
      </c>
      <c r="J2968" t="s">
        <v>427</v>
      </c>
      <c r="L2968" t="s">
        <v>421</v>
      </c>
      <c r="M2968" t="s">
        <v>423</v>
      </c>
    </row>
    <row r="2969" spans="1:13" ht="15" customHeight="1" x14ac:dyDescent="0.25">
      <c r="A2969" s="82">
        <v>45244</v>
      </c>
      <c r="B2969" t="s">
        <v>424</v>
      </c>
      <c r="C2969" t="s">
        <v>429</v>
      </c>
      <c r="D2969" t="s">
        <v>428</v>
      </c>
      <c r="E2969" t="s">
        <v>425</v>
      </c>
      <c r="F2969" t="s">
        <v>430</v>
      </c>
      <c r="G2969" t="s">
        <v>426</v>
      </c>
      <c r="H2969" t="s">
        <v>421</v>
      </c>
      <c r="I2969" t="s">
        <v>427</v>
      </c>
      <c r="J2969" t="s">
        <v>455</v>
      </c>
      <c r="L2969" t="s">
        <v>421</v>
      </c>
      <c r="M2969" t="s">
        <v>423</v>
      </c>
    </row>
    <row r="2970" spans="1:13" ht="15" customHeight="1" x14ac:dyDescent="0.25">
      <c r="A2970" s="82">
        <v>45245</v>
      </c>
      <c r="B2970" t="s">
        <v>424</v>
      </c>
      <c r="C2970" t="s">
        <v>429</v>
      </c>
      <c r="D2970" t="s">
        <v>428</v>
      </c>
      <c r="E2970" t="s">
        <v>425</v>
      </c>
      <c r="F2970" t="s">
        <v>430</v>
      </c>
      <c r="G2970" t="s">
        <v>426</v>
      </c>
      <c r="H2970" t="s">
        <v>421</v>
      </c>
      <c r="I2970" t="s">
        <v>455</v>
      </c>
      <c r="J2970" t="s">
        <v>427</v>
      </c>
      <c r="L2970" t="s">
        <v>423</v>
      </c>
      <c r="M2970" t="s">
        <v>421</v>
      </c>
    </row>
    <row r="2971" spans="1:13" ht="15" customHeight="1" x14ac:dyDescent="0.25">
      <c r="A2971" s="82">
        <v>45246</v>
      </c>
      <c r="B2971" t="s">
        <v>424</v>
      </c>
      <c r="C2971" t="s">
        <v>429</v>
      </c>
      <c r="D2971" t="s">
        <v>428</v>
      </c>
      <c r="E2971" t="s">
        <v>425</v>
      </c>
      <c r="F2971" t="s">
        <v>430</v>
      </c>
      <c r="G2971" t="s">
        <v>426</v>
      </c>
      <c r="H2971" t="s">
        <v>427</v>
      </c>
      <c r="I2971" t="s">
        <v>421</v>
      </c>
      <c r="J2971" t="s">
        <v>455</v>
      </c>
      <c r="L2971" t="s">
        <v>423</v>
      </c>
      <c r="M2971" t="s">
        <v>421</v>
      </c>
    </row>
    <row r="2972" spans="1:13" ht="15" customHeight="1" x14ac:dyDescent="0.25">
      <c r="A2972" s="82">
        <v>45247</v>
      </c>
      <c r="B2972" t="s">
        <v>424</v>
      </c>
      <c r="C2972" t="s">
        <v>426</v>
      </c>
      <c r="D2972" t="s">
        <v>425</v>
      </c>
      <c r="E2972" t="s">
        <v>425</v>
      </c>
      <c r="F2972" t="s">
        <v>421</v>
      </c>
      <c r="G2972" t="s">
        <v>427</v>
      </c>
      <c r="H2972" t="s">
        <v>455</v>
      </c>
      <c r="I2972" t="s">
        <v>429</v>
      </c>
      <c r="J2972" t="s">
        <v>424</v>
      </c>
      <c r="L2972" t="s">
        <v>428</v>
      </c>
      <c r="M2972" t="s">
        <v>421</v>
      </c>
    </row>
    <row r="2973" spans="1:13" ht="15" customHeight="1" x14ac:dyDescent="0.25">
      <c r="A2973" s="82">
        <v>45248</v>
      </c>
      <c r="B2973" t="s">
        <v>430</v>
      </c>
      <c r="C2973" t="s">
        <v>426</v>
      </c>
      <c r="D2973" t="s">
        <v>425</v>
      </c>
      <c r="E2973" t="s">
        <v>421</v>
      </c>
      <c r="F2973" t="s">
        <v>427</v>
      </c>
      <c r="G2973" t="s">
        <v>455</v>
      </c>
      <c r="H2973" t="s">
        <v>428</v>
      </c>
      <c r="I2973" t="s">
        <v>429</v>
      </c>
      <c r="J2973" t="s">
        <v>424</v>
      </c>
      <c r="L2973" t="s">
        <v>428</v>
      </c>
      <c r="M2973" t="s">
        <v>421</v>
      </c>
    </row>
    <row r="2974" spans="1:13" ht="15" customHeight="1" x14ac:dyDescent="0.25">
      <c r="A2974" s="82">
        <v>45249</v>
      </c>
      <c r="B2974" t="s">
        <v>430</v>
      </c>
      <c r="C2974" t="s">
        <v>426</v>
      </c>
      <c r="D2974" t="s">
        <v>425</v>
      </c>
      <c r="E2974" t="s">
        <v>421</v>
      </c>
      <c r="F2974" t="s">
        <v>455</v>
      </c>
      <c r="G2974" t="s">
        <v>427</v>
      </c>
      <c r="H2974" t="s">
        <v>428</v>
      </c>
      <c r="I2974" t="s">
        <v>429</v>
      </c>
      <c r="J2974" t="s">
        <v>424</v>
      </c>
      <c r="L2974" t="s">
        <v>428</v>
      </c>
      <c r="M2974" t="s">
        <v>421</v>
      </c>
    </row>
    <row r="2975" spans="1:13" ht="15" customHeight="1" x14ac:dyDescent="0.25">
      <c r="A2975" s="82">
        <v>45250</v>
      </c>
      <c r="B2975" t="s">
        <v>430</v>
      </c>
      <c r="C2975" t="s">
        <v>426</v>
      </c>
      <c r="D2975" t="s">
        <v>425</v>
      </c>
      <c r="E2975" t="s">
        <v>427</v>
      </c>
      <c r="F2975" t="s">
        <v>421</v>
      </c>
      <c r="G2975" t="s">
        <v>455</v>
      </c>
      <c r="H2975" t="s">
        <v>428</v>
      </c>
      <c r="I2975" t="s">
        <v>429</v>
      </c>
      <c r="J2975" t="s">
        <v>424</v>
      </c>
      <c r="L2975" t="s">
        <v>428</v>
      </c>
      <c r="M2975" t="s">
        <v>421</v>
      </c>
    </row>
    <row r="2976" spans="1:13" ht="15" customHeight="1" x14ac:dyDescent="0.25">
      <c r="A2976" s="82">
        <v>45251</v>
      </c>
      <c r="B2976" t="s">
        <v>430</v>
      </c>
      <c r="C2976" t="s">
        <v>426</v>
      </c>
      <c r="D2976" t="s">
        <v>425</v>
      </c>
      <c r="E2976" t="s">
        <v>455</v>
      </c>
      <c r="F2976" t="s">
        <v>427</v>
      </c>
      <c r="G2976" t="s">
        <v>421</v>
      </c>
      <c r="H2976" t="s">
        <v>428</v>
      </c>
      <c r="I2976" t="s">
        <v>429</v>
      </c>
      <c r="J2976" t="s">
        <v>424</v>
      </c>
      <c r="L2976" t="s">
        <v>421</v>
      </c>
      <c r="M2976" t="s">
        <v>423</v>
      </c>
    </row>
    <row r="2977" spans="1:13" ht="15" customHeight="1" x14ac:dyDescent="0.25">
      <c r="A2977" s="82">
        <v>45252</v>
      </c>
      <c r="B2977" t="s">
        <v>430</v>
      </c>
      <c r="C2977" t="s">
        <v>426</v>
      </c>
      <c r="D2977" t="s">
        <v>425</v>
      </c>
      <c r="E2977" t="s">
        <v>427</v>
      </c>
      <c r="F2977" t="s">
        <v>455</v>
      </c>
      <c r="G2977" t="s">
        <v>421</v>
      </c>
      <c r="H2977" t="s">
        <v>428</v>
      </c>
      <c r="I2977" t="s">
        <v>429</v>
      </c>
      <c r="J2977" t="s">
        <v>424</v>
      </c>
      <c r="L2977" t="s">
        <v>421</v>
      </c>
      <c r="M2977" t="s">
        <v>423</v>
      </c>
    </row>
    <row r="2978" spans="1:13" ht="15" customHeight="1" x14ac:dyDescent="0.25">
      <c r="A2978" s="82">
        <v>45253</v>
      </c>
      <c r="B2978" t="s">
        <v>430</v>
      </c>
      <c r="C2978" t="s">
        <v>426</v>
      </c>
      <c r="D2978" t="s">
        <v>425</v>
      </c>
      <c r="E2978" t="s">
        <v>455</v>
      </c>
      <c r="F2978" t="s">
        <v>421</v>
      </c>
      <c r="G2978" t="s">
        <v>427</v>
      </c>
      <c r="H2978" t="s">
        <v>428</v>
      </c>
      <c r="I2978" t="s">
        <v>429</v>
      </c>
      <c r="J2978" t="s">
        <v>424</v>
      </c>
      <c r="L2978" t="s">
        <v>421</v>
      </c>
      <c r="M2978" t="s">
        <v>423</v>
      </c>
    </row>
    <row r="2979" spans="1:13" ht="15" customHeight="1" x14ac:dyDescent="0.25">
      <c r="A2979" s="82">
        <v>45254</v>
      </c>
      <c r="B2979" t="s">
        <v>421</v>
      </c>
      <c r="C2979" t="s">
        <v>427</v>
      </c>
      <c r="D2979" t="s">
        <v>425</v>
      </c>
      <c r="E2979" t="s">
        <v>424</v>
      </c>
      <c r="F2979" t="s">
        <v>429</v>
      </c>
      <c r="G2979" t="s">
        <v>455</v>
      </c>
      <c r="H2979" t="s">
        <v>425</v>
      </c>
      <c r="I2979" t="s">
        <v>426</v>
      </c>
      <c r="J2979" t="s">
        <v>424</v>
      </c>
      <c r="L2979" t="s">
        <v>421</v>
      </c>
      <c r="M2979" t="s">
        <v>423</v>
      </c>
    </row>
    <row r="2980" spans="1:13" ht="15" customHeight="1" x14ac:dyDescent="0.25">
      <c r="A2980" s="82">
        <v>45255</v>
      </c>
      <c r="B2980" t="s">
        <v>427</v>
      </c>
      <c r="C2980" t="s">
        <v>455</v>
      </c>
      <c r="D2980" t="s">
        <v>421</v>
      </c>
      <c r="E2980" t="s">
        <v>424</v>
      </c>
      <c r="F2980" t="s">
        <v>429</v>
      </c>
      <c r="G2980" t="s">
        <v>428</v>
      </c>
      <c r="H2980" t="s">
        <v>425</v>
      </c>
      <c r="I2980" t="s">
        <v>426</v>
      </c>
      <c r="J2980" t="s">
        <v>430</v>
      </c>
      <c r="L2980" t="s">
        <v>421</v>
      </c>
      <c r="M2980" t="s">
        <v>423</v>
      </c>
    </row>
    <row r="2981" spans="1:13" ht="15" customHeight="1" x14ac:dyDescent="0.25">
      <c r="A2981" s="82">
        <v>45256</v>
      </c>
      <c r="B2981" t="s">
        <v>455</v>
      </c>
      <c r="C2981" t="s">
        <v>427</v>
      </c>
      <c r="D2981" t="s">
        <v>421</v>
      </c>
      <c r="E2981" t="s">
        <v>424</v>
      </c>
      <c r="F2981" t="s">
        <v>429</v>
      </c>
      <c r="G2981" t="s">
        <v>428</v>
      </c>
      <c r="H2981" t="s">
        <v>425</v>
      </c>
      <c r="I2981" t="s">
        <v>426</v>
      </c>
      <c r="J2981" t="s">
        <v>430</v>
      </c>
      <c r="L2981" t="s">
        <v>421</v>
      </c>
      <c r="M2981" t="s">
        <v>423</v>
      </c>
    </row>
    <row r="2982" spans="1:13" ht="15" customHeight="1" x14ac:dyDescent="0.25">
      <c r="A2982" s="82">
        <v>45257</v>
      </c>
      <c r="B2982" t="s">
        <v>421</v>
      </c>
      <c r="C2982" t="s">
        <v>455</v>
      </c>
      <c r="D2982" t="s">
        <v>427</v>
      </c>
      <c r="E2982" t="s">
        <v>424</v>
      </c>
      <c r="F2982" t="s">
        <v>429</v>
      </c>
      <c r="G2982" t="s">
        <v>428</v>
      </c>
      <c r="H2982" t="s">
        <v>425</v>
      </c>
      <c r="I2982" t="s">
        <v>426</v>
      </c>
      <c r="J2982" t="s">
        <v>430</v>
      </c>
      <c r="L2982" t="s">
        <v>423</v>
      </c>
      <c r="M2982" t="s">
        <v>421</v>
      </c>
    </row>
    <row r="2983" spans="1:13" ht="15" customHeight="1" x14ac:dyDescent="0.25">
      <c r="A2983" s="82">
        <v>45258</v>
      </c>
      <c r="B2983" t="s">
        <v>427</v>
      </c>
      <c r="C2983" t="s">
        <v>421</v>
      </c>
      <c r="D2983" t="s">
        <v>455</v>
      </c>
      <c r="E2983" t="s">
        <v>424</v>
      </c>
      <c r="F2983" t="s">
        <v>429</v>
      </c>
      <c r="G2983" t="s">
        <v>428</v>
      </c>
      <c r="H2983" t="s">
        <v>425</v>
      </c>
      <c r="I2983" t="s">
        <v>426</v>
      </c>
      <c r="J2983" t="s">
        <v>430</v>
      </c>
      <c r="L2983" t="s">
        <v>423</v>
      </c>
      <c r="M2983" t="s">
        <v>421</v>
      </c>
    </row>
    <row r="2984" spans="1:13" ht="15" customHeight="1" x14ac:dyDescent="0.25">
      <c r="A2984" s="82">
        <v>45259</v>
      </c>
      <c r="B2984" t="s">
        <v>455</v>
      </c>
      <c r="C2984" t="s">
        <v>421</v>
      </c>
      <c r="D2984" t="s">
        <v>427</v>
      </c>
      <c r="E2984" t="s">
        <v>424</v>
      </c>
      <c r="F2984" t="s">
        <v>429</v>
      </c>
      <c r="G2984" t="s">
        <v>428</v>
      </c>
      <c r="H2984" t="s">
        <v>425</v>
      </c>
      <c r="I2984" t="s">
        <v>426</v>
      </c>
      <c r="J2984" t="s">
        <v>430</v>
      </c>
      <c r="L2984" t="s">
        <v>423</v>
      </c>
      <c r="M2984" t="s">
        <v>421</v>
      </c>
    </row>
    <row r="2985" spans="1:13" ht="15" customHeight="1" x14ac:dyDescent="0.25">
      <c r="A2985" s="82">
        <v>45260</v>
      </c>
      <c r="B2985" t="s">
        <v>421</v>
      </c>
      <c r="C2985" t="s">
        <v>427</v>
      </c>
      <c r="D2985" t="s">
        <v>455</v>
      </c>
      <c r="E2985" t="s">
        <v>424</v>
      </c>
      <c r="F2985" t="s">
        <v>429</v>
      </c>
      <c r="G2985" t="s">
        <v>428</v>
      </c>
      <c r="H2985" t="s">
        <v>425</v>
      </c>
      <c r="I2985" t="s">
        <v>426</v>
      </c>
      <c r="J2985" t="s">
        <v>430</v>
      </c>
      <c r="L2985" t="s">
        <v>423</v>
      </c>
      <c r="M2985" t="s">
        <v>421</v>
      </c>
    </row>
    <row r="2986" spans="1:13" ht="15" customHeight="1" x14ac:dyDescent="0.25">
      <c r="A2986" s="82">
        <v>45261</v>
      </c>
      <c r="B2986" t="s">
        <v>429</v>
      </c>
      <c r="C2986" t="s">
        <v>455</v>
      </c>
      <c r="D2986" t="s">
        <v>424</v>
      </c>
      <c r="E2986" t="s">
        <v>424</v>
      </c>
      <c r="F2986" t="s">
        <v>426</v>
      </c>
      <c r="G2986" t="s">
        <v>425</v>
      </c>
      <c r="H2986" t="s">
        <v>425</v>
      </c>
      <c r="I2986" t="s">
        <v>427</v>
      </c>
      <c r="J2986" t="s">
        <v>421</v>
      </c>
      <c r="L2986" t="s">
        <v>421</v>
      </c>
      <c r="M2986" t="s">
        <v>423</v>
      </c>
    </row>
    <row r="2987" spans="1:13" ht="15" customHeight="1" x14ac:dyDescent="0.25">
      <c r="A2987" s="82">
        <v>45262</v>
      </c>
      <c r="B2987" t="s">
        <v>429</v>
      </c>
      <c r="C2987" t="s">
        <v>428</v>
      </c>
      <c r="D2987" t="s">
        <v>424</v>
      </c>
      <c r="E2987" t="s">
        <v>430</v>
      </c>
      <c r="F2987" t="s">
        <v>426</v>
      </c>
      <c r="G2987" t="s">
        <v>425</v>
      </c>
      <c r="H2987" t="s">
        <v>421</v>
      </c>
      <c r="I2987" t="s">
        <v>455</v>
      </c>
      <c r="J2987" t="s">
        <v>427</v>
      </c>
      <c r="L2987" t="s">
        <v>421</v>
      </c>
      <c r="M2987" t="s">
        <v>423</v>
      </c>
    </row>
    <row r="2988" spans="1:13" ht="15" customHeight="1" x14ac:dyDescent="0.25">
      <c r="A2988" s="82">
        <v>45263</v>
      </c>
      <c r="B2988" t="s">
        <v>429</v>
      </c>
      <c r="C2988" t="s">
        <v>428</v>
      </c>
      <c r="D2988" t="s">
        <v>424</v>
      </c>
      <c r="E2988" t="s">
        <v>430</v>
      </c>
      <c r="F2988" t="s">
        <v>426</v>
      </c>
      <c r="G2988" t="s">
        <v>425</v>
      </c>
      <c r="H2988" t="s">
        <v>421</v>
      </c>
      <c r="I2988" t="s">
        <v>427</v>
      </c>
      <c r="J2988" t="s">
        <v>455</v>
      </c>
      <c r="L2988" t="s">
        <v>421</v>
      </c>
      <c r="M2988" t="s">
        <v>423</v>
      </c>
    </row>
    <row r="2989" spans="1:13" ht="15" customHeight="1" x14ac:dyDescent="0.25">
      <c r="A2989" s="82">
        <v>45264</v>
      </c>
      <c r="B2989" t="s">
        <v>429</v>
      </c>
      <c r="C2989" t="s">
        <v>428</v>
      </c>
      <c r="D2989" t="s">
        <v>424</v>
      </c>
      <c r="E2989" t="s">
        <v>430</v>
      </c>
      <c r="F2989" t="s">
        <v>426</v>
      </c>
      <c r="G2989" t="s">
        <v>425</v>
      </c>
      <c r="H2989" t="s">
        <v>427</v>
      </c>
      <c r="I2989" t="s">
        <v>455</v>
      </c>
      <c r="J2989" t="s">
        <v>421</v>
      </c>
      <c r="L2989" t="s">
        <v>421</v>
      </c>
      <c r="M2989" t="s">
        <v>423</v>
      </c>
    </row>
    <row r="2990" spans="1:13" ht="15" customHeight="1" x14ac:dyDescent="0.25">
      <c r="A2990" s="82">
        <v>45265</v>
      </c>
      <c r="B2990" t="s">
        <v>429</v>
      </c>
      <c r="C2990" t="s">
        <v>428</v>
      </c>
      <c r="D2990" t="s">
        <v>424</v>
      </c>
      <c r="E2990" t="s">
        <v>430</v>
      </c>
      <c r="F2990" t="s">
        <v>426</v>
      </c>
      <c r="G2990" t="s">
        <v>425</v>
      </c>
      <c r="H2990" t="s">
        <v>455</v>
      </c>
      <c r="I2990" t="s">
        <v>421</v>
      </c>
      <c r="J2990" t="s">
        <v>427</v>
      </c>
      <c r="L2990" t="s">
        <v>421</v>
      </c>
      <c r="M2990" t="s">
        <v>423</v>
      </c>
    </row>
    <row r="2991" spans="1:13" ht="15" customHeight="1" x14ac:dyDescent="0.25">
      <c r="A2991" s="82">
        <v>45266</v>
      </c>
      <c r="B2991" t="s">
        <v>429</v>
      </c>
      <c r="C2991" t="s">
        <v>428</v>
      </c>
      <c r="D2991" t="s">
        <v>424</v>
      </c>
      <c r="E2991" t="s">
        <v>430</v>
      </c>
      <c r="F2991" t="s">
        <v>426</v>
      </c>
      <c r="G2991" t="s">
        <v>425</v>
      </c>
      <c r="H2991" t="s">
        <v>427</v>
      </c>
      <c r="I2991" t="s">
        <v>421</v>
      </c>
      <c r="J2991" t="s">
        <v>455</v>
      </c>
      <c r="L2991" t="s">
        <v>421</v>
      </c>
      <c r="M2991" t="s">
        <v>423</v>
      </c>
    </row>
    <row r="2992" spans="1:13" ht="15" customHeight="1" x14ac:dyDescent="0.25">
      <c r="A2992" s="82">
        <v>45267</v>
      </c>
      <c r="B2992" t="s">
        <v>429</v>
      </c>
      <c r="C2992" t="s">
        <v>428</v>
      </c>
      <c r="D2992" t="s">
        <v>424</v>
      </c>
      <c r="E2992" t="s">
        <v>430</v>
      </c>
      <c r="F2992" t="s">
        <v>426</v>
      </c>
      <c r="G2992" t="s">
        <v>425</v>
      </c>
      <c r="H2992" t="s">
        <v>455</v>
      </c>
      <c r="I2992" t="s">
        <v>427</v>
      </c>
      <c r="J2992" t="s">
        <v>421</v>
      </c>
      <c r="L2992" t="s">
        <v>423</v>
      </c>
      <c r="M2992" t="s">
        <v>421</v>
      </c>
    </row>
    <row r="2993" spans="1:13" ht="15" customHeight="1" x14ac:dyDescent="0.25">
      <c r="A2993" s="82">
        <v>45268</v>
      </c>
      <c r="B2993" t="s">
        <v>426</v>
      </c>
      <c r="C2993" t="s">
        <v>425</v>
      </c>
      <c r="D2993" t="s">
        <v>424</v>
      </c>
      <c r="E2993" t="s">
        <v>421</v>
      </c>
      <c r="F2993" t="s">
        <v>427</v>
      </c>
      <c r="G2993" t="s">
        <v>425</v>
      </c>
      <c r="H2993" t="s">
        <v>424</v>
      </c>
      <c r="I2993" t="s">
        <v>455</v>
      </c>
      <c r="J2993" t="s">
        <v>429</v>
      </c>
      <c r="L2993" t="s">
        <v>423</v>
      </c>
      <c r="M2993" t="s">
        <v>421</v>
      </c>
    </row>
    <row r="2994" spans="1:13" ht="15" customHeight="1" x14ac:dyDescent="0.25">
      <c r="A2994" s="82">
        <v>45269</v>
      </c>
      <c r="B2994" t="s">
        <v>426</v>
      </c>
      <c r="C2994" t="s">
        <v>425</v>
      </c>
      <c r="D2994" t="s">
        <v>430</v>
      </c>
      <c r="E2994" t="s">
        <v>427</v>
      </c>
      <c r="F2994" t="s">
        <v>455</v>
      </c>
      <c r="G2994" t="s">
        <v>421</v>
      </c>
      <c r="H2994" t="s">
        <v>424</v>
      </c>
      <c r="I2994" t="s">
        <v>428</v>
      </c>
      <c r="J2994" t="s">
        <v>429</v>
      </c>
      <c r="L2994" t="s">
        <v>423</v>
      </c>
      <c r="M2994" t="s">
        <v>421</v>
      </c>
    </row>
    <row r="2995" spans="1:13" ht="15" customHeight="1" x14ac:dyDescent="0.25">
      <c r="A2995" s="82">
        <v>45270</v>
      </c>
      <c r="B2995" t="s">
        <v>426</v>
      </c>
      <c r="C2995" t="s">
        <v>425</v>
      </c>
      <c r="D2995" t="s">
        <v>430</v>
      </c>
      <c r="E2995" t="s">
        <v>455</v>
      </c>
      <c r="F2995" t="s">
        <v>427</v>
      </c>
      <c r="G2995" t="s">
        <v>421</v>
      </c>
      <c r="H2995" t="s">
        <v>424</v>
      </c>
      <c r="I2995" t="s">
        <v>428</v>
      </c>
      <c r="J2995" t="s">
        <v>429</v>
      </c>
      <c r="L2995" t="s">
        <v>423</v>
      </c>
      <c r="M2995" t="s">
        <v>421</v>
      </c>
    </row>
    <row r="2996" spans="1:13" ht="15" customHeight="1" x14ac:dyDescent="0.25">
      <c r="A2996" s="82">
        <v>45271</v>
      </c>
      <c r="B2996" t="s">
        <v>426</v>
      </c>
      <c r="C2996" t="s">
        <v>425</v>
      </c>
      <c r="D2996" t="s">
        <v>430</v>
      </c>
      <c r="E2996" t="s">
        <v>421</v>
      </c>
      <c r="F2996" t="s">
        <v>455</v>
      </c>
      <c r="G2996" t="s">
        <v>427</v>
      </c>
      <c r="H2996" t="s">
        <v>424</v>
      </c>
      <c r="I2996" t="s">
        <v>428</v>
      </c>
      <c r="J2996" t="s">
        <v>429</v>
      </c>
      <c r="L2996" t="s">
        <v>423</v>
      </c>
      <c r="M2996" t="s">
        <v>421</v>
      </c>
    </row>
    <row r="2997" spans="1:13" ht="15" customHeight="1" x14ac:dyDescent="0.25">
      <c r="A2997" s="82">
        <v>45272</v>
      </c>
      <c r="B2997" t="s">
        <v>426</v>
      </c>
      <c r="C2997" t="s">
        <v>425</v>
      </c>
      <c r="D2997" t="s">
        <v>430</v>
      </c>
      <c r="E2997" t="s">
        <v>427</v>
      </c>
      <c r="F2997" t="s">
        <v>421</v>
      </c>
      <c r="G2997" t="s">
        <v>455</v>
      </c>
      <c r="H2997" t="s">
        <v>424</v>
      </c>
      <c r="I2997" t="s">
        <v>428</v>
      </c>
      <c r="J2997" t="s">
        <v>429</v>
      </c>
      <c r="L2997" t="s">
        <v>423</v>
      </c>
      <c r="M2997" t="s">
        <v>421</v>
      </c>
    </row>
    <row r="2998" spans="1:13" ht="15" customHeight="1" x14ac:dyDescent="0.25">
      <c r="A2998" s="82">
        <v>45273</v>
      </c>
      <c r="B2998" t="s">
        <v>426</v>
      </c>
      <c r="C2998" t="s">
        <v>425</v>
      </c>
      <c r="D2998" t="s">
        <v>430</v>
      </c>
      <c r="E2998" t="s">
        <v>455</v>
      </c>
      <c r="F2998" t="s">
        <v>421</v>
      </c>
      <c r="G2998" t="s">
        <v>427</v>
      </c>
      <c r="H2998" t="s">
        <v>424</v>
      </c>
      <c r="I2998" t="s">
        <v>428</v>
      </c>
      <c r="J2998" t="s">
        <v>429</v>
      </c>
      <c r="L2998" t="s">
        <v>421</v>
      </c>
      <c r="M2998" t="s">
        <v>423</v>
      </c>
    </row>
    <row r="2999" spans="1:13" ht="15" customHeight="1" x14ac:dyDescent="0.25">
      <c r="A2999" s="82">
        <v>45274</v>
      </c>
      <c r="B2999" t="s">
        <v>426</v>
      </c>
      <c r="C2999" t="s">
        <v>425</v>
      </c>
      <c r="D2999" t="s">
        <v>430</v>
      </c>
      <c r="E2999" t="s">
        <v>421</v>
      </c>
      <c r="F2999" t="s">
        <v>427</v>
      </c>
      <c r="G2999" t="s">
        <v>455</v>
      </c>
      <c r="H2999" t="s">
        <v>424</v>
      </c>
      <c r="I2999" t="s">
        <v>428</v>
      </c>
      <c r="J2999" t="s">
        <v>429</v>
      </c>
      <c r="L2999" t="s">
        <v>421</v>
      </c>
      <c r="M2999" t="s">
        <v>423</v>
      </c>
    </row>
    <row r="3000" spans="1:13" ht="15" customHeight="1" x14ac:dyDescent="0.25">
      <c r="A3000" s="82">
        <v>45275</v>
      </c>
      <c r="B3000" t="s">
        <v>427</v>
      </c>
      <c r="C3000" t="s">
        <v>425</v>
      </c>
      <c r="D3000" t="s">
        <v>421</v>
      </c>
      <c r="E3000" t="s">
        <v>429</v>
      </c>
      <c r="F3000" t="s">
        <v>455</v>
      </c>
      <c r="G3000" t="s">
        <v>424</v>
      </c>
      <c r="H3000" t="s">
        <v>424</v>
      </c>
      <c r="I3000" t="s">
        <v>425</v>
      </c>
      <c r="J3000" t="s">
        <v>426</v>
      </c>
      <c r="L3000" t="s">
        <v>421</v>
      </c>
      <c r="M3000" t="s">
        <v>428</v>
      </c>
    </row>
    <row r="3001" spans="1:13" ht="15" customHeight="1" x14ac:dyDescent="0.25">
      <c r="A3001" s="82">
        <v>45276</v>
      </c>
      <c r="B3001" t="s">
        <v>455</v>
      </c>
      <c r="C3001" t="s">
        <v>421</v>
      </c>
      <c r="D3001" t="s">
        <v>427</v>
      </c>
      <c r="E3001" t="s">
        <v>429</v>
      </c>
      <c r="F3001" t="s">
        <v>428</v>
      </c>
      <c r="G3001" t="s">
        <v>424</v>
      </c>
      <c r="H3001" t="s">
        <v>430</v>
      </c>
      <c r="I3001" t="s">
        <v>425</v>
      </c>
      <c r="J3001" t="s">
        <v>426</v>
      </c>
      <c r="L3001" t="s">
        <v>421</v>
      </c>
      <c r="M3001" t="s">
        <v>428</v>
      </c>
    </row>
    <row r="3002" spans="1:13" ht="15" customHeight="1" x14ac:dyDescent="0.25">
      <c r="A3002" s="82">
        <v>45277</v>
      </c>
      <c r="B3002" t="s">
        <v>427</v>
      </c>
      <c r="C3002" t="s">
        <v>421</v>
      </c>
      <c r="D3002" t="s">
        <v>455</v>
      </c>
      <c r="E3002" t="s">
        <v>429</v>
      </c>
      <c r="F3002" t="s">
        <v>428</v>
      </c>
      <c r="G3002" t="s">
        <v>424</v>
      </c>
      <c r="H3002" t="s">
        <v>430</v>
      </c>
      <c r="I3002" t="s">
        <v>425</v>
      </c>
      <c r="J3002" t="s">
        <v>426</v>
      </c>
      <c r="L3002" t="s">
        <v>421</v>
      </c>
      <c r="M3002" t="s">
        <v>428</v>
      </c>
    </row>
    <row r="3003" spans="1:13" ht="15" customHeight="1" x14ac:dyDescent="0.25">
      <c r="A3003" s="82">
        <v>45278</v>
      </c>
      <c r="B3003" t="s">
        <v>455</v>
      </c>
      <c r="C3003" t="s">
        <v>427</v>
      </c>
      <c r="D3003" t="s">
        <v>421</v>
      </c>
      <c r="E3003" t="s">
        <v>429</v>
      </c>
      <c r="F3003" t="s">
        <v>428</v>
      </c>
      <c r="G3003" t="s">
        <v>424</v>
      </c>
      <c r="H3003" t="s">
        <v>430</v>
      </c>
      <c r="I3003" t="s">
        <v>425</v>
      </c>
      <c r="J3003" t="s">
        <v>426</v>
      </c>
      <c r="L3003" t="s">
        <v>421</v>
      </c>
      <c r="M3003" t="s">
        <v>428</v>
      </c>
    </row>
    <row r="3004" spans="1:13" ht="15" customHeight="1" x14ac:dyDescent="0.25">
      <c r="A3004" s="82">
        <v>45279</v>
      </c>
      <c r="B3004" t="s">
        <v>421</v>
      </c>
      <c r="C3004" t="s">
        <v>455</v>
      </c>
      <c r="D3004" t="s">
        <v>427</v>
      </c>
      <c r="E3004" t="s">
        <v>429</v>
      </c>
      <c r="F3004" t="s">
        <v>428</v>
      </c>
      <c r="G3004" t="s">
        <v>424</v>
      </c>
      <c r="H3004" t="s">
        <v>430</v>
      </c>
      <c r="I3004" t="s">
        <v>425</v>
      </c>
      <c r="J3004" t="s">
        <v>426</v>
      </c>
      <c r="L3004" t="s">
        <v>423</v>
      </c>
      <c r="M3004" t="s">
        <v>421</v>
      </c>
    </row>
    <row r="3005" spans="1:13" ht="15" customHeight="1" x14ac:dyDescent="0.25">
      <c r="A3005" s="82">
        <v>45280</v>
      </c>
      <c r="B3005" t="s">
        <v>421</v>
      </c>
      <c r="C3005" t="s">
        <v>427</v>
      </c>
      <c r="D3005" t="s">
        <v>455</v>
      </c>
      <c r="E3005" t="s">
        <v>429</v>
      </c>
      <c r="F3005" t="s">
        <v>428</v>
      </c>
      <c r="G3005" t="s">
        <v>424</v>
      </c>
      <c r="H3005" t="s">
        <v>430</v>
      </c>
      <c r="I3005" t="s">
        <v>425</v>
      </c>
      <c r="J3005" t="s">
        <v>426</v>
      </c>
      <c r="L3005" t="s">
        <v>423</v>
      </c>
      <c r="M3005" t="s">
        <v>421</v>
      </c>
    </row>
    <row r="3006" spans="1:13" ht="15" customHeight="1" x14ac:dyDescent="0.25">
      <c r="A3006" s="82">
        <v>45281</v>
      </c>
      <c r="B3006" t="s">
        <v>427</v>
      </c>
      <c r="C3006" t="s">
        <v>455</v>
      </c>
      <c r="D3006" t="s">
        <v>421</v>
      </c>
      <c r="E3006" t="s">
        <v>429</v>
      </c>
      <c r="F3006" t="s">
        <v>428</v>
      </c>
      <c r="G3006" t="s">
        <v>424</v>
      </c>
      <c r="H3006" t="s">
        <v>430</v>
      </c>
      <c r="I3006" t="s">
        <v>425</v>
      </c>
      <c r="J3006" t="s">
        <v>426</v>
      </c>
      <c r="L3006" t="s">
        <v>423</v>
      </c>
      <c r="M3006" t="s">
        <v>421</v>
      </c>
    </row>
    <row r="3007" spans="1:13" ht="15" customHeight="1" x14ac:dyDescent="0.25">
      <c r="A3007" s="82">
        <v>45282</v>
      </c>
      <c r="B3007" t="s">
        <v>455</v>
      </c>
      <c r="C3007" t="s">
        <v>424</v>
      </c>
      <c r="D3007" t="s">
        <v>429</v>
      </c>
      <c r="E3007" t="s">
        <v>426</v>
      </c>
      <c r="F3007" t="s">
        <v>425</v>
      </c>
      <c r="G3007" t="s">
        <v>430</v>
      </c>
      <c r="H3007" t="s">
        <v>427</v>
      </c>
      <c r="I3007" t="s">
        <v>425</v>
      </c>
      <c r="J3007" t="s">
        <v>421</v>
      </c>
      <c r="L3007" t="s">
        <v>423</v>
      </c>
      <c r="M3007" t="s">
        <v>421</v>
      </c>
    </row>
    <row r="3008" spans="1:13" ht="15" customHeight="1" x14ac:dyDescent="0.25">
      <c r="A3008" s="82">
        <v>45283</v>
      </c>
      <c r="B3008" t="s">
        <v>428</v>
      </c>
      <c r="C3008" t="s">
        <v>424</v>
      </c>
      <c r="D3008" t="s">
        <v>429</v>
      </c>
      <c r="E3008" t="s">
        <v>426</v>
      </c>
      <c r="F3008" t="s">
        <v>425</v>
      </c>
      <c r="G3008" t="s">
        <v>430</v>
      </c>
      <c r="H3008" t="s">
        <v>455</v>
      </c>
      <c r="I3008" t="s">
        <v>421</v>
      </c>
      <c r="J3008" t="s">
        <v>427</v>
      </c>
      <c r="L3008" t="s">
        <v>423</v>
      </c>
      <c r="M3008" t="s">
        <v>421</v>
      </c>
    </row>
    <row r="3009" spans="1:13" ht="15" customHeight="1" x14ac:dyDescent="0.25">
      <c r="A3009" s="82">
        <v>45284</v>
      </c>
      <c r="B3009" t="s">
        <v>428</v>
      </c>
      <c r="C3009" t="s">
        <v>424</v>
      </c>
      <c r="D3009" t="s">
        <v>429</v>
      </c>
      <c r="E3009" t="s">
        <v>426</v>
      </c>
      <c r="F3009" t="s">
        <v>425</v>
      </c>
      <c r="G3009" t="s">
        <v>430</v>
      </c>
      <c r="H3009" t="s">
        <v>427</v>
      </c>
      <c r="I3009" t="s">
        <v>421</v>
      </c>
      <c r="J3009" t="s">
        <v>455</v>
      </c>
      <c r="L3009" t="s">
        <v>423</v>
      </c>
      <c r="M3009" t="s">
        <v>421</v>
      </c>
    </row>
    <row r="3010" spans="1:13" ht="15" customHeight="1" x14ac:dyDescent="0.25">
      <c r="A3010" s="82">
        <v>45285</v>
      </c>
      <c r="B3010" t="s">
        <v>428</v>
      </c>
      <c r="C3010" t="s">
        <v>424</v>
      </c>
      <c r="D3010" t="s">
        <v>429</v>
      </c>
      <c r="E3010" t="s">
        <v>426</v>
      </c>
      <c r="F3010" t="s">
        <v>425</v>
      </c>
      <c r="G3010" t="s">
        <v>430</v>
      </c>
      <c r="H3010" t="s">
        <v>455</v>
      </c>
      <c r="I3010" t="s">
        <v>427</v>
      </c>
      <c r="J3010" t="s">
        <v>421</v>
      </c>
      <c r="L3010" t="s">
        <v>421</v>
      </c>
      <c r="M3010" t="s">
        <v>423</v>
      </c>
    </row>
    <row r="3011" spans="1:13" ht="15" customHeight="1" x14ac:dyDescent="0.25">
      <c r="A3011" s="82">
        <v>45286</v>
      </c>
      <c r="B3011" t="s">
        <v>428</v>
      </c>
      <c r="C3011" t="s">
        <v>424</v>
      </c>
      <c r="D3011" t="s">
        <v>429</v>
      </c>
      <c r="E3011" t="s">
        <v>426</v>
      </c>
      <c r="F3011" t="s">
        <v>425</v>
      </c>
      <c r="G3011" t="s">
        <v>430</v>
      </c>
      <c r="H3011" t="s">
        <v>421</v>
      </c>
      <c r="I3011" t="s">
        <v>455</v>
      </c>
      <c r="J3011" t="s">
        <v>427</v>
      </c>
      <c r="L3011" t="s">
        <v>421</v>
      </c>
      <c r="M3011" t="s">
        <v>423</v>
      </c>
    </row>
    <row r="3012" spans="1:13" ht="15" customHeight="1" x14ac:dyDescent="0.25">
      <c r="A3012" s="82">
        <v>45287</v>
      </c>
      <c r="B3012" t="s">
        <v>428</v>
      </c>
      <c r="C3012" t="s">
        <v>424</v>
      </c>
      <c r="D3012" t="s">
        <v>429</v>
      </c>
      <c r="E3012" t="s">
        <v>426</v>
      </c>
      <c r="F3012" t="s">
        <v>425</v>
      </c>
      <c r="G3012" t="s">
        <v>430</v>
      </c>
      <c r="H3012" t="s">
        <v>421</v>
      </c>
      <c r="I3012" t="s">
        <v>427</v>
      </c>
      <c r="J3012" t="s">
        <v>455</v>
      </c>
      <c r="L3012" t="s">
        <v>421</v>
      </c>
      <c r="M3012" t="s">
        <v>423</v>
      </c>
    </row>
    <row r="3013" spans="1:13" ht="15" customHeight="1" x14ac:dyDescent="0.25">
      <c r="A3013" s="82">
        <v>45288</v>
      </c>
      <c r="B3013" t="s">
        <v>428</v>
      </c>
      <c r="C3013" t="s">
        <v>424</v>
      </c>
      <c r="D3013" t="s">
        <v>429</v>
      </c>
      <c r="E3013" t="s">
        <v>426</v>
      </c>
      <c r="F3013" t="s">
        <v>425</v>
      </c>
      <c r="G3013" t="s">
        <v>430</v>
      </c>
      <c r="H3013" t="s">
        <v>421</v>
      </c>
      <c r="I3013" t="s">
        <v>455</v>
      </c>
      <c r="J3013" t="s">
        <v>427</v>
      </c>
      <c r="L3013" t="s">
        <v>421</v>
      </c>
      <c r="M3013" t="s">
        <v>423</v>
      </c>
    </row>
    <row r="3014" spans="1:13" ht="15" customHeight="1" x14ac:dyDescent="0.25">
      <c r="A3014" s="82">
        <v>45289</v>
      </c>
      <c r="B3014" t="s">
        <v>425</v>
      </c>
      <c r="C3014" t="s">
        <v>424</v>
      </c>
      <c r="D3014" t="s">
        <v>426</v>
      </c>
      <c r="E3014" t="s">
        <v>427</v>
      </c>
      <c r="F3014" t="s">
        <v>425</v>
      </c>
      <c r="G3014" t="s">
        <v>421</v>
      </c>
      <c r="H3014" t="s">
        <v>429</v>
      </c>
      <c r="I3014" t="s">
        <v>430</v>
      </c>
      <c r="J3014" t="s">
        <v>455</v>
      </c>
      <c r="L3014" t="s">
        <v>423</v>
      </c>
      <c r="M3014" t="s">
        <v>421</v>
      </c>
    </row>
    <row r="3015" spans="1:13" ht="15" customHeight="1" x14ac:dyDescent="0.25">
      <c r="A3015" s="82">
        <v>45290</v>
      </c>
      <c r="B3015" t="s">
        <v>425</v>
      </c>
      <c r="C3015" t="s">
        <v>421</v>
      </c>
      <c r="D3015" t="s">
        <v>426</v>
      </c>
      <c r="E3015" t="s">
        <v>455</v>
      </c>
      <c r="F3015" t="s">
        <v>424</v>
      </c>
      <c r="G3015" t="s">
        <v>427</v>
      </c>
      <c r="H3015" t="s">
        <v>429</v>
      </c>
      <c r="I3015" t="s">
        <v>430</v>
      </c>
      <c r="J3015" t="s">
        <v>428</v>
      </c>
      <c r="L3015" t="s">
        <v>423</v>
      </c>
      <c r="M3015" t="s">
        <v>421</v>
      </c>
    </row>
    <row r="3016" spans="1:13" ht="15" customHeight="1" x14ac:dyDescent="0.25">
      <c r="A3016" s="82">
        <v>45291</v>
      </c>
      <c r="B3016" t="s">
        <v>425</v>
      </c>
      <c r="C3016" t="s">
        <v>421</v>
      </c>
      <c r="D3016" t="s">
        <v>426</v>
      </c>
      <c r="E3016" t="s">
        <v>427</v>
      </c>
      <c r="F3016" t="s">
        <v>424</v>
      </c>
      <c r="G3016" t="s">
        <v>455</v>
      </c>
      <c r="H3016" t="s">
        <v>429</v>
      </c>
      <c r="I3016" t="s">
        <v>430</v>
      </c>
      <c r="J3016" t="s">
        <v>428</v>
      </c>
      <c r="L3016" t="s">
        <v>423</v>
      </c>
      <c r="M3016" t="s">
        <v>421</v>
      </c>
    </row>
    <row r="3017" spans="1:13" ht="15" customHeight="1" x14ac:dyDescent="0.25">
      <c r="A3017" s="82">
        <v>45292</v>
      </c>
      <c r="B3017" t="s">
        <v>425</v>
      </c>
      <c r="C3017" t="s">
        <v>421</v>
      </c>
      <c r="D3017" t="s">
        <v>426</v>
      </c>
      <c r="E3017" t="s">
        <v>455</v>
      </c>
      <c r="F3017" t="s">
        <v>424</v>
      </c>
      <c r="G3017" t="s">
        <v>427</v>
      </c>
      <c r="H3017" t="s">
        <v>429</v>
      </c>
      <c r="I3017" t="s">
        <v>430</v>
      </c>
      <c r="J3017" t="s">
        <v>428</v>
      </c>
      <c r="L3017" t="s">
        <v>423</v>
      </c>
      <c r="M3017" t="s">
        <v>421</v>
      </c>
    </row>
    <row r="3018" spans="1:13" ht="15" customHeight="1" x14ac:dyDescent="0.25">
      <c r="A3018" s="82">
        <v>45293</v>
      </c>
      <c r="B3018" t="s">
        <v>425</v>
      </c>
      <c r="C3018" t="s">
        <v>427</v>
      </c>
      <c r="D3018" t="s">
        <v>426</v>
      </c>
      <c r="E3018" t="s">
        <v>421</v>
      </c>
      <c r="F3018" t="s">
        <v>424</v>
      </c>
      <c r="G3018" t="s">
        <v>455</v>
      </c>
      <c r="H3018" t="s">
        <v>429</v>
      </c>
      <c r="I3018" t="s">
        <v>430</v>
      </c>
      <c r="J3018" t="s">
        <v>428</v>
      </c>
      <c r="L3018" t="s">
        <v>423</v>
      </c>
      <c r="M3018" t="s">
        <v>421</v>
      </c>
    </row>
    <row r="3019" spans="1:13" ht="15" customHeight="1" x14ac:dyDescent="0.25">
      <c r="A3019" s="82">
        <v>45294</v>
      </c>
      <c r="B3019" t="s">
        <v>425</v>
      </c>
      <c r="C3019" t="s">
        <v>455</v>
      </c>
      <c r="D3019" t="s">
        <v>426</v>
      </c>
      <c r="E3019" t="s">
        <v>421</v>
      </c>
      <c r="F3019" t="s">
        <v>424</v>
      </c>
      <c r="G3019" t="s">
        <v>427</v>
      </c>
      <c r="H3019" t="s">
        <v>429</v>
      </c>
      <c r="I3019" t="s">
        <v>430</v>
      </c>
      <c r="J3019" t="s">
        <v>428</v>
      </c>
      <c r="L3019" t="s">
        <v>423</v>
      </c>
      <c r="M3019" t="s">
        <v>421</v>
      </c>
    </row>
    <row r="3020" spans="1:13" ht="15" customHeight="1" x14ac:dyDescent="0.25">
      <c r="A3020" s="82">
        <v>45295</v>
      </c>
      <c r="B3020" t="s">
        <v>425</v>
      </c>
      <c r="C3020" t="s">
        <v>430</v>
      </c>
      <c r="D3020" t="s">
        <v>426</v>
      </c>
      <c r="E3020" t="s">
        <v>427</v>
      </c>
      <c r="F3020" t="s">
        <v>421</v>
      </c>
      <c r="G3020" t="s">
        <v>455</v>
      </c>
      <c r="H3020" t="s">
        <v>429</v>
      </c>
      <c r="I3020" t="s">
        <v>424</v>
      </c>
      <c r="J3020" t="s">
        <v>428</v>
      </c>
      <c r="L3020" t="s">
        <v>421</v>
      </c>
      <c r="M3020" t="s">
        <v>423</v>
      </c>
    </row>
    <row r="3021" spans="1:13" ht="15" customHeight="1" x14ac:dyDescent="0.25">
      <c r="A3021" s="82">
        <v>45296</v>
      </c>
      <c r="B3021" t="s">
        <v>425</v>
      </c>
      <c r="C3021" t="s">
        <v>421</v>
      </c>
      <c r="D3021" t="s">
        <v>427</v>
      </c>
      <c r="E3021" t="s">
        <v>455</v>
      </c>
      <c r="F3021" t="s">
        <v>424</v>
      </c>
      <c r="G3021" t="s">
        <v>429</v>
      </c>
      <c r="H3021" t="s">
        <v>426</v>
      </c>
      <c r="I3021" t="s">
        <v>430</v>
      </c>
      <c r="J3021" t="s">
        <v>425</v>
      </c>
      <c r="L3021" t="s">
        <v>421</v>
      </c>
      <c r="M3021" t="s">
        <v>423</v>
      </c>
    </row>
    <row r="3022" spans="1:13" ht="15" customHeight="1" x14ac:dyDescent="0.25">
      <c r="A3022" s="82">
        <v>45297</v>
      </c>
      <c r="B3022" t="s">
        <v>421</v>
      </c>
      <c r="C3022" t="s">
        <v>427</v>
      </c>
      <c r="D3022" t="s">
        <v>455</v>
      </c>
      <c r="E3022" t="s">
        <v>428</v>
      </c>
      <c r="F3022" t="s">
        <v>424</v>
      </c>
      <c r="G3022" t="s">
        <v>429</v>
      </c>
      <c r="H3022" t="s">
        <v>426</v>
      </c>
      <c r="I3022" t="s">
        <v>430</v>
      </c>
      <c r="J3022" t="s">
        <v>425</v>
      </c>
      <c r="L3022" t="s">
        <v>421</v>
      </c>
      <c r="M3022" t="s">
        <v>423</v>
      </c>
    </row>
    <row r="3023" spans="1:13" ht="15" customHeight="1" x14ac:dyDescent="0.25">
      <c r="A3023" s="82">
        <v>45298</v>
      </c>
      <c r="B3023" t="s">
        <v>421</v>
      </c>
      <c r="C3023" t="s">
        <v>455</v>
      </c>
      <c r="D3023" t="s">
        <v>427</v>
      </c>
      <c r="E3023" t="s">
        <v>428</v>
      </c>
      <c r="F3023" t="s">
        <v>424</v>
      </c>
      <c r="G3023" t="s">
        <v>429</v>
      </c>
      <c r="H3023" t="s">
        <v>426</v>
      </c>
      <c r="I3023" t="s">
        <v>430</v>
      </c>
      <c r="J3023" t="s">
        <v>425</v>
      </c>
      <c r="L3023" t="s">
        <v>421</v>
      </c>
      <c r="M3023" t="s">
        <v>423</v>
      </c>
    </row>
    <row r="3024" spans="1:13" ht="15" customHeight="1" x14ac:dyDescent="0.25">
      <c r="A3024" s="82">
        <v>45299</v>
      </c>
      <c r="B3024" t="s">
        <v>427</v>
      </c>
      <c r="C3024" t="s">
        <v>421</v>
      </c>
      <c r="D3024" t="s">
        <v>455</v>
      </c>
      <c r="E3024" t="s">
        <v>428</v>
      </c>
      <c r="F3024" t="s">
        <v>424</v>
      </c>
      <c r="G3024" t="s">
        <v>429</v>
      </c>
      <c r="H3024" t="s">
        <v>426</v>
      </c>
      <c r="I3024" t="s">
        <v>430</v>
      </c>
      <c r="J3024" t="s">
        <v>425</v>
      </c>
      <c r="L3024" t="s">
        <v>421</v>
      </c>
      <c r="M3024" t="s">
        <v>423</v>
      </c>
    </row>
    <row r="3025" spans="1:13" ht="15" customHeight="1" x14ac:dyDescent="0.25">
      <c r="A3025" s="82">
        <v>45300</v>
      </c>
      <c r="B3025" t="s">
        <v>455</v>
      </c>
      <c r="C3025" t="s">
        <v>427</v>
      </c>
      <c r="D3025" t="s">
        <v>421</v>
      </c>
      <c r="E3025" t="s">
        <v>428</v>
      </c>
      <c r="F3025" t="s">
        <v>424</v>
      </c>
      <c r="G3025" t="s">
        <v>429</v>
      </c>
      <c r="H3025" t="s">
        <v>426</v>
      </c>
      <c r="I3025" t="s">
        <v>430</v>
      </c>
      <c r="J3025" t="s">
        <v>425</v>
      </c>
      <c r="L3025" t="s">
        <v>421</v>
      </c>
      <c r="M3025" t="s">
        <v>423</v>
      </c>
    </row>
    <row r="3026" spans="1:13" ht="15" customHeight="1" x14ac:dyDescent="0.25">
      <c r="A3026" s="82">
        <v>45301</v>
      </c>
      <c r="B3026" t="s">
        <v>427</v>
      </c>
      <c r="C3026" t="s">
        <v>455</v>
      </c>
      <c r="D3026" t="s">
        <v>421</v>
      </c>
      <c r="E3026" t="s">
        <v>428</v>
      </c>
      <c r="F3026" t="s">
        <v>424</v>
      </c>
      <c r="G3026" t="s">
        <v>429</v>
      </c>
      <c r="H3026" t="s">
        <v>426</v>
      </c>
      <c r="I3026" t="s">
        <v>430</v>
      </c>
      <c r="J3026" t="s">
        <v>425</v>
      </c>
      <c r="L3026" t="s">
        <v>423</v>
      </c>
      <c r="M3026" t="s">
        <v>421</v>
      </c>
    </row>
    <row r="3027" spans="1:13" ht="15" customHeight="1" x14ac:dyDescent="0.25">
      <c r="A3027" s="82">
        <v>45302</v>
      </c>
      <c r="B3027" t="s">
        <v>455</v>
      </c>
      <c r="C3027" t="s">
        <v>421</v>
      </c>
      <c r="D3027" t="s">
        <v>427</v>
      </c>
      <c r="E3027" t="s">
        <v>428</v>
      </c>
      <c r="F3027" t="s">
        <v>424</v>
      </c>
      <c r="G3027" t="s">
        <v>429</v>
      </c>
      <c r="H3027" t="s">
        <v>426</v>
      </c>
      <c r="I3027" t="s">
        <v>430</v>
      </c>
      <c r="J3027" t="s">
        <v>425</v>
      </c>
      <c r="L3027" t="s">
        <v>423</v>
      </c>
      <c r="M3027" t="s">
        <v>421</v>
      </c>
    </row>
    <row r="3028" spans="1:13" ht="15" customHeight="1" x14ac:dyDescent="0.25">
      <c r="A3028" s="82">
        <v>45303</v>
      </c>
      <c r="B3028" t="s">
        <v>424</v>
      </c>
      <c r="C3028" t="s">
        <v>429</v>
      </c>
      <c r="D3028" t="s">
        <v>455</v>
      </c>
      <c r="E3028" t="s">
        <v>425</v>
      </c>
      <c r="F3028" t="s">
        <v>424</v>
      </c>
      <c r="G3028" t="s">
        <v>426</v>
      </c>
      <c r="H3028" t="s">
        <v>427</v>
      </c>
      <c r="I3028" t="s">
        <v>421</v>
      </c>
      <c r="J3028" t="s">
        <v>425</v>
      </c>
      <c r="L3028" t="s">
        <v>428</v>
      </c>
      <c r="M3028" t="s">
        <v>421</v>
      </c>
    </row>
    <row r="3029" spans="1:13" ht="15" customHeight="1" x14ac:dyDescent="0.25">
      <c r="A3029" s="82">
        <v>45304</v>
      </c>
      <c r="B3029" t="s">
        <v>424</v>
      </c>
      <c r="C3029" t="s">
        <v>429</v>
      </c>
      <c r="D3029" t="s">
        <v>428</v>
      </c>
      <c r="E3029" t="s">
        <v>425</v>
      </c>
      <c r="F3029" t="s">
        <v>430</v>
      </c>
      <c r="G3029" t="s">
        <v>426</v>
      </c>
      <c r="H3029" t="s">
        <v>455</v>
      </c>
      <c r="I3029" t="s">
        <v>427</v>
      </c>
      <c r="J3029" t="s">
        <v>421</v>
      </c>
      <c r="L3029" t="s">
        <v>428</v>
      </c>
      <c r="M3029" t="s">
        <v>421</v>
      </c>
    </row>
    <row r="3030" spans="1:13" ht="15" customHeight="1" x14ac:dyDescent="0.25">
      <c r="A3030" s="82">
        <v>45305</v>
      </c>
      <c r="B3030" t="s">
        <v>424</v>
      </c>
      <c r="C3030" t="s">
        <v>429</v>
      </c>
      <c r="D3030" t="s">
        <v>428</v>
      </c>
      <c r="E3030" t="s">
        <v>425</v>
      </c>
      <c r="F3030" t="s">
        <v>430</v>
      </c>
      <c r="G3030" t="s">
        <v>426</v>
      </c>
      <c r="H3030" t="s">
        <v>427</v>
      </c>
      <c r="I3030" t="s">
        <v>455</v>
      </c>
      <c r="J3030" t="s">
        <v>421</v>
      </c>
      <c r="L3030" t="s">
        <v>428</v>
      </c>
      <c r="M3030" t="s">
        <v>421</v>
      </c>
    </row>
    <row r="3031" spans="1:13" ht="15" customHeight="1" x14ac:dyDescent="0.25">
      <c r="A3031" s="82">
        <v>45306</v>
      </c>
      <c r="B3031" t="s">
        <v>424</v>
      </c>
      <c r="C3031" t="s">
        <v>429</v>
      </c>
      <c r="D3031" t="s">
        <v>428</v>
      </c>
      <c r="E3031" t="s">
        <v>425</v>
      </c>
      <c r="F3031" t="s">
        <v>430</v>
      </c>
      <c r="G3031" t="s">
        <v>426</v>
      </c>
      <c r="H3031" t="s">
        <v>455</v>
      </c>
      <c r="I3031" t="s">
        <v>421</v>
      </c>
      <c r="J3031" t="s">
        <v>427</v>
      </c>
      <c r="L3031" t="s">
        <v>428</v>
      </c>
      <c r="M3031" t="s">
        <v>421</v>
      </c>
    </row>
    <row r="3032" spans="1:13" ht="15" customHeight="1" x14ac:dyDescent="0.25">
      <c r="A3032" s="82">
        <v>45307</v>
      </c>
      <c r="B3032" t="s">
        <v>424</v>
      </c>
      <c r="C3032" t="s">
        <v>429</v>
      </c>
      <c r="D3032" t="s">
        <v>428</v>
      </c>
      <c r="E3032" t="s">
        <v>425</v>
      </c>
      <c r="F3032" t="s">
        <v>430</v>
      </c>
      <c r="G3032" t="s">
        <v>426</v>
      </c>
      <c r="H3032" t="s">
        <v>421</v>
      </c>
      <c r="I3032" t="s">
        <v>427</v>
      </c>
      <c r="J3032" t="s">
        <v>455</v>
      </c>
      <c r="L3032" t="s">
        <v>421</v>
      </c>
      <c r="M3032" t="s">
        <v>423</v>
      </c>
    </row>
    <row r="3033" spans="1:13" ht="15" customHeight="1" x14ac:dyDescent="0.25">
      <c r="A3033" s="82">
        <v>45308</v>
      </c>
      <c r="B3033" t="s">
        <v>424</v>
      </c>
      <c r="C3033" t="s">
        <v>429</v>
      </c>
      <c r="D3033" t="s">
        <v>428</v>
      </c>
      <c r="E3033" t="s">
        <v>425</v>
      </c>
      <c r="F3033" t="s">
        <v>430</v>
      </c>
      <c r="G3033" t="s">
        <v>426</v>
      </c>
      <c r="H3033" t="s">
        <v>421</v>
      </c>
      <c r="I3033" t="s">
        <v>455</v>
      </c>
      <c r="J3033" t="s">
        <v>427</v>
      </c>
      <c r="L3033" t="s">
        <v>421</v>
      </c>
      <c r="M3033" t="s">
        <v>423</v>
      </c>
    </row>
    <row r="3034" spans="1:13" ht="15" customHeight="1" x14ac:dyDescent="0.25">
      <c r="A3034" s="82">
        <v>45309</v>
      </c>
      <c r="B3034" t="s">
        <v>424</v>
      </c>
      <c r="C3034" t="s">
        <v>429</v>
      </c>
      <c r="D3034" t="s">
        <v>428</v>
      </c>
      <c r="E3034" t="s">
        <v>425</v>
      </c>
      <c r="F3034" t="s">
        <v>430</v>
      </c>
      <c r="G3034" t="s">
        <v>426</v>
      </c>
      <c r="H3034" t="s">
        <v>427</v>
      </c>
      <c r="I3034" t="s">
        <v>421</v>
      </c>
      <c r="J3034" t="s">
        <v>455</v>
      </c>
      <c r="L3034" t="s">
        <v>421</v>
      </c>
      <c r="M3034" t="s">
        <v>423</v>
      </c>
    </row>
    <row r="3035" spans="1:13" ht="15" customHeight="1" x14ac:dyDescent="0.25">
      <c r="A3035" s="82">
        <v>45310</v>
      </c>
      <c r="B3035" t="s">
        <v>424</v>
      </c>
      <c r="C3035" t="s">
        <v>426</v>
      </c>
      <c r="D3035" t="s">
        <v>425</v>
      </c>
      <c r="E3035" t="s">
        <v>425</v>
      </c>
      <c r="F3035" t="s">
        <v>421</v>
      </c>
      <c r="G3035" t="s">
        <v>427</v>
      </c>
      <c r="H3035" t="s">
        <v>455</v>
      </c>
      <c r="I3035" t="s">
        <v>429</v>
      </c>
      <c r="J3035" t="s">
        <v>424</v>
      </c>
      <c r="L3035" t="s">
        <v>421</v>
      </c>
      <c r="M3035" t="s">
        <v>423</v>
      </c>
    </row>
    <row r="3036" spans="1:13" ht="15" customHeight="1" x14ac:dyDescent="0.25">
      <c r="A3036" s="82">
        <v>45311</v>
      </c>
      <c r="B3036" t="s">
        <v>430</v>
      </c>
      <c r="C3036" t="s">
        <v>426</v>
      </c>
      <c r="D3036" t="s">
        <v>425</v>
      </c>
      <c r="E3036" t="s">
        <v>421</v>
      </c>
      <c r="F3036" t="s">
        <v>427</v>
      </c>
      <c r="G3036" t="s">
        <v>455</v>
      </c>
      <c r="H3036" t="s">
        <v>428</v>
      </c>
      <c r="I3036" t="s">
        <v>429</v>
      </c>
      <c r="J3036" t="s">
        <v>424</v>
      </c>
      <c r="L3036" t="s">
        <v>421</v>
      </c>
      <c r="M3036" t="s">
        <v>423</v>
      </c>
    </row>
    <row r="3037" spans="1:13" ht="15" customHeight="1" x14ac:dyDescent="0.25">
      <c r="A3037" s="82">
        <v>45312</v>
      </c>
      <c r="B3037" t="s">
        <v>430</v>
      </c>
      <c r="C3037" t="s">
        <v>426</v>
      </c>
      <c r="D3037" t="s">
        <v>425</v>
      </c>
      <c r="E3037" t="s">
        <v>421</v>
      </c>
      <c r="F3037" t="s">
        <v>455</v>
      </c>
      <c r="G3037" t="s">
        <v>427</v>
      </c>
      <c r="H3037" t="s">
        <v>428</v>
      </c>
      <c r="I3037" t="s">
        <v>429</v>
      </c>
      <c r="J3037" t="s">
        <v>424</v>
      </c>
      <c r="L3037" t="s">
        <v>421</v>
      </c>
      <c r="M3037" t="s">
        <v>423</v>
      </c>
    </row>
    <row r="3038" spans="1:13" ht="15" customHeight="1" x14ac:dyDescent="0.25">
      <c r="A3038" s="82">
        <v>45313</v>
      </c>
      <c r="B3038" t="s">
        <v>430</v>
      </c>
      <c r="C3038" t="s">
        <v>426</v>
      </c>
      <c r="D3038" t="s">
        <v>425</v>
      </c>
      <c r="E3038" t="s">
        <v>427</v>
      </c>
      <c r="F3038" t="s">
        <v>421</v>
      </c>
      <c r="G3038" t="s">
        <v>455</v>
      </c>
      <c r="H3038" t="s">
        <v>428</v>
      </c>
      <c r="I3038" t="s">
        <v>429</v>
      </c>
      <c r="J3038" t="s">
        <v>424</v>
      </c>
      <c r="L3038" t="s">
        <v>423</v>
      </c>
      <c r="M3038" t="s">
        <v>421</v>
      </c>
    </row>
    <row r="3039" spans="1:13" ht="15" customHeight="1" x14ac:dyDescent="0.25">
      <c r="A3039" s="82">
        <v>45314</v>
      </c>
      <c r="B3039" t="s">
        <v>430</v>
      </c>
      <c r="C3039" t="s">
        <v>426</v>
      </c>
      <c r="D3039" t="s">
        <v>425</v>
      </c>
      <c r="E3039" t="s">
        <v>455</v>
      </c>
      <c r="F3039" t="s">
        <v>427</v>
      </c>
      <c r="G3039" t="s">
        <v>421</v>
      </c>
      <c r="H3039" t="s">
        <v>428</v>
      </c>
      <c r="I3039" t="s">
        <v>429</v>
      </c>
      <c r="J3039" t="s">
        <v>424</v>
      </c>
      <c r="L3039" t="s">
        <v>423</v>
      </c>
      <c r="M3039" t="s">
        <v>421</v>
      </c>
    </row>
    <row r="3040" spans="1:13" ht="15" customHeight="1" x14ac:dyDescent="0.25">
      <c r="A3040" s="82">
        <v>45315</v>
      </c>
      <c r="B3040" t="s">
        <v>430</v>
      </c>
      <c r="C3040" t="s">
        <v>426</v>
      </c>
      <c r="D3040" t="s">
        <v>425</v>
      </c>
      <c r="E3040" t="s">
        <v>427</v>
      </c>
      <c r="F3040" t="s">
        <v>455</v>
      </c>
      <c r="G3040" t="s">
        <v>421</v>
      </c>
      <c r="H3040" t="s">
        <v>428</v>
      </c>
      <c r="I3040" t="s">
        <v>429</v>
      </c>
      <c r="J3040" t="s">
        <v>424</v>
      </c>
      <c r="L3040" t="s">
        <v>423</v>
      </c>
      <c r="M3040" t="s">
        <v>421</v>
      </c>
    </row>
    <row r="3041" spans="1:13" ht="15" customHeight="1" x14ac:dyDescent="0.25">
      <c r="A3041" s="82">
        <v>45316</v>
      </c>
      <c r="B3041" t="s">
        <v>430</v>
      </c>
      <c r="C3041" t="s">
        <v>426</v>
      </c>
      <c r="D3041" t="s">
        <v>425</v>
      </c>
      <c r="E3041" t="s">
        <v>455</v>
      </c>
      <c r="F3041" t="s">
        <v>421</v>
      </c>
      <c r="G3041" t="s">
        <v>427</v>
      </c>
      <c r="H3041" t="s">
        <v>428</v>
      </c>
      <c r="I3041" t="s">
        <v>429</v>
      </c>
      <c r="J3041" t="s">
        <v>424</v>
      </c>
      <c r="L3041" t="s">
        <v>423</v>
      </c>
      <c r="M3041" t="s">
        <v>421</v>
      </c>
    </row>
    <row r="3042" spans="1:13" ht="15" customHeight="1" x14ac:dyDescent="0.25">
      <c r="A3042" s="82">
        <v>45317</v>
      </c>
      <c r="B3042" t="s">
        <v>421</v>
      </c>
      <c r="C3042" t="s">
        <v>427</v>
      </c>
      <c r="D3042" t="s">
        <v>425</v>
      </c>
      <c r="E3042" t="s">
        <v>424</v>
      </c>
      <c r="F3042" t="s">
        <v>429</v>
      </c>
      <c r="G3042" t="s">
        <v>455</v>
      </c>
      <c r="H3042" t="s">
        <v>425</v>
      </c>
      <c r="I3042" t="s">
        <v>426</v>
      </c>
      <c r="J3042" t="s">
        <v>424</v>
      </c>
      <c r="L3042" t="s">
        <v>421</v>
      </c>
      <c r="M3042" t="s">
        <v>423</v>
      </c>
    </row>
    <row r="3043" spans="1:13" ht="15" customHeight="1" x14ac:dyDescent="0.25">
      <c r="A3043" s="82">
        <v>45318</v>
      </c>
      <c r="B3043" t="s">
        <v>427</v>
      </c>
      <c r="C3043" t="s">
        <v>455</v>
      </c>
      <c r="D3043" t="s">
        <v>421</v>
      </c>
      <c r="E3043" t="s">
        <v>424</v>
      </c>
      <c r="F3043" t="s">
        <v>429</v>
      </c>
      <c r="G3043" t="s">
        <v>428</v>
      </c>
      <c r="H3043" t="s">
        <v>425</v>
      </c>
      <c r="I3043" t="s">
        <v>426</v>
      </c>
      <c r="J3043" t="s">
        <v>430</v>
      </c>
      <c r="L3043" t="s">
        <v>421</v>
      </c>
      <c r="M3043" t="s">
        <v>423</v>
      </c>
    </row>
    <row r="3044" spans="1:13" ht="15" customHeight="1" x14ac:dyDescent="0.25">
      <c r="A3044" s="82">
        <v>45319</v>
      </c>
      <c r="B3044" t="s">
        <v>455</v>
      </c>
      <c r="C3044" t="s">
        <v>427</v>
      </c>
      <c r="D3044" t="s">
        <v>421</v>
      </c>
      <c r="E3044" t="s">
        <v>424</v>
      </c>
      <c r="F3044" t="s">
        <v>429</v>
      </c>
      <c r="G3044" t="s">
        <v>428</v>
      </c>
      <c r="H3044" t="s">
        <v>425</v>
      </c>
      <c r="I3044" t="s">
        <v>426</v>
      </c>
      <c r="J3044" t="s">
        <v>430</v>
      </c>
      <c r="L3044" t="s">
        <v>421</v>
      </c>
      <c r="M3044" t="s">
        <v>423</v>
      </c>
    </row>
    <row r="3045" spans="1:13" ht="15" customHeight="1" x14ac:dyDescent="0.25">
      <c r="A3045" s="82">
        <v>45320</v>
      </c>
      <c r="B3045" t="s">
        <v>421</v>
      </c>
      <c r="C3045" t="s">
        <v>455</v>
      </c>
      <c r="D3045" t="s">
        <v>427</v>
      </c>
      <c r="E3045" t="s">
        <v>424</v>
      </c>
      <c r="F3045" t="s">
        <v>429</v>
      </c>
      <c r="G3045" t="s">
        <v>428</v>
      </c>
      <c r="H3045" t="s">
        <v>425</v>
      </c>
      <c r="I3045" t="s">
        <v>426</v>
      </c>
      <c r="J3045" t="s">
        <v>430</v>
      </c>
      <c r="L3045" t="s">
        <v>421</v>
      </c>
      <c r="M3045" t="s">
        <v>423</v>
      </c>
    </row>
    <row r="3046" spans="1:13" ht="15" customHeight="1" x14ac:dyDescent="0.25">
      <c r="A3046" s="82">
        <v>45321</v>
      </c>
      <c r="B3046" t="s">
        <v>427</v>
      </c>
      <c r="C3046" t="s">
        <v>421</v>
      </c>
      <c r="D3046" t="s">
        <v>455</v>
      </c>
      <c r="E3046" t="s">
        <v>424</v>
      </c>
      <c r="F3046" t="s">
        <v>429</v>
      </c>
      <c r="G3046" t="s">
        <v>428</v>
      </c>
      <c r="H3046" t="s">
        <v>425</v>
      </c>
      <c r="I3046" t="s">
        <v>426</v>
      </c>
      <c r="J3046" t="s">
        <v>430</v>
      </c>
      <c r="L3046" t="s">
        <v>421</v>
      </c>
      <c r="M3046" t="s">
        <v>423</v>
      </c>
    </row>
    <row r="3047" spans="1:13" ht="15" customHeight="1" x14ac:dyDescent="0.25">
      <c r="A3047" s="82">
        <v>45322</v>
      </c>
      <c r="B3047" t="s">
        <v>455</v>
      </c>
      <c r="C3047" t="s">
        <v>421</v>
      </c>
      <c r="D3047" t="s">
        <v>427</v>
      </c>
      <c r="E3047" t="s">
        <v>424</v>
      </c>
      <c r="F3047" t="s">
        <v>429</v>
      </c>
      <c r="G3047" t="s">
        <v>428</v>
      </c>
      <c r="H3047" t="s">
        <v>425</v>
      </c>
      <c r="I3047" t="s">
        <v>426</v>
      </c>
      <c r="J3047" t="s">
        <v>430</v>
      </c>
      <c r="L3047" t="s">
        <v>421</v>
      </c>
      <c r="M3047" t="s">
        <v>423</v>
      </c>
    </row>
    <row r="3048" spans="1:13" ht="15" customHeight="1" x14ac:dyDescent="0.25">
      <c r="A3048" s="82">
        <v>45323</v>
      </c>
      <c r="B3048" t="s">
        <v>421</v>
      </c>
      <c r="C3048" t="s">
        <v>427</v>
      </c>
      <c r="D3048" t="s">
        <v>455</v>
      </c>
      <c r="E3048" t="s">
        <v>424</v>
      </c>
      <c r="F3048" t="s">
        <v>429</v>
      </c>
      <c r="G3048" t="s">
        <v>428</v>
      </c>
      <c r="H3048" t="s">
        <v>425</v>
      </c>
      <c r="I3048" t="s">
        <v>426</v>
      </c>
      <c r="J3048" t="s">
        <v>430</v>
      </c>
      <c r="L3048" t="s">
        <v>423</v>
      </c>
      <c r="M3048" t="s">
        <v>421</v>
      </c>
    </row>
    <row r="3049" spans="1:13" ht="15" customHeight="1" x14ac:dyDescent="0.25">
      <c r="A3049" s="82">
        <v>45324</v>
      </c>
      <c r="B3049" t="s">
        <v>429</v>
      </c>
      <c r="C3049" t="s">
        <v>455</v>
      </c>
      <c r="D3049" t="s">
        <v>424</v>
      </c>
      <c r="E3049" t="s">
        <v>424</v>
      </c>
      <c r="F3049" t="s">
        <v>426</v>
      </c>
      <c r="G3049" t="s">
        <v>425</v>
      </c>
      <c r="H3049" t="s">
        <v>425</v>
      </c>
      <c r="I3049" t="s">
        <v>427</v>
      </c>
      <c r="J3049" t="s">
        <v>421</v>
      </c>
      <c r="L3049" t="s">
        <v>423</v>
      </c>
      <c r="M3049" t="s">
        <v>421</v>
      </c>
    </row>
    <row r="3050" spans="1:13" ht="15" customHeight="1" x14ac:dyDescent="0.25">
      <c r="A3050" s="82">
        <v>45325</v>
      </c>
      <c r="B3050" t="s">
        <v>429</v>
      </c>
      <c r="C3050" t="s">
        <v>428</v>
      </c>
      <c r="D3050" t="s">
        <v>424</v>
      </c>
      <c r="E3050" t="s">
        <v>430</v>
      </c>
      <c r="F3050" t="s">
        <v>426</v>
      </c>
      <c r="G3050" t="s">
        <v>425</v>
      </c>
      <c r="H3050" t="s">
        <v>421</v>
      </c>
      <c r="I3050" t="s">
        <v>455</v>
      </c>
      <c r="J3050" t="s">
        <v>427</v>
      </c>
      <c r="L3050" t="s">
        <v>423</v>
      </c>
      <c r="M3050" t="s">
        <v>421</v>
      </c>
    </row>
    <row r="3051" spans="1:13" ht="15" customHeight="1" x14ac:dyDescent="0.25">
      <c r="A3051" s="82">
        <v>45326</v>
      </c>
      <c r="B3051" t="s">
        <v>429</v>
      </c>
      <c r="C3051" t="s">
        <v>428</v>
      </c>
      <c r="D3051" t="s">
        <v>424</v>
      </c>
      <c r="E3051" t="s">
        <v>430</v>
      </c>
      <c r="F3051" t="s">
        <v>426</v>
      </c>
      <c r="G3051" t="s">
        <v>425</v>
      </c>
      <c r="H3051" t="s">
        <v>421</v>
      </c>
      <c r="I3051" t="s">
        <v>427</v>
      </c>
      <c r="J3051" t="s">
        <v>455</v>
      </c>
      <c r="L3051" t="s">
        <v>423</v>
      </c>
      <c r="M3051" t="s">
        <v>421</v>
      </c>
    </row>
    <row r="3052" spans="1:13" ht="15" customHeight="1" x14ac:dyDescent="0.25">
      <c r="A3052" s="82">
        <v>45327</v>
      </c>
      <c r="B3052" t="s">
        <v>429</v>
      </c>
      <c r="C3052" t="s">
        <v>428</v>
      </c>
      <c r="D3052" t="s">
        <v>424</v>
      </c>
      <c r="E3052" t="s">
        <v>430</v>
      </c>
      <c r="F3052" t="s">
        <v>426</v>
      </c>
      <c r="G3052" t="s">
        <v>425</v>
      </c>
      <c r="H3052" t="s">
        <v>427</v>
      </c>
      <c r="I3052" t="s">
        <v>455</v>
      </c>
      <c r="J3052" t="s">
        <v>421</v>
      </c>
      <c r="L3052" t="s">
        <v>423</v>
      </c>
      <c r="M3052" t="s">
        <v>421</v>
      </c>
    </row>
    <row r="3053" spans="1:13" ht="15" customHeight="1" x14ac:dyDescent="0.25">
      <c r="A3053" s="82">
        <v>45328</v>
      </c>
      <c r="B3053" t="s">
        <v>429</v>
      </c>
      <c r="C3053" t="s">
        <v>428</v>
      </c>
      <c r="D3053" t="s">
        <v>424</v>
      </c>
      <c r="E3053" t="s">
        <v>430</v>
      </c>
      <c r="F3053" t="s">
        <v>426</v>
      </c>
      <c r="G3053" t="s">
        <v>425</v>
      </c>
      <c r="H3053" t="s">
        <v>455</v>
      </c>
      <c r="I3053" t="s">
        <v>421</v>
      </c>
      <c r="J3053" t="s">
        <v>427</v>
      </c>
      <c r="L3053" t="s">
        <v>423</v>
      </c>
      <c r="M3053" t="s">
        <v>421</v>
      </c>
    </row>
    <row r="3054" spans="1:13" ht="15" customHeight="1" x14ac:dyDescent="0.25">
      <c r="A3054" s="82">
        <v>45329</v>
      </c>
      <c r="B3054" t="s">
        <v>429</v>
      </c>
      <c r="C3054" t="s">
        <v>428</v>
      </c>
      <c r="D3054" t="s">
        <v>424</v>
      </c>
      <c r="E3054" t="s">
        <v>430</v>
      </c>
      <c r="F3054" t="s">
        <v>426</v>
      </c>
      <c r="G3054" t="s">
        <v>425</v>
      </c>
      <c r="H3054" t="s">
        <v>427</v>
      </c>
      <c r="I3054" t="s">
        <v>421</v>
      </c>
      <c r="J3054" t="s">
        <v>455</v>
      </c>
      <c r="L3054" t="s">
        <v>421</v>
      </c>
      <c r="M3054" t="s">
        <v>423</v>
      </c>
    </row>
    <row r="3055" spans="1:13" ht="15" customHeight="1" x14ac:dyDescent="0.25">
      <c r="A3055" s="82">
        <v>45330</v>
      </c>
      <c r="B3055" t="s">
        <v>429</v>
      </c>
      <c r="C3055" t="s">
        <v>428</v>
      </c>
      <c r="D3055" t="s">
        <v>424</v>
      </c>
      <c r="E3055" t="s">
        <v>430</v>
      </c>
      <c r="F3055" t="s">
        <v>426</v>
      </c>
      <c r="G3055" t="s">
        <v>425</v>
      </c>
      <c r="H3055" t="s">
        <v>455</v>
      </c>
      <c r="I3055" t="s">
        <v>427</v>
      </c>
      <c r="J3055" t="s">
        <v>421</v>
      </c>
      <c r="L3055" t="s">
        <v>421</v>
      </c>
      <c r="M3055" t="s">
        <v>423</v>
      </c>
    </row>
    <row r="3056" spans="1:13" ht="15" customHeight="1" x14ac:dyDescent="0.25">
      <c r="A3056" s="82">
        <v>45331</v>
      </c>
      <c r="B3056" t="s">
        <v>426</v>
      </c>
      <c r="C3056" t="s">
        <v>425</v>
      </c>
      <c r="D3056" t="s">
        <v>424</v>
      </c>
      <c r="E3056" t="s">
        <v>421</v>
      </c>
      <c r="F3056" t="s">
        <v>427</v>
      </c>
      <c r="G3056" t="s">
        <v>425</v>
      </c>
      <c r="H3056" t="s">
        <v>424</v>
      </c>
      <c r="I3056" t="s">
        <v>455</v>
      </c>
      <c r="J3056" t="s">
        <v>429</v>
      </c>
      <c r="L3056" t="s">
        <v>421</v>
      </c>
      <c r="M3056" t="s">
        <v>428</v>
      </c>
    </row>
    <row r="3057" spans="1:13" ht="15" customHeight="1" x14ac:dyDescent="0.25">
      <c r="A3057" s="82">
        <v>45332</v>
      </c>
      <c r="B3057" t="s">
        <v>426</v>
      </c>
      <c r="C3057" t="s">
        <v>425</v>
      </c>
      <c r="D3057" t="s">
        <v>430</v>
      </c>
      <c r="E3057" t="s">
        <v>427</v>
      </c>
      <c r="F3057" t="s">
        <v>455</v>
      </c>
      <c r="G3057" t="s">
        <v>421</v>
      </c>
      <c r="H3057" t="s">
        <v>424</v>
      </c>
      <c r="I3057" t="s">
        <v>428</v>
      </c>
      <c r="J3057" t="s">
        <v>429</v>
      </c>
      <c r="L3057" t="s">
        <v>421</v>
      </c>
      <c r="M3057" t="s">
        <v>428</v>
      </c>
    </row>
    <row r="3058" spans="1:13" ht="15" customHeight="1" x14ac:dyDescent="0.25">
      <c r="A3058" s="82">
        <v>45333</v>
      </c>
      <c r="B3058" t="s">
        <v>426</v>
      </c>
      <c r="C3058" t="s">
        <v>425</v>
      </c>
      <c r="D3058" t="s">
        <v>430</v>
      </c>
      <c r="E3058" t="s">
        <v>455</v>
      </c>
      <c r="F3058" t="s">
        <v>427</v>
      </c>
      <c r="G3058" t="s">
        <v>421</v>
      </c>
      <c r="H3058" t="s">
        <v>424</v>
      </c>
      <c r="I3058" t="s">
        <v>428</v>
      </c>
      <c r="J3058" t="s">
        <v>429</v>
      </c>
      <c r="L3058" t="s">
        <v>421</v>
      </c>
      <c r="M3058" t="s">
        <v>428</v>
      </c>
    </row>
    <row r="3059" spans="1:13" ht="15" customHeight="1" x14ac:dyDescent="0.25">
      <c r="A3059" s="82">
        <v>45334</v>
      </c>
      <c r="B3059" t="s">
        <v>426</v>
      </c>
      <c r="C3059" t="s">
        <v>425</v>
      </c>
      <c r="D3059" t="s">
        <v>430</v>
      </c>
      <c r="E3059" t="s">
        <v>421</v>
      </c>
      <c r="F3059" t="s">
        <v>455</v>
      </c>
      <c r="G3059" t="s">
        <v>427</v>
      </c>
      <c r="H3059" t="s">
        <v>424</v>
      </c>
      <c r="I3059" t="s">
        <v>428</v>
      </c>
      <c r="J3059" t="s">
        <v>429</v>
      </c>
      <c r="L3059" t="s">
        <v>421</v>
      </c>
      <c r="M3059" t="s">
        <v>428</v>
      </c>
    </row>
    <row r="3060" spans="1:13" ht="15" customHeight="1" x14ac:dyDescent="0.25">
      <c r="A3060" s="82">
        <v>45335</v>
      </c>
      <c r="B3060" t="s">
        <v>426</v>
      </c>
      <c r="C3060" t="s">
        <v>425</v>
      </c>
      <c r="D3060" t="s">
        <v>430</v>
      </c>
      <c r="E3060" t="s">
        <v>427</v>
      </c>
      <c r="F3060" t="s">
        <v>421</v>
      </c>
      <c r="G3060" t="s">
        <v>455</v>
      </c>
      <c r="H3060" t="s">
        <v>424</v>
      </c>
      <c r="I3060" t="s">
        <v>428</v>
      </c>
      <c r="J3060" t="s">
        <v>429</v>
      </c>
      <c r="L3060" t="s">
        <v>423</v>
      </c>
      <c r="M3060" t="s">
        <v>421</v>
      </c>
    </row>
    <row r="3061" spans="1:13" ht="15" customHeight="1" x14ac:dyDescent="0.25">
      <c r="A3061" s="82">
        <v>45336</v>
      </c>
      <c r="B3061" t="s">
        <v>426</v>
      </c>
      <c r="C3061" t="s">
        <v>425</v>
      </c>
      <c r="D3061" t="s">
        <v>430</v>
      </c>
      <c r="E3061" t="s">
        <v>455</v>
      </c>
      <c r="F3061" t="s">
        <v>421</v>
      </c>
      <c r="G3061" t="s">
        <v>427</v>
      </c>
      <c r="H3061" t="s">
        <v>424</v>
      </c>
      <c r="I3061" t="s">
        <v>428</v>
      </c>
      <c r="J3061" t="s">
        <v>429</v>
      </c>
      <c r="L3061" t="s">
        <v>423</v>
      </c>
      <c r="M3061" t="s">
        <v>421</v>
      </c>
    </row>
    <row r="3062" spans="1:13" ht="15" customHeight="1" x14ac:dyDescent="0.25">
      <c r="A3062" s="82">
        <v>45337</v>
      </c>
      <c r="B3062" t="s">
        <v>426</v>
      </c>
      <c r="C3062" t="s">
        <v>425</v>
      </c>
      <c r="D3062" t="s">
        <v>430</v>
      </c>
      <c r="E3062" t="s">
        <v>421</v>
      </c>
      <c r="F3062" t="s">
        <v>427</v>
      </c>
      <c r="G3062" t="s">
        <v>455</v>
      </c>
      <c r="H3062" t="s">
        <v>424</v>
      </c>
      <c r="I3062" t="s">
        <v>428</v>
      </c>
      <c r="J3062" t="s">
        <v>429</v>
      </c>
      <c r="L3062" t="s">
        <v>423</v>
      </c>
      <c r="M3062" t="s">
        <v>421</v>
      </c>
    </row>
    <row r="3063" spans="1:13" ht="15" customHeight="1" x14ac:dyDescent="0.25">
      <c r="A3063" s="82">
        <v>45338</v>
      </c>
      <c r="B3063" t="s">
        <v>427</v>
      </c>
      <c r="C3063" t="s">
        <v>425</v>
      </c>
      <c r="D3063" t="s">
        <v>421</v>
      </c>
      <c r="E3063" t="s">
        <v>429</v>
      </c>
      <c r="F3063" t="s">
        <v>455</v>
      </c>
      <c r="G3063" t="s">
        <v>424</v>
      </c>
      <c r="H3063" t="s">
        <v>424</v>
      </c>
      <c r="I3063" t="s">
        <v>425</v>
      </c>
      <c r="J3063" t="s">
        <v>426</v>
      </c>
      <c r="L3063" t="s">
        <v>423</v>
      </c>
      <c r="M3063" t="s">
        <v>421</v>
      </c>
    </row>
    <row r="3064" spans="1:13" ht="15" customHeight="1" x14ac:dyDescent="0.25">
      <c r="A3064" s="82">
        <v>45339</v>
      </c>
      <c r="B3064" t="s">
        <v>455</v>
      </c>
      <c r="C3064" t="s">
        <v>421</v>
      </c>
      <c r="D3064" t="s">
        <v>427</v>
      </c>
      <c r="E3064" t="s">
        <v>429</v>
      </c>
      <c r="F3064" t="s">
        <v>428</v>
      </c>
      <c r="G3064" t="s">
        <v>424</v>
      </c>
      <c r="H3064" t="s">
        <v>430</v>
      </c>
      <c r="I3064" t="s">
        <v>425</v>
      </c>
      <c r="J3064" t="s">
        <v>426</v>
      </c>
      <c r="L3064" t="s">
        <v>423</v>
      </c>
      <c r="M3064" t="s">
        <v>421</v>
      </c>
    </row>
    <row r="3065" spans="1:13" ht="15" customHeight="1" x14ac:dyDescent="0.25">
      <c r="A3065" s="82">
        <v>45340</v>
      </c>
      <c r="B3065" t="s">
        <v>427</v>
      </c>
      <c r="C3065" t="s">
        <v>421</v>
      </c>
      <c r="D3065" t="s">
        <v>455</v>
      </c>
      <c r="E3065" t="s">
        <v>429</v>
      </c>
      <c r="F3065" t="s">
        <v>428</v>
      </c>
      <c r="G3065" t="s">
        <v>424</v>
      </c>
      <c r="H3065" t="s">
        <v>430</v>
      </c>
      <c r="I3065" t="s">
        <v>425</v>
      </c>
      <c r="J3065" t="s">
        <v>426</v>
      </c>
      <c r="L3065" t="s">
        <v>423</v>
      </c>
      <c r="M3065" t="s">
        <v>421</v>
      </c>
    </row>
    <row r="3066" spans="1:13" ht="15" customHeight="1" x14ac:dyDescent="0.25">
      <c r="A3066" s="82">
        <v>45341</v>
      </c>
      <c r="B3066" t="s">
        <v>455</v>
      </c>
      <c r="C3066" t="s">
        <v>427</v>
      </c>
      <c r="D3066" t="s">
        <v>421</v>
      </c>
      <c r="E3066" t="s">
        <v>429</v>
      </c>
      <c r="F3066" t="s">
        <v>428</v>
      </c>
      <c r="G3066" t="s">
        <v>424</v>
      </c>
      <c r="H3066" t="s">
        <v>430</v>
      </c>
      <c r="I3066" t="s">
        <v>425</v>
      </c>
      <c r="J3066" t="s">
        <v>426</v>
      </c>
      <c r="L3066" t="s">
        <v>421</v>
      </c>
      <c r="M3066" t="s">
        <v>423</v>
      </c>
    </row>
    <row r="3067" spans="1:13" ht="15" customHeight="1" x14ac:dyDescent="0.25">
      <c r="A3067" s="82">
        <v>45342</v>
      </c>
      <c r="B3067" t="s">
        <v>421</v>
      </c>
      <c r="C3067" t="s">
        <v>455</v>
      </c>
      <c r="D3067" t="s">
        <v>427</v>
      </c>
      <c r="E3067" t="s">
        <v>429</v>
      </c>
      <c r="F3067" t="s">
        <v>428</v>
      </c>
      <c r="G3067" t="s">
        <v>424</v>
      </c>
      <c r="H3067" t="s">
        <v>430</v>
      </c>
      <c r="I3067" t="s">
        <v>425</v>
      </c>
      <c r="J3067" t="s">
        <v>426</v>
      </c>
      <c r="L3067" t="s">
        <v>421</v>
      </c>
      <c r="M3067" t="s">
        <v>423</v>
      </c>
    </row>
    <row r="3068" spans="1:13" ht="15" customHeight="1" x14ac:dyDescent="0.25">
      <c r="A3068" s="82">
        <v>45343</v>
      </c>
      <c r="B3068" t="s">
        <v>421</v>
      </c>
      <c r="C3068" t="s">
        <v>427</v>
      </c>
      <c r="D3068" t="s">
        <v>455</v>
      </c>
      <c r="E3068" t="s">
        <v>429</v>
      </c>
      <c r="F3068" t="s">
        <v>428</v>
      </c>
      <c r="G3068" t="s">
        <v>424</v>
      </c>
      <c r="H3068" t="s">
        <v>430</v>
      </c>
      <c r="I3068" t="s">
        <v>425</v>
      </c>
      <c r="J3068" t="s">
        <v>426</v>
      </c>
      <c r="L3068" t="s">
        <v>421</v>
      </c>
      <c r="M3068" t="s">
        <v>423</v>
      </c>
    </row>
    <row r="3069" spans="1:13" ht="15" customHeight="1" x14ac:dyDescent="0.25">
      <c r="A3069" s="82">
        <v>45344</v>
      </c>
      <c r="B3069" t="s">
        <v>427</v>
      </c>
      <c r="C3069" t="s">
        <v>455</v>
      </c>
      <c r="D3069" t="s">
        <v>421</v>
      </c>
      <c r="E3069" t="s">
        <v>429</v>
      </c>
      <c r="F3069" t="s">
        <v>428</v>
      </c>
      <c r="G3069" t="s">
        <v>424</v>
      </c>
      <c r="H3069" t="s">
        <v>430</v>
      </c>
      <c r="I3069" t="s">
        <v>425</v>
      </c>
      <c r="J3069" t="s">
        <v>426</v>
      </c>
      <c r="L3069" t="s">
        <v>421</v>
      </c>
      <c r="M3069" t="s">
        <v>423</v>
      </c>
    </row>
    <row r="3070" spans="1:13" ht="15" customHeight="1" x14ac:dyDescent="0.25">
      <c r="A3070" s="82">
        <v>45345</v>
      </c>
      <c r="B3070" t="s">
        <v>455</v>
      </c>
      <c r="C3070" t="s">
        <v>424</v>
      </c>
      <c r="D3070" t="s">
        <v>429</v>
      </c>
      <c r="E3070" t="s">
        <v>426</v>
      </c>
      <c r="F3070" t="s">
        <v>425</v>
      </c>
      <c r="G3070" t="s">
        <v>424</v>
      </c>
      <c r="H3070" t="s">
        <v>421</v>
      </c>
      <c r="I3070" t="s">
        <v>425</v>
      </c>
      <c r="J3070" t="s">
        <v>427</v>
      </c>
      <c r="L3070" t="s">
        <v>423</v>
      </c>
      <c r="M3070" t="s">
        <v>421</v>
      </c>
    </row>
    <row r="3071" spans="1:13" ht="15" customHeight="1" x14ac:dyDescent="0.25">
      <c r="A3071" s="82">
        <v>45346</v>
      </c>
      <c r="B3071" t="s">
        <v>428</v>
      </c>
      <c r="C3071" t="s">
        <v>424</v>
      </c>
      <c r="D3071" t="s">
        <v>429</v>
      </c>
      <c r="E3071" t="s">
        <v>426</v>
      </c>
      <c r="F3071" t="s">
        <v>425</v>
      </c>
      <c r="G3071" t="s">
        <v>430</v>
      </c>
      <c r="H3071" t="s">
        <v>427</v>
      </c>
      <c r="I3071" t="s">
        <v>421</v>
      </c>
      <c r="J3071" t="s">
        <v>455</v>
      </c>
      <c r="L3071" t="s">
        <v>423</v>
      </c>
      <c r="M3071" t="s">
        <v>421</v>
      </c>
    </row>
    <row r="3072" spans="1:13" ht="15" customHeight="1" x14ac:dyDescent="0.25">
      <c r="A3072" s="82">
        <v>45347</v>
      </c>
      <c r="B3072" t="s">
        <v>428</v>
      </c>
      <c r="C3072" t="s">
        <v>424</v>
      </c>
      <c r="D3072" t="s">
        <v>429</v>
      </c>
      <c r="E3072" t="s">
        <v>426</v>
      </c>
      <c r="F3072" t="s">
        <v>425</v>
      </c>
      <c r="G3072" t="s">
        <v>430</v>
      </c>
      <c r="H3072" t="s">
        <v>455</v>
      </c>
      <c r="I3072" t="s">
        <v>421</v>
      </c>
      <c r="J3072" t="s">
        <v>427</v>
      </c>
      <c r="L3072" t="s">
        <v>423</v>
      </c>
      <c r="M3072" t="s">
        <v>421</v>
      </c>
    </row>
    <row r="3073" spans="1:13" ht="15" customHeight="1" x14ac:dyDescent="0.25">
      <c r="A3073" s="82">
        <v>45348</v>
      </c>
      <c r="B3073" t="s">
        <v>428</v>
      </c>
      <c r="C3073" t="s">
        <v>424</v>
      </c>
      <c r="D3073" t="s">
        <v>429</v>
      </c>
      <c r="E3073" t="s">
        <v>426</v>
      </c>
      <c r="F3073" t="s">
        <v>425</v>
      </c>
      <c r="G3073" t="s">
        <v>430</v>
      </c>
      <c r="H3073" t="s">
        <v>421</v>
      </c>
      <c r="I3073" t="s">
        <v>427</v>
      </c>
      <c r="J3073" t="s">
        <v>455</v>
      </c>
      <c r="L3073" t="s">
        <v>423</v>
      </c>
      <c r="M3073" t="s">
        <v>421</v>
      </c>
    </row>
    <row r="3074" spans="1:13" ht="15" customHeight="1" x14ac:dyDescent="0.25">
      <c r="A3074" s="82">
        <v>45349</v>
      </c>
      <c r="B3074" t="s">
        <v>428</v>
      </c>
      <c r="C3074" t="s">
        <v>424</v>
      </c>
      <c r="D3074" t="s">
        <v>429</v>
      </c>
      <c r="E3074" t="s">
        <v>426</v>
      </c>
      <c r="F3074" t="s">
        <v>425</v>
      </c>
      <c r="G3074" t="s">
        <v>430</v>
      </c>
      <c r="H3074" t="s">
        <v>427</v>
      </c>
      <c r="I3074" t="s">
        <v>455</v>
      </c>
      <c r="J3074" t="s">
        <v>421</v>
      </c>
      <c r="L3074" t="s">
        <v>423</v>
      </c>
      <c r="M3074" t="s">
        <v>421</v>
      </c>
    </row>
    <row r="3075" spans="1:13" ht="15" customHeight="1" x14ac:dyDescent="0.25">
      <c r="A3075" s="82">
        <v>45350</v>
      </c>
      <c r="B3075" t="s">
        <v>428</v>
      </c>
      <c r="C3075" t="s">
        <v>424</v>
      </c>
      <c r="D3075" t="s">
        <v>429</v>
      </c>
      <c r="E3075" t="s">
        <v>426</v>
      </c>
      <c r="F3075" t="s">
        <v>425</v>
      </c>
      <c r="G3075" t="s">
        <v>430</v>
      </c>
      <c r="H3075" t="s">
        <v>455</v>
      </c>
      <c r="I3075" t="s">
        <v>427</v>
      </c>
      <c r="J3075" t="s">
        <v>421</v>
      </c>
      <c r="L3075" t="s">
        <v>423</v>
      </c>
      <c r="M3075" t="s">
        <v>421</v>
      </c>
    </row>
    <row r="3076" spans="1:13" ht="15" customHeight="1" x14ac:dyDescent="0.25">
      <c r="A3076" s="82">
        <v>45351</v>
      </c>
      <c r="B3076" t="s">
        <v>428</v>
      </c>
      <c r="C3076" t="s">
        <v>424</v>
      </c>
      <c r="D3076" t="s">
        <v>429</v>
      </c>
      <c r="E3076" t="s">
        <v>426</v>
      </c>
      <c r="F3076" t="s">
        <v>425</v>
      </c>
      <c r="G3076" t="s">
        <v>430</v>
      </c>
      <c r="H3076" t="s">
        <v>421</v>
      </c>
      <c r="I3076" t="s">
        <v>455</v>
      </c>
      <c r="J3076" t="s">
        <v>427</v>
      </c>
      <c r="L3076" t="s">
        <v>421</v>
      </c>
      <c r="M3076" t="s">
        <v>423</v>
      </c>
    </row>
    <row r="3077" spans="1:13" ht="15" customHeight="1" x14ac:dyDescent="0.25">
      <c r="A3077" s="82">
        <v>45352</v>
      </c>
      <c r="B3077" t="s">
        <v>425</v>
      </c>
      <c r="C3077" t="s">
        <v>424</v>
      </c>
      <c r="D3077" t="s">
        <v>426</v>
      </c>
      <c r="E3077" t="s">
        <v>427</v>
      </c>
      <c r="F3077" t="s">
        <v>425</v>
      </c>
      <c r="G3077" t="s">
        <v>421</v>
      </c>
      <c r="H3077" t="s">
        <v>429</v>
      </c>
      <c r="I3077" t="s">
        <v>424</v>
      </c>
      <c r="J3077" t="s">
        <v>455</v>
      </c>
      <c r="L3077" t="s">
        <v>421</v>
      </c>
      <c r="M3077" t="s">
        <v>423</v>
      </c>
    </row>
    <row r="3078" spans="1:13" ht="15" customHeight="1" x14ac:dyDescent="0.25">
      <c r="A3078" s="82">
        <v>45353</v>
      </c>
      <c r="B3078" t="s">
        <v>425</v>
      </c>
      <c r="C3078" t="s">
        <v>430</v>
      </c>
      <c r="D3078" t="s">
        <v>426</v>
      </c>
      <c r="E3078" t="s">
        <v>455</v>
      </c>
      <c r="F3078" t="s">
        <v>421</v>
      </c>
      <c r="G3078" t="s">
        <v>427</v>
      </c>
      <c r="H3078" t="s">
        <v>429</v>
      </c>
      <c r="I3078" t="s">
        <v>424</v>
      </c>
      <c r="J3078" t="s">
        <v>428</v>
      </c>
      <c r="L3078" t="s">
        <v>421</v>
      </c>
      <c r="M3078" t="s">
        <v>423</v>
      </c>
    </row>
    <row r="3079" spans="1:13" ht="15" customHeight="1" x14ac:dyDescent="0.25">
      <c r="A3079" s="82">
        <v>45354</v>
      </c>
      <c r="B3079" t="s">
        <v>425</v>
      </c>
      <c r="C3079" t="s">
        <v>430</v>
      </c>
      <c r="D3079" t="s">
        <v>426</v>
      </c>
      <c r="E3079" t="s">
        <v>427</v>
      </c>
      <c r="F3079" t="s">
        <v>421</v>
      </c>
      <c r="G3079" t="s">
        <v>455</v>
      </c>
      <c r="H3079" t="s">
        <v>429</v>
      </c>
      <c r="I3079" t="s">
        <v>424</v>
      </c>
      <c r="J3079" t="s">
        <v>428</v>
      </c>
      <c r="L3079" t="s">
        <v>421</v>
      </c>
      <c r="M3079" t="s">
        <v>423</v>
      </c>
    </row>
    <row r="3080" spans="1:13" ht="15" customHeight="1" x14ac:dyDescent="0.25">
      <c r="A3080" s="82">
        <v>45355</v>
      </c>
      <c r="B3080" t="s">
        <v>425</v>
      </c>
      <c r="C3080" t="s">
        <v>430</v>
      </c>
      <c r="D3080" t="s">
        <v>426</v>
      </c>
      <c r="E3080" t="s">
        <v>455</v>
      </c>
      <c r="F3080" t="s">
        <v>427</v>
      </c>
      <c r="G3080" t="s">
        <v>421</v>
      </c>
      <c r="H3080" t="s">
        <v>429</v>
      </c>
      <c r="I3080" t="s">
        <v>424</v>
      </c>
      <c r="J3080" t="s">
        <v>428</v>
      </c>
      <c r="L3080" t="s">
        <v>421</v>
      </c>
      <c r="M3080" t="s">
        <v>423</v>
      </c>
    </row>
    <row r="3081" spans="1:13" ht="15" customHeight="1" x14ac:dyDescent="0.25">
      <c r="A3081" s="82">
        <v>45356</v>
      </c>
      <c r="B3081" t="s">
        <v>425</v>
      </c>
      <c r="C3081" t="s">
        <v>430</v>
      </c>
      <c r="D3081" t="s">
        <v>426</v>
      </c>
      <c r="E3081" t="s">
        <v>421</v>
      </c>
      <c r="F3081" t="s">
        <v>455</v>
      </c>
      <c r="G3081" t="s">
        <v>427</v>
      </c>
      <c r="H3081" t="s">
        <v>429</v>
      </c>
      <c r="I3081" t="s">
        <v>424</v>
      </c>
      <c r="J3081" t="s">
        <v>428</v>
      </c>
      <c r="L3081" t="s">
        <v>421</v>
      </c>
      <c r="M3081" t="s">
        <v>423</v>
      </c>
    </row>
    <row r="3082" spans="1:13" ht="15" customHeight="1" x14ac:dyDescent="0.25">
      <c r="A3082" s="82">
        <v>45357</v>
      </c>
      <c r="B3082" t="s">
        <v>425</v>
      </c>
      <c r="C3082" t="s">
        <v>430</v>
      </c>
      <c r="D3082" t="s">
        <v>426</v>
      </c>
      <c r="E3082" t="s">
        <v>421</v>
      </c>
      <c r="F3082" t="s">
        <v>427</v>
      </c>
      <c r="G3082" t="s">
        <v>455</v>
      </c>
      <c r="H3082" t="s">
        <v>429</v>
      </c>
      <c r="I3082" t="s">
        <v>424</v>
      </c>
      <c r="J3082" t="s">
        <v>428</v>
      </c>
      <c r="L3082" t="s">
        <v>423</v>
      </c>
      <c r="M3082" t="s">
        <v>421</v>
      </c>
    </row>
    <row r="3083" spans="1:13" ht="15" customHeight="1" x14ac:dyDescent="0.25">
      <c r="A3083" s="82">
        <v>45358</v>
      </c>
      <c r="B3083" t="s">
        <v>425</v>
      </c>
      <c r="C3083" t="s">
        <v>430</v>
      </c>
      <c r="D3083" t="s">
        <v>426</v>
      </c>
      <c r="E3083" t="s">
        <v>427</v>
      </c>
      <c r="F3083" t="s">
        <v>455</v>
      </c>
      <c r="G3083" t="s">
        <v>421</v>
      </c>
      <c r="H3083" t="s">
        <v>429</v>
      </c>
      <c r="I3083" t="s">
        <v>424</v>
      </c>
      <c r="J3083" t="s">
        <v>428</v>
      </c>
      <c r="L3083" t="s">
        <v>423</v>
      </c>
      <c r="M3083" t="s">
        <v>421</v>
      </c>
    </row>
    <row r="3084" spans="1:13" ht="15" customHeight="1" x14ac:dyDescent="0.25">
      <c r="A3084" s="82">
        <v>45359</v>
      </c>
      <c r="B3084" t="s">
        <v>425</v>
      </c>
      <c r="C3084" t="s">
        <v>421</v>
      </c>
      <c r="D3084" t="s">
        <v>427</v>
      </c>
      <c r="E3084" t="s">
        <v>455</v>
      </c>
      <c r="F3084" t="s">
        <v>424</v>
      </c>
      <c r="G3084" t="s">
        <v>429</v>
      </c>
      <c r="H3084" t="s">
        <v>426</v>
      </c>
      <c r="I3084" t="s">
        <v>424</v>
      </c>
      <c r="J3084" t="s">
        <v>425</v>
      </c>
      <c r="L3084" t="s">
        <v>428</v>
      </c>
      <c r="M3084" t="s">
        <v>421</v>
      </c>
    </row>
    <row r="3085" spans="1:13" ht="15" customHeight="1" x14ac:dyDescent="0.25">
      <c r="A3085" s="82">
        <v>45360</v>
      </c>
      <c r="B3085" t="s">
        <v>421</v>
      </c>
      <c r="C3085" t="s">
        <v>427</v>
      </c>
      <c r="D3085" t="s">
        <v>455</v>
      </c>
      <c r="E3085" t="s">
        <v>428</v>
      </c>
      <c r="F3085" t="s">
        <v>424</v>
      </c>
      <c r="G3085" t="s">
        <v>429</v>
      </c>
      <c r="H3085" t="s">
        <v>426</v>
      </c>
      <c r="I3085" t="s">
        <v>430</v>
      </c>
      <c r="J3085" t="s">
        <v>425</v>
      </c>
      <c r="L3085" t="s">
        <v>428</v>
      </c>
      <c r="M3085" t="s">
        <v>421</v>
      </c>
    </row>
    <row r="3086" spans="1:13" ht="15" customHeight="1" x14ac:dyDescent="0.25">
      <c r="A3086" s="82">
        <v>45361</v>
      </c>
      <c r="B3086" t="s">
        <v>421</v>
      </c>
      <c r="C3086" t="s">
        <v>455</v>
      </c>
      <c r="D3086" t="s">
        <v>427</v>
      </c>
      <c r="E3086" t="s">
        <v>428</v>
      </c>
      <c r="F3086" t="s">
        <v>424</v>
      </c>
      <c r="G3086" t="s">
        <v>429</v>
      </c>
      <c r="H3086" t="s">
        <v>426</v>
      </c>
      <c r="I3086" t="s">
        <v>430</v>
      </c>
      <c r="J3086" t="s">
        <v>425</v>
      </c>
      <c r="L3086" t="s">
        <v>428</v>
      </c>
      <c r="M3086" t="s">
        <v>421</v>
      </c>
    </row>
    <row r="3087" spans="1:13" ht="15" customHeight="1" x14ac:dyDescent="0.25">
      <c r="A3087" s="82">
        <v>45362</v>
      </c>
      <c r="B3087" t="s">
        <v>427</v>
      </c>
      <c r="C3087" t="s">
        <v>421</v>
      </c>
      <c r="D3087" t="s">
        <v>455</v>
      </c>
      <c r="E3087" t="s">
        <v>428</v>
      </c>
      <c r="F3087" t="s">
        <v>424</v>
      </c>
      <c r="G3087" t="s">
        <v>429</v>
      </c>
      <c r="H3087" t="s">
        <v>426</v>
      </c>
      <c r="I3087" t="s">
        <v>430</v>
      </c>
      <c r="J3087" t="s">
        <v>425</v>
      </c>
      <c r="L3087" t="s">
        <v>428</v>
      </c>
      <c r="M3087" t="s">
        <v>421</v>
      </c>
    </row>
    <row r="3088" spans="1:13" ht="15" customHeight="1" x14ac:dyDescent="0.25">
      <c r="A3088" s="82">
        <v>45363</v>
      </c>
      <c r="B3088" t="s">
        <v>455</v>
      </c>
      <c r="C3088" t="s">
        <v>427</v>
      </c>
      <c r="D3088" t="s">
        <v>421</v>
      </c>
      <c r="E3088" t="s">
        <v>428</v>
      </c>
      <c r="F3088" t="s">
        <v>424</v>
      </c>
      <c r="G3088" t="s">
        <v>429</v>
      </c>
      <c r="H3088" t="s">
        <v>426</v>
      </c>
      <c r="I3088" t="s">
        <v>430</v>
      </c>
      <c r="J3088" t="s">
        <v>425</v>
      </c>
      <c r="L3088" t="s">
        <v>421</v>
      </c>
      <c r="M3088" t="s">
        <v>423</v>
      </c>
    </row>
    <row r="3089" spans="1:13" ht="15" customHeight="1" x14ac:dyDescent="0.25">
      <c r="A3089" s="82">
        <v>45364</v>
      </c>
      <c r="B3089" t="s">
        <v>427</v>
      </c>
      <c r="C3089" t="s">
        <v>455</v>
      </c>
      <c r="D3089" t="s">
        <v>421</v>
      </c>
      <c r="E3089" t="s">
        <v>428</v>
      </c>
      <c r="F3089" t="s">
        <v>424</v>
      </c>
      <c r="G3089" t="s">
        <v>429</v>
      </c>
      <c r="H3089" t="s">
        <v>426</v>
      </c>
      <c r="I3089" t="s">
        <v>430</v>
      </c>
      <c r="J3089" t="s">
        <v>425</v>
      </c>
      <c r="L3089" t="s">
        <v>421</v>
      </c>
      <c r="M3089" t="s">
        <v>423</v>
      </c>
    </row>
    <row r="3090" spans="1:13" ht="15" customHeight="1" x14ac:dyDescent="0.25">
      <c r="A3090" s="82">
        <v>45365</v>
      </c>
      <c r="B3090" t="s">
        <v>455</v>
      </c>
      <c r="C3090" t="s">
        <v>421</v>
      </c>
      <c r="D3090" t="s">
        <v>427</v>
      </c>
      <c r="E3090" t="s">
        <v>428</v>
      </c>
      <c r="F3090" t="s">
        <v>424</v>
      </c>
      <c r="G3090" t="s">
        <v>429</v>
      </c>
      <c r="H3090" t="s">
        <v>426</v>
      </c>
      <c r="I3090" t="s">
        <v>430</v>
      </c>
      <c r="J3090" t="s">
        <v>425</v>
      </c>
      <c r="L3090" t="s">
        <v>421</v>
      </c>
      <c r="M3090" t="s">
        <v>423</v>
      </c>
    </row>
    <row r="3091" spans="1:13" ht="15" customHeight="1" x14ac:dyDescent="0.25">
      <c r="A3091" s="82">
        <v>45366</v>
      </c>
      <c r="B3091" t="s">
        <v>424</v>
      </c>
      <c r="C3091" t="s">
        <v>429</v>
      </c>
      <c r="D3091" t="s">
        <v>455</v>
      </c>
      <c r="E3091" t="s">
        <v>425</v>
      </c>
      <c r="F3091" t="s">
        <v>424</v>
      </c>
      <c r="G3091" t="s">
        <v>426</v>
      </c>
      <c r="H3091" t="s">
        <v>427</v>
      </c>
      <c r="I3091" t="s">
        <v>421</v>
      </c>
      <c r="J3091" t="s">
        <v>425</v>
      </c>
      <c r="L3091" t="s">
        <v>421</v>
      </c>
      <c r="M3091" t="s">
        <v>423</v>
      </c>
    </row>
    <row r="3092" spans="1:13" ht="15" customHeight="1" x14ac:dyDescent="0.25">
      <c r="A3092" s="82">
        <v>45367</v>
      </c>
      <c r="B3092" t="s">
        <v>424</v>
      </c>
      <c r="C3092" t="s">
        <v>429</v>
      </c>
      <c r="D3092" t="s">
        <v>428</v>
      </c>
      <c r="E3092" t="s">
        <v>425</v>
      </c>
      <c r="F3092" t="s">
        <v>430</v>
      </c>
      <c r="G3092" t="s">
        <v>426</v>
      </c>
      <c r="H3092" t="s">
        <v>455</v>
      </c>
      <c r="I3092" t="s">
        <v>427</v>
      </c>
      <c r="J3092" t="s">
        <v>421</v>
      </c>
      <c r="L3092" t="s">
        <v>421</v>
      </c>
      <c r="M3092" t="s">
        <v>423</v>
      </c>
    </row>
    <row r="3093" spans="1:13" ht="15" customHeight="1" x14ac:dyDescent="0.25">
      <c r="A3093" s="82">
        <v>45368</v>
      </c>
      <c r="B3093" t="s">
        <v>424</v>
      </c>
      <c r="C3093" t="s">
        <v>429</v>
      </c>
      <c r="D3093" t="s">
        <v>428</v>
      </c>
      <c r="E3093" t="s">
        <v>425</v>
      </c>
      <c r="F3093" t="s">
        <v>430</v>
      </c>
      <c r="G3093" t="s">
        <v>426</v>
      </c>
      <c r="H3093" t="s">
        <v>427</v>
      </c>
      <c r="I3093" t="s">
        <v>455</v>
      </c>
      <c r="J3093" t="s">
        <v>421</v>
      </c>
      <c r="L3093" t="s">
        <v>421</v>
      </c>
      <c r="M3093" t="s">
        <v>423</v>
      </c>
    </row>
    <row r="3094" spans="1:13" ht="15" customHeight="1" x14ac:dyDescent="0.25">
      <c r="A3094" s="82">
        <v>45369</v>
      </c>
      <c r="B3094" t="s">
        <v>424</v>
      </c>
      <c r="C3094" t="s">
        <v>429</v>
      </c>
      <c r="D3094" t="s">
        <v>428</v>
      </c>
      <c r="E3094" t="s">
        <v>425</v>
      </c>
      <c r="F3094" t="s">
        <v>430</v>
      </c>
      <c r="G3094" t="s">
        <v>426</v>
      </c>
      <c r="H3094" t="s">
        <v>455</v>
      </c>
      <c r="I3094" t="s">
        <v>421</v>
      </c>
      <c r="J3094" t="s">
        <v>427</v>
      </c>
      <c r="L3094" t="s">
        <v>423</v>
      </c>
      <c r="M3094" t="s">
        <v>421</v>
      </c>
    </row>
    <row r="3095" spans="1:13" ht="15" customHeight="1" x14ac:dyDescent="0.25">
      <c r="A3095" s="82">
        <v>45370</v>
      </c>
      <c r="B3095" t="s">
        <v>424</v>
      </c>
      <c r="C3095" t="s">
        <v>429</v>
      </c>
      <c r="D3095" t="s">
        <v>428</v>
      </c>
      <c r="E3095" t="s">
        <v>425</v>
      </c>
      <c r="F3095" t="s">
        <v>430</v>
      </c>
      <c r="G3095" t="s">
        <v>426</v>
      </c>
      <c r="H3095" t="s">
        <v>421</v>
      </c>
      <c r="I3095" t="s">
        <v>427</v>
      </c>
      <c r="J3095" t="s">
        <v>455</v>
      </c>
      <c r="L3095" t="s">
        <v>423</v>
      </c>
      <c r="M3095" t="s">
        <v>421</v>
      </c>
    </row>
    <row r="3096" spans="1:13" ht="15" customHeight="1" x14ac:dyDescent="0.25">
      <c r="A3096" s="82">
        <v>45371</v>
      </c>
      <c r="B3096" t="s">
        <v>424</v>
      </c>
      <c r="C3096" t="s">
        <v>429</v>
      </c>
      <c r="D3096" t="s">
        <v>428</v>
      </c>
      <c r="E3096" t="s">
        <v>425</v>
      </c>
      <c r="F3096" t="s">
        <v>430</v>
      </c>
      <c r="G3096" t="s">
        <v>426</v>
      </c>
      <c r="H3096" t="s">
        <v>421</v>
      </c>
      <c r="I3096" t="s">
        <v>455</v>
      </c>
      <c r="J3096" t="s">
        <v>427</v>
      </c>
      <c r="L3096" t="s">
        <v>423</v>
      </c>
      <c r="M3096" t="s">
        <v>421</v>
      </c>
    </row>
    <row r="3097" spans="1:13" ht="15" customHeight="1" x14ac:dyDescent="0.25">
      <c r="A3097" s="82">
        <v>45372</v>
      </c>
      <c r="B3097" t="s">
        <v>424</v>
      </c>
      <c r="C3097" t="s">
        <v>429</v>
      </c>
      <c r="D3097" t="s">
        <v>428</v>
      </c>
      <c r="E3097" t="s">
        <v>425</v>
      </c>
      <c r="F3097" t="s">
        <v>430</v>
      </c>
      <c r="G3097" t="s">
        <v>426</v>
      </c>
      <c r="H3097" t="s">
        <v>427</v>
      </c>
      <c r="I3097" t="s">
        <v>421</v>
      </c>
      <c r="J3097" t="s">
        <v>455</v>
      </c>
      <c r="L3097" t="s">
        <v>423</v>
      </c>
      <c r="M3097" t="s">
        <v>421</v>
      </c>
    </row>
    <row r="3098" spans="1:13" ht="15" customHeight="1" x14ac:dyDescent="0.25">
      <c r="A3098" s="82">
        <v>45373</v>
      </c>
      <c r="B3098" t="s">
        <v>424</v>
      </c>
      <c r="C3098" t="s">
        <v>426</v>
      </c>
      <c r="D3098" t="s">
        <v>425</v>
      </c>
      <c r="E3098" t="s">
        <v>425</v>
      </c>
      <c r="F3098" t="s">
        <v>421</v>
      </c>
      <c r="G3098" t="s">
        <v>427</v>
      </c>
      <c r="H3098" t="s">
        <v>455</v>
      </c>
      <c r="I3098" t="s">
        <v>429</v>
      </c>
      <c r="J3098" t="s">
        <v>424</v>
      </c>
      <c r="L3098" t="s">
        <v>421</v>
      </c>
      <c r="M3098" t="s">
        <v>423</v>
      </c>
    </row>
    <row r="3099" spans="1:13" ht="15" customHeight="1" x14ac:dyDescent="0.25">
      <c r="A3099" s="82">
        <v>45374</v>
      </c>
      <c r="B3099" t="s">
        <v>430</v>
      </c>
      <c r="C3099" t="s">
        <v>426</v>
      </c>
      <c r="D3099" t="s">
        <v>425</v>
      </c>
      <c r="E3099" t="s">
        <v>421</v>
      </c>
      <c r="F3099" t="s">
        <v>427</v>
      </c>
      <c r="G3099" t="s">
        <v>455</v>
      </c>
      <c r="H3099" t="s">
        <v>428</v>
      </c>
      <c r="I3099" t="s">
        <v>429</v>
      </c>
      <c r="J3099" t="s">
        <v>424</v>
      </c>
      <c r="L3099" t="s">
        <v>421</v>
      </c>
      <c r="M3099" t="s">
        <v>423</v>
      </c>
    </row>
    <row r="3100" spans="1:13" ht="15" customHeight="1" x14ac:dyDescent="0.25">
      <c r="A3100" s="82">
        <v>45375</v>
      </c>
      <c r="B3100" t="s">
        <v>430</v>
      </c>
      <c r="C3100" t="s">
        <v>426</v>
      </c>
      <c r="D3100" t="s">
        <v>425</v>
      </c>
      <c r="E3100" t="s">
        <v>421</v>
      </c>
      <c r="F3100" t="s">
        <v>455</v>
      </c>
      <c r="G3100" t="s">
        <v>427</v>
      </c>
      <c r="H3100" t="s">
        <v>428</v>
      </c>
      <c r="I3100" t="s">
        <v>429</v>
      </c>
      <c r="J3100" t="s">
        <v>424</v>
      </c>
      <c r="L3100" t="s">
        <v>421</v>
      </c>
      <c r="M3100" t="s">
        <v>423</v>
      </c>
    </row>
    <row r="3101" spans="1:13" ht="15" customHeight="1" x14ac:dyDescent="0.25">
      <c r="A3101" s="82">
        <v>45376</v>
      </c>
      <c r="B3101" t="s">
        <v>430</v>
      </c>
      <c r="C3101" t="s">
        <v>426</v>
      </c>
      <c r="D3101" t="s">
        <v>425</v>
      </c>
      <c r="E3101" t="s">
        <v>427</v>
      </c>
      <c r="F3101" t="s">
        <v>421</v>
      </c>
      <c r="G3101" t="s">
        <v>455</v>
      </c>
      <c r="H3101" t="s">
        <v>428</v>
      </c>
      <c r="I3101" t="s">
        <v>429</v>
      </c>
      <c r="J3101" t="s">
        <v>424</v>
      </c>
      <c r="L3101" t="s">
        <v>421</v>
      </c>
      <c r="M3101" t="s">
        <v>423</v>
      </c>
    </row>
    <row r="3102" spans="1:13" ht="15" customHeight="1" x14ac:dyDescent="0.25">
      <c r="A3102" s="82">
        <v>45377</v>
      </c>
      <c r="B3102" t="s">
        <v>430</v>
      </c>
      <c r="C3102" t="s">
        <v>426</v>
      </c>
      <c r="D3102" t="s">
        <v>425</v>
      </c>
      <c r="E3102" t="s">
        <v>455</v>
      </c>
      <c r="F3102" t="s">
        <v>427</v>
      </c>
      <c r="G3102" t="s">
        <v>421</v>
      </c>
      <c r="H3102" t="s">
        <v>428</v>
      </c>
      <c r="I3102" t="s">
        <v>429</v>
      </c>
      <c r="J3102" t="s">
        <v>424</v>
      </c>
      <c r="L3102" t="s">
        <v>421</v>
      </c>
      <c r="M3102" t="s">
        <v>423</v>
      </c>
    </row>
    <row r="3103" spans="1:13" ht="15" customHeight="1" x14ac:dyDescent="0.25">
      <c r="A3103" s="82">
        <v>45378</v>
      </c>
      <c r="B3103" t="s">
        <v>430</v>
      </c>
      <c r="C3103" t="s">
        <v>426</v>
      </c>
      <c r="D3103" t="s">
        <v>425</v>
      </c>
      <c r="E3103" t="s">
        <v>427</v>
      </c>
      <c r="F3103" t="s">
        <v>455</v>
      </c>
      <c r="G3103" t="s">
        <v>421</v>
      </c>
      <c r="H3103" t="s">
        <v>428</v>
      </c>
      <c r="I3103" t="s">
        <v>429</v>
      </c>
      <c r="J3103" t="s">
        <v>424</v>
      </c>
      <c r="L3103" t="s">
        <v>421</v>
      </c>
      <c r="M3103" t="s">
        <v>423</v>
      </c>
    </row>
    <row r="3104" spans="1:13" ht="15" customHeight="1" x14ac:dyDescent="0.25">
      <c r="A3104" s="82">
        <v>45379</v>
      </c>
      <c r="B3104" t="s">
        <v>430</v>
      </c>
      <c r="C3104" t="s">
        <v>426</v>
      </c>
      <c r="D3104" t="s">
        <v>425</v>
      </c>
      <c r="E3104" t="s">
        <v>455</v>
      </c>
      <c r="F3104" t="s">
        <v>421</v>
      </c>
      <c r="G3104" t="s">
        <v>427</v>
      </c>
      <c r="H3104" t="s">
        <v>428</v>
      </c>
      <c r="I3104" t="s">
        <v>429</v>
      </c>
      <c r="J3104" t="s">
        <v>424</v>
      </c>
      <c r="L3104" t="s">
        <v>423</v>
      </c>
      <c r="M3104" t="s">
        <v>421</v>
      </c>
    </row>
    <row r="3105" spans="1:13" ht="15" customHeight="1" x14ac:dyDescent="0.25">
      <c r="A3105" s="82">
        <v>45380</v>
      </c>
      <c r="B3105" t="s">
        <v>421</v>
      </c>
      <c r="C3105" t="s">
        <v>427</v>
      </c>
      <c r="D3105" t="s">
        <v>425</v>
      </c>
      <c r="E3105" t="s">
        <v>424</v>
      </c>
      <c r="F3105" t="s">
        <v>429</v>
      </c>
      <c r="G3105" t="s">
        <v>455</v>
      </c>
      <c r="H3105" t="s">
        <v>425</v>
      </c>
      <c r="I3105" t="s">
        <v>426</v>
      </c>
      <c r="J3105" t="s">
        <v>424</v>
      </c>
      <c r="L3105" t="s">
        <v>423</v>
      </c>
      <c r="M3105" t="s">
        <v>421</v>
      </c>
    </row>
    <row r="3106" spans="1:13" ht="15" customHeight="1" x14ac:dyDescent="0.25">
      <c r="A3106" s="82">
        <v>45381</v>
      </c>
      <c r="B3106" t="s">
        <v>427</v>
      </c>
      <c r="C3106" t="s">
        <v>455</v>
      </c>
      <c r="D3106" t="s">
        <v>421</v>
      </c>
      <c r="E3106" t="s">
        <v>424</v>
      </c>
      <c r="F3106" t="s">
        <v>429</v>
      </c>
      <c r="G3106" t="s">
        <v>428</v>
      </c>
      <c r="H3106" t="s">
        <v>425</v>
      </c>
      <c r="I3106" t="s">
        <v>426</v>
      </c>
      <c r="J3106" t="s">
        <v>430</v>
      </c>
      <c r="L3106" t="s">
        <v>423</v>
      </c>
      <c r="M3106" t="s">
        <v>421</v>
      </c>
    </row>
    <row r="3107" spans="1:13" ht="15" customHeight="1" x14ac:dyDescent="0.25">
      <c r="A3107" s="82">
        <v>45382</v>
      </c>
      <c r="B3107" t="s">
        <v>455</v>
      </c>
      <c r="C3107" t="s">
        <v>427</v>
      </c>
      <c r="D3107" t="s">
        <v>421</v>
      </c>
      <c r="E3107" t="s">
        <v>424</v>
      </c>
      <c r="F3107" t="s">
        <v>429</v>
      </c>
      <c r="G3107" t="s">
        <v>428</v>
      </c>
      <c r="H3107" t="s">
        <v>425</v>
      </c>
      <c r="I3107" t="s">
        <v>426</v>
      </c>
      <c r="J3107" t="s">
        <v>430</v>
      </c>
      <c r="L3107" t="s">
        <v>423</v>
      </c>
      <c r="M3107" t="s">
        <v>421</v>
      </c>
    </row>
    <row r="3108" spans="1:13" ht="15" customHeight="1" x14ac:dyDescent="0.25">
      <c r="A3108" s="82">
        <v>45383</v>
      </c>
      <c r="B3108" t="s">
        <v>421</v>
      </c>
      <c r="C3108" t="s">
        <v>455</v>
      </c>
      <c r="D3108" t="s">
        <v>427</v>
      </c>
      <c r="E3108" t="s">
        <v>424</v>
      </c>
      <c r="F3108" t="s">
        <v>429</v>
      </c>
      <c r="G3108" t="s">
        <v>428</v>
      </c>
      <c r="H3108" t="s">
        <v>425</v>
      </c>
      <c r="I3108" t="s">
        <v>426</v>
      </c>
      <c r="J3108" t="s">
        <v>430</v>
      </c>
      <c r="L3108" t="s">
        <v>423</v>
      </c>
      <c r="M3108" t="s">
        <v>421</v>
      </c>
    </row>
    <row r="3109" spans="1:13" ht="15" customHeight="1" x14ac:dyDescent="0.25">
      <c r="A3109" s="82">
        <v>45384</v>
      </c>
      <c r="B3109" t="s">
        <v>427</v>
      </c>
      <c r="C3109" t="s">
        <v>421</v>
      </c>
      <c r="D3109" t="s">
        <v>455</v>
      </c>
      <c r="E3109" t="s">
        <v>424</v>
      </c>
      <c r="F3109" t="s">
        <v>429</v>
      </c>
      <c r="G3109" t="s">
        <v>428</v>
      </c>
      <c r="H3109" t="s">
        <v>425</v>
      </c>
      <c r="I3109" t="s">
        <v>426</v>
      </c>
      <c r="J3109" t="s">
        <v>430</v>
      </c>
      <c r="L3109" t="s">
        <v>423</v>
      </c>
      <c r="M3109" t="s">
        <v>421</v>
      </c>
    </row>
    <row r="3110" spans="1:13" ht="15" customHeight="1" x14ac:dyDescent="0.25">
      <c r="A3110" s="82">
        <v>45385</v>
      </c>
      <c r="B3110" t="s">
        <v>455</v>
      </c>
      <c r="C3110" t="s">
        <v>421</v>
      </c>
      <c r="D3110" t="s">
        <v>427</v>
      </c>
      <c r="E3110" t="s">
        <v>424</v>
      </c>
      <c r="F3110" t="s">
        <v>429</v>
      </c>
      <c r="G3110" t="s">
        <v>428</v>
      </c>
      <c r="H3110" t="s">
        <v>425</v>
      </c>
      <c r="I3110" t="s">
        <v>426</v>
      </c>
      <c r="J3110" t="s">
        <v>430</v>
      </c>
      <c r="L3110" t="s">
        <v>421</v>
      </c>
      <c r="M3110" t="s">
        <v>423</v>
      </c>
    </row>
    <row r="3111" spans="1:13" ht="15" customHeight="1" x14ac:dyDescent="0.25">
      <c r="A3111" s="82">
        <v>45386</v>
      </c>
      <c r="B3111" t="s">
        <v>421</v>
      </c>
      <c r="C3111" t="s">
        <v>427</v>
      </c>
      <c r="D3111" t="s">
        <v>455</v>
      </c>
      <c r="E3111" t="s">
        <v>424</v>
      </c>
      <c r="F3111" t="s">
        <v>429</v>
      </c>
      <c r="G3111" t="s">
        <v>428</v>
      </c>
      <c r="H3111" t="s">
        <v>425</v>
      </c>
      <c r="I3111" t="s">
        <v>426</v>
      </c>
      <c r="J3111" t="s">
        <v>430</v>
      </c>
      <c r="L3111" t="s">
        <v>421</v>
      </c>
      <c r="M3111" t="s">
        <v>423</v>
      </c>
    </row>
    <row r="3112" spans="1:13" ht="15" customHeight="1" x14ac:dyDescent="0.25">
      <c r="A3112" s="82">
        <v>45387</v>
      </c>
      <c r="B3112" t="s">
        <v>429</v>
      </c>
      <c r="C3112" t="s">
        <v>455</v>
      </c>
      <c r="D3112" t="s">
        <v>424</v>
      </c>
      <c r="E3112" t="s">
        <v>424</v>
      </c>
      <c r="F3112" t="s">
        <v>426</v>
      </c>
      <c r="G3112" t="s">
        <v>425</v>
      </c>
      <c r="H3112" t="s">
        <v>425</v>
      </c>
      <c r="I3112" t="s">
        <v>427</v>
      </c>
      <c r="J3112" t="s">
        <v>421</v>
      </c>
      <c r="L3112" t="s">
        <v>421</v>
      </c>
      <c r="M3112" t="s">
        <v>428</v>
      </c>
    </row>
    <row r="3113" spans="1:13" ht="15" customHeight="1" x14ac:dyDescent="0.25">
      <c r="A3113" s="82">
        <v>45388</v>
      </c>
      <c r="B3113" t="s">
        <v>429</v>
      </c>
      <c r="C3113" t="s">
        <v>428</v>
      </c>
      <c r="D3113" t="s">
        <v>424</v>
      </c>
      <c r="E3113" t="s">
        <v>430</v>
      </c>
      <c r="F3113" t="s">
        <v>426</v>
      </c>
      <c r="G3113" t="s">
        <v>425</v>
      </c>
      <c r="H3113" t="s">
        <v>421</v>
      </c>
      <c r="I3113" t="s">
        <v>455</v>
      </c>
      <c r="J3113" t="s">
        <v>427</v>
      </c>
      <c r="L3113" t="s">
        <v>421</v>
      </c>
      <c r="M3113" t="s">
        <v>428</v>
      </c>
    </row>
    <row r="3114" spans="1:13" ht="15" customHeight="1" x14ac:dyDescent="0.25">
      <c r="A3114" s="82">
        <v>45389</v>
      </c>
      <c r="B3114" t="s">
        <v>429</v>
      </c>
      <c r="C3114" t="s">
        <v>428</v>
      </c>
      <c r="D3114" t="s">
        <v>424</v>
      </c>
      <c r="E3114" t="s">
        <v>430</v>
      </c>
      <c r="F3114" t="s">
        <v>426</v>
      </c>
      <c r="G3114" t="s">
        <v>425</v>
      </c>
      <c r="H3114" t="s">
        <v>421</v>
      </c>
      <c r="I3114" t="s">
        <v>427</v>
      </c>
      <c r="J3114" t="s">
        <v>455</v>
      </c>
      <c r="L3114" t="s">
        <v>421</v>
      </c>
      <c r="M3114" t="s">
        <v>428</v>
      </c>
    </row>
    <row r="3115" spans="1:13" ht="15" customHeight="1" x14ac:dyDescent="0.25">
      <c r="A3115" s="82">
        <v>45390</v>
      </c>
      <c r="B3115" t="s">
        <v>429</v>
      </c>
      <c r="C3115" t="s">
        <v>428</v>
      </c>
      <c r="D3115" t="s">
        <v>424</v>
      </c>
      <c r="E3115" t="s">
        <v>430</v>
      </c>
      <c r="F3115" t="s">
        <v>426</v>
      </c>
      <c r="G3115" t="s">
        <v>425</v>
      </c>
      <c r="H3115" t="s">
        <v>427</v>
      </c>
      <c r="I3115" t="s">
        <v>455</v>
      </c>
      <c r="J3115" t="s">
        <v>421</v>
      </c>
      <c r="L3115" t="s">
        <v>421</v>
      </c>
      <c r="M3115" t="s">
        <v>428</v>
      </c>
    </row>
    <row r="3116" spans="1:13" ht="15" customHeight="1" x14ac:dyDescent="0.25">
      <c r="A3116" s="82">
        <v>45391</v>
      </c>
      <c r="B3116" t="s">
        <v>429</v>
      </c>
      <c r="C3116" t="s">
        <v>428</v>
      </c>
      <c r="D3116" t="s">
        <v>424</v>
      </c>
      <c r="E3116" t="s">
        <v>430</v>
      </c>
      <c r="F3116" t="s">
        <v>426</v>
      </c>
      <c r="G3116" t="s">
        <v>425</v>
      </c>
      <c r="H3116" t="s">
        <v>455</v>
      </c>
      <c r="I3116" t="s">
        <v>421</v>
      </c>
      <c r="J3116" t="s">
        <v>427</v>
      </c>
      <c r="L3116" t="s">
        <v>423</v>
      </c>
      <c r="M3116" t="s">
        <v>421</v>
      </c>
    </row>
    <row r="3117" spans="1:13" ht="15" customHeight="1" x14ac:dyDescent="0.25">
      <c r="A3117" s="82">
        <v>45392</v>
      </c>
      <c r="B3117" t="s">
        <v>429</v>
      </c>
      <c r="C3117" t="s">
        <v>428</v>
      </c>
      <c r="D3117" t="s">
        <v>424</v>
      </c>
      <c r="E3117" t="s">
        <v>430</v>
      </c>
      <c r="F3117" t="s">
        <v>426</v>
      </c>
      <c r="G3117" t="s">
        <v>425</v>
      </c>
      <c r="H3117" t="s">
        <v>427</v>
      </c>
      <c r="I3117" t="s">
        <v>421</v>
      </c>
      <c r="J3117" t="s">
        <v>455</v>
      </c>
      <c r="L3117" t="s">
        <v>423</v>
      </c>
      <c r="M3117" t="s">
        <v>421</v>
      </c>
    </row>
    <row r="3118" spans="1:13" ht="15" customHeight="1" x14ac:dyDescent="0.25">
      <c r="A3118" s="82">
        <v>45393</v>
      </c>
      <c r="B3118" t="s">
        <v>429</v>
      </c>
      <c r="C3118" t="s">
        <v>428</v>
      </c>
      <c r="D3118" t="s">
        <v>424</v>
      </c>
      <c r="E3118" t="s">
        <v>430</v>
      </c>
      <c r="F3118" t="s">
        <v>426</v>
      </c>
      <c r="G3118" t="s">
        <v>425</v>
      </c>
      <c r="H3118" t="s">
        <v>455</v>
      </c>
      <c r="I3118" t="s">
        <v>427</v>
      </c>
      <c r="J3118" t="s">
        <v>421</v>
      </c>
      <c r="L3118" t="s">
        <v>423</v>
      </c>
      <c r="M3118" t="s">
        <v>421</v>
      </c>
    </row>
    <row r="3119" spans="1:13" ht="15" customHeight="1" x14ac:dyDescent="0.25">
      <c r="A3119" s="82">
        <v>45394</v>
      </c>
      <c r="B3119" t="s">
        <v>426</v>
      </c>
      <c r="C3119" t="s">
        <v>425</v>
      </c>
      <c r="D3119" t="s">
        <v>424</v>
      </c>
      <c r="E3119" t="s">
        <v>421</v>
      </c>
      <c r="F3119" t="s">
        <v>427</v>
      </c>
      <c r="G3119" t="s">
        <v>425</v>
      </c>
      <c r="H3119" t="s">
        <v>424</v>
      </c>
      <c r="I3119" t="s">
        <v>455</v>
      </c>
      <c r="J3119" t="s">
        <v>429</v>
      </c>
      <c r="L3119" t="s">
        <v>423</v>
      </c>
      <c r="M3119" t="s">
        <v>421</v>
      </c>
    </row>
    <row r="3120" spans="1:13" ht="15" customHeight="1" x14ac:dyDescent="0.25">
      <c r="A3120" s="82">
        <v>45395</v>
      </c>
      <c r="B3120" t="s">
        <v>426</v>
      </c>
      <c r="C3120" t="s">
        <v>425</v>
      </c>
      <c r="D3120" t="s">
        <v>430</v>
      </c>
      <c r="E3120" t="s">
        <v>427</v>
      </c>
      <c r="F3120" t="s">
        <v>455</v>
      </c>
      <c r="G3120" t="s">
        <v>421</v>
      </c>
      <c r="H3120" t="s">
        <v>424</v>
      </c>
      <c r="I3120" t="s">
        <v>428</v>
      </c>
      <c r="J3120" t="s">
        <v>429</v>
      </c>
      <c r="L3120" t="s">
        <v>423</v>
      </c>
      <c r="M3120" t="s">
        <v>421</v>
      </c>
    </row>
    <row r="3121" spans="1:13" ht="15" customHeight="1" x14ac:dyDescent="0.25">
      <c r="A3121" s="82">
        <v>45396</v>
      </c>
      <c r="B3121" t="s">
        <v>426</v>
      </c>
      <c r="C3121" t="s">
        <v>425</v>
      </c>
      <c r="D3121" t="s">
        <v>430</v>
      </c>
      <c r="E3121" t="s">
        <v>455</v>
      </c>
      <c r="F3121" t="s">
        <v>427</v>
      </c>
      <c r="G3121" t="s">
        <v>421</v>
      </c>
      <c r="H3121" t="s">
        <v>424</v>
      </c>
      <c r="I3121" t="s">
        <v>428</v>
      </c>
      <c r="J3121" t="s">
        <v>429</v>
      </c>
      <c r="L3121" t="s">
        <v>423</v>
      </c>
      <c r="M3121" t="s">
        <v>421</v>
      </c>
    </row>
    <row r="3122" spans="1:13" ht="15" customHeight="1" x14ac:dyDescent="0.25">
      <c r="A3122" s="82">
        <v>45397</v>
      </c>
      <c r="B3122" t="s">
        <v>426</v>
      </c>
      <c r="C3122" t="s">
        <v>425</v>
      </c>
      <c r="D3122" t="s">
        <v>430</v>
      </c>
      <c r="E3122" t="s">
        <v>421</v>
      </c>
      <c r="F3122" t="s">
        <v>455</v>
      </c>
      <c r="G3122" t="s">
        <v>427</v>
      </c>
      <c r="H3122" t="s">
        <v>424</v>
      </c>
      <c r="I3122" t="s">
        <v>428</v>
      </c>
      <c r="J3122" t="s">
        <v>429</v>
      </c>
      <c r="L3122" t="s">
        <v>421</v>
      </c>
      <c r="M3122" t="s">
        <v>423</v>
      </c>
    </row>
    <row r="3123" spans="1:13" ht="15" customHeight="1" x14ac:dyDescent="0.25">
      <c r="A3123" s="82">
        <v>45398</v>
      </c>
      <c r="B3123" t="s">
        <v>426</v>
      </c>
      <c r="C3123" t="s">
        <v>425</v>
      </c>
      <c r="D3123" t="s">
        <v>430</v>
      </c>
      <c r="E3123" t="s">
        <v>427</v>
      </c>
      <c r="F3123" t="s">
        <v>421</v>
      </c>
      <c r="G3123" t="s">
        <v>455</v>
      </c>
      <c r="H3123" t="s">
        <v>424</v>
      </c>
      <c r="I3123" t="s">
        <v>428</v>
      </c>
      <c r="J3123" t="s">
        <v>429</v>
      </c>
      <c r="L3123" t="s">
        <v>421</v>
      </c>
      <c r="M3123" t="s">
        <v>423</v>
      </c>
    </row>
    <row r="3124" spans="1:13" ht="15" customHeight="1" x14ac:dyDescent="0.25">
      <c r="A3124" s="82">
        <v>45399</v>
      </c>
      <c r="B3124" t="s">
        <v>426</v>
      </c>
      <c r="C3124" t="s">
        <v>425</v>
      </c>
      <c r="D3124" t="s">
        <v>430</v>
      </c>
      <c r="E3124" t="s">
        <v>455</v>
      </c>
      <c r="F3124" t="s">
        <v>421</v>
      </c>
      <c r="G3124" t="s">
        <v>427</v>
      </c>
      <c r="H3124" t="s">
        <v>424</v>
      </c>
      <c r="I3124" t="s">
        <v>428</v>
      </c>
      <c r="J3124" t="s">
        <v>429</v>
      </c>
      <c r="L3124" t="s">
        <v>421</v>
      </c>
      <c r="M3124" t="s">
        <v>423</v>
      </c>
    </row>
    <row r="3125" spans="1:13" ht="15" customHeight="1" x14ac:dyDescent="0.25">
      <c r="A3125" s="82">
        <v>45400</v>
      </c>
      <c r="B3125" t="s">
        <v>426</v>
      </c>
      <c r="C3125" t="s">
        <v>425</v>
      </c>
      <c r="D3125" t="s">
        <v>430</v>
      </c>
      <c r="E3125" t="s">
        <v>421</v>
      </c>
      <c r="F3125" t="s">
        <v>427</v>
      </c>
      <c r="G3125" t="s">
        <v>455</v>
      </c>
      <c r="H3125" t="s">
        <v>424</v>
      </c>
      <c r="I3125" t="s">
        <v>428</v>
      </c>
      <c r="J3125" t="s">
        <v>429</v>
      </c>
      <c r="L3125" t="s">
        <v>421</v>
      </c>
      <c r="M3125" t="s">
        <v>423</v>
      </c>
    </row>
    <row r="3126" spans="1:13" ht="15" customHeight="1" x14ac:dyDescent="0.25">
      <c r="A3126" s="82">
        <v>45401</v>
      </c>
      <c r="B3126" t="s">
        <v>427</v>
      </c>
      <c r="C3126" t="s">
        <v>425</v>
      </c>
      <c r="D3126" t="s">
        <v>421</v>
      </c>
      <c r="E3126" t="s">
        <v>429</v>
      </c>
      <c r="F3126" t="s">
        <v>455</v>
      </c>
      <c r="G3126" t="s">
        <v>424</v>
      </c>
      <c r="H3126" t="s">
        <v>424</v>
      </c>
      <c r="I3126" t="s">
        <v>425</v>
      </c>
      <c r="J3126" t="s">
        <v>426</v>
      </c>
      <c r="L3126" t="s">
        <v>423</v>
      </c>
      <c r="M3126" t="s">
        <v>421</v>
      </c>
    </row>
    <row r="3127" spans="1:13" ht="15" customHeight="1" x14ac:dyDescent="0.25">
      <c r="A3127" s="82">
        <v>45402</v>
      </c>
      <c r="B3127" t="s">
        <v>455</v>
      </c>
      <c r="C3127" t="s">
        <v>421</v>
      </c>
      <c r="D3127" t="s">
        <v>427</v>
      </c>
      <c r="E3127" t="s">
        <v>429</v>
      </c>
      <c r="F3127" t="s">
        <v>428</v>
      </c>
      <c r="G3127" t="s">
        <v>424</v>
      </c>
      <c r="H3127" t="s">
        <v>430</v>
      </c>
      <c r="I3127" t="s">
        <v>425</v>
      </c>
      <c r="J3127" t="s">
        <v>426</v>
      </c>
      <c r="L3127" t="s">
        <v>423</v>
      </c>
      <c r="M3127" t="s">
        <v>421</v>
      </c>
    </row>
    <row r="3128" spans="1:13" ht="15" customHeight="1" x14ac:dyDescent="0.25">
      <c r="A3128" s="82">
        <v>45403</v>
      </c>
      <c r="B3128" t="s">
        <v>427</v>
      </c>
      <c r="C3128" t="s">
        <v>421</v>
      </c>
      <c r="D3128" t="s">
        <v>455</v>
      </c>
      <c r="E3128" t="s">
        <v>429</v>
      </c>
      <c r="F3128" t="s">
        <v>428</v>
      </c>
      <c r="G3128" t="s">
        <v>424</v>
      </c>
      <c r="H3128" t="s">
        <v>430</v>
      </c>
      <c r="I3128" t="s">
        <v>425</v>
      </c>
      <c r="J3128" t="s">
        <v>426</v>
      </c>
      <c r="L3128" t="s">
        <v>423</v>
      </c>
      <c r="M3128" t="s">
        <v>421</v>
      </c>
    </row>
    <row r="3129" spans="1:13" ht="15" customHeight="1" x14ac:dyDescent="0.25">
      <c r="A3129" s="82">
        <v>45404</v>
      </c>
      <c r="B3129" t="s">
        <v>455</v>
      </c>
      <c r="C3129" t="s">
        <v>427</v>
      </c>
      <c r="D3129" t="s">
        <v>421</v>
      </c>
      <c r="E3129" t="s">
        <v>429</v>
      </c>
      <c r="F3129" t="s">
        <v>428</v>
      </c>
      <c r="G3129" t="s">
        <v>424</v>
      </c>
      <c r="H3129" t="s">
        <v>430</v>
      </c>
      <c r="I3129" t="s">
        <v>425</v>
      </c>
      <c r="J3129" t="s">
        <v>426</v>
      </c>
      <c r="L3129" t="s">
        <v>423</v>
      </c>
      <c r="M3129" t="s">
        <v>421</v>
      </c>
    </row>
    <row r="3130" spans="1:13" ht="15" customHeight="1" x14ac:dyDescent="0.25">
      <c r="A3130" s="82">
        <v>45405</v>
      </c>
      <c r="B3130" t="s">
        <v>421</v>
      </c>
      <c r="C3130" t="s">
        <v>455</v>
      </c>
      <c r="D3130" t="s">
        <v>427</v>
      </c>
      <c r="E3130" t="s">
        <v>429</v>
      </c>
      <c r="F3130" t="s">
        <v>428</v>
      </c>
      <c r="G3130" t="s">
        <v>424</v>
      </c>
      <c r="H3130" t="s">
        <v>430</v>
      </c>
      <c r="I3130" t="s">
        <v>425</v>
      </c>
      <c r="J3130" t="s">
        <v>426</v>
      </c>
      <c r="L3130" t="s">
        <v>423</v>
      </c>
      <c r="M3130" t="s">
        <v>421</v>
      </c>
    </row>
    <row r="3131" spans="1:13" ht="15" customHeight="1" x14ac:dyDescent="0.25">
      <c r="A3131" s="82">
        <v>45406</v>
      </c>
      <c r="B3131" t="s">
        <v>421</v>
      </c>
      <c r="C3131" t="s">
        <v>427</v>
      </c>
      <c r="D3131" t="s">
        <v>455</v>
      </c>
      <c r="E3131" t="s">
        <v>429</v>
      </c>
      <c r="F3131" t="s">
        <v>428</v>
      </c>
      <c r="G3131" t="s">
        <v>424</v>
      </c>
      <c r="H3131" t="s">
        <v>430</v>
      </c>
      <c r="I3131" t="s">
        <v>425</v>
      </c>
      <c r="J3131" t="s">
        <v>426</v>
      </c>
      <c r="L3131" t="s">
        <v>423</v>
      </c>
      <c r="M3131" t="s">
        <v>421</v>
      </c>
    </row>
    <row r="3132" spans="1:13" ht="15" customHeight="1" x14ac:dyDescent="0.25">
      <c r="A3132" s="82">
        <v>45407</v>
      </c>
      <c r="B3132" t="s">
        <v>427</v>
      </c>
      <c r="C3132" t="s">
        <v>455</v>
      </c>
      <c r="D3132" t="s">
        <v>421</v>
      </c>
      <c r="E3132" t="s">
        <v>429</v>
      </c>
      <c r="F3132" t="s">
        <v>428</v>
      </c>
      <c r="G3132" t="s">
        <v>424</v>
      </c>
      <c r="H3132" t="s">
        <v>430</v>
      </c>
      <c r="I3132" t="s">
        <v>425</v>
      </c>
      <c r="J3132" t="s">
        <v>426</v>
      </c>
      <c r="L3132" t="s">
        <v>421</v>
      </c>
      <c r="M3132" t="s">
        <v>423</v>
      </c>
    </row>
    <row r="3133" spans="1:13" ht="15" customHeight="1" x14ac:dyDescent="0.25">
      <c r="A3133" s="82">
        <v>45408</v>
      </c>
      <c r="B3133" t="s">
        <v>455</v>
      </c>
      <c r="C3133" t="s">
        <v>424</v>
      </c>
      <c r="D3133" t="s">
        <v>429</v>
      </c>
      <c r="E3133" t="s">
        <v>426</v>
      </c>
      <c r="F3133" t="s">
        <v>425</v>
      </c>
      <c r="G3133" t="s">
        <v>424</v>
      </c>
      <c r="H3133" t="s">
        <v>421</v>
      </c>
      <c r="I3133" t="s">
        <v>425</v>
      </c>
      <c r="J3133" t="s">
        <v>427</v>
      </c>
      <c r="L3133" t="s">
        <v>421</v>
      </c>
      <c r="M3133" t="s">
        <v>423</v>
      </c>
    </row>
    <row r="3134" spans="1:13" ht="15" customHeight="1" x14ac:dyDescent="0.25">
      <c r="A3134" s="82">
        <v>45409</v>
      </c>
      <c r="B3134" t="s">
        <v>428</v>
      </c>
      <c r="C3134" t="s">
        <v>424</v>
      </c>
      <c r="D3134" t="s">
        <v>429</v>
      </c>
      <c r="E3134" t="s">
        <v>426</v>
      </c>
      <c r="F3134" t="s">
        <v>425</v>
      </c>
      <c r="G3134" t="s">
        <v>430</v>
      </c>
      <c r="H3134" t="s">
        <v>427</v>
      </c>
      <c r="I3134" t="s">
        <v>421</v>
      </c>
      <c r="J3134" t="s">
        <v>455</v>
      </c>
      <c r="L3134" t="s">
        <v>421</v>
      </c>
      <c r="M3134" t="s">
        <v>423</v>
      </c>
    </row>
    <row r="3135" spans="1:13" ht="15" customHeight="1" x14ac:dyDescent="0.25">
      <c r="A3135" s="82">
        <v>45410</v>
      </c>
      <c r="B3135" t="s">
        <v>428</v>
      </c>
      <c r="C3135" t="s">
        <v>424</v>
      </c>
      <c r="D3135" t="s">
        <v>429</v>
      </c>
      <c r="E3135" t="s">
        <v>426</v>
      </c>
      <c r="F3135" t="s">
        <v>425</v>
      </c>
      <c r="G3135" t="s">
        <v>430</v>
      </c>
      <c r="H3135" t="s">
        <v>455</v>
      </c>
      <c r="I3135" t="s">
        <v>421</v>
      </c>
      <c r="J3135" t="s">
        <v>427</v>
      </c>
      <c r="L3135" t="s">
        <v>421</v>
      </c>
      <c r="M3135" t="s">
        <v>423</v>
      </c>
    </row>
    <row r="3136" spans="1:13" ht="15" customHeight="1" x14ac:dyDescent="0.25">
      <c r="A3136" s="82">
        <v>45411</v>
      </c>
      <c r="B3136" t="s">
        <v>428</v>
      </c>
      <c r="C3136" t="s">
        <v>424</v>
      </c>
      <c r="D3136" t="s">
        <v>429</v>
      </c>
      <c r="E3136" t="s">
        <v>426</v>
      </c>
      <c r="F3136" t="s">
        <v>425</v>
      </c>
      <c r="G3136" t="s">
        <v>430</v>
      </c>
      <c r="H3136" t="s">
        <v>421</v>
      </c>
      <c r="I3136" t="s">
        <v>427</v>
      </c>
      <c r="J3136" t="s">
        <v>455</v>
      </c>
      <c r="L3136" t="s">
        <v>421</v>
      </c>
      <c r="M3136" t="s">
        <v>423</v>
      </c>
    </row>
    <row r="3137" spans="1:13" ht="15" customHeight="1" x14ac:dyDescent="0.25">
      <c r="A3137" s="82">
        <v>45412</v>
      </c>
      <c r="B3137" t="s">
        <v>428</v>
      </c>
      <c r="C3137" t="s">
        <v>424</v>
      </c>
      <c r="D3137" t="s">
        <v>429</v>
      </c>
      <c r="E3137" t="s">
        <v>426</v>
      </c>
      <c r="F3137" t="s">
        <v>425</v>
      </c>
      <c r="G3137" t="s">
        <v>430</v>
      </c>
      <c r="H3137" t="s">
        <v>427</v>
      </c>
      <c r="I3137" t="s">
        <v>455</v>
      </c>
      <c r="J3137" t="s">
        <v>421</v>
      </c>
      <c r="L3137" t="s">
        <v>421</v>
      </c>
      <c r="M3137" t="s">
        <v>423</v>
      </c>
    </row>
    <row r="3138" spans="1:13" ht="15" customHeight="1" x14ac:dyDescent="0.25">
      <c r="A3138" s="82">
        <v>45413</v>
      </c>
      <c r="B3138" t="s">
        <v>428</v>
      </c>
      <c r="C3138" t="s">
        <v>424</v>
      </c>
      <c r="D3138" t="s">
        <v>429</v>
      </c>
      <c r="E3138" t="s">
        <v>426</v>
      </c>
      <c r="F3138" t="s">
        <v>425</v>
      </c>
      <c r="G3138" t="s">
        <v>430</v>
      </c>
      <c r="H3138" t="s">
        <v>455</v>
      </c>
      <c r="I3138" t="s">
        <v>427</v>
      </c>
      <c r="J3138" t="s">
        <v>421</v>
      </c>
      <c r="L3138" t="s">
        <v>423</v>
      </c>
      <c r="M3138" t="s">
        <v>421</v>
      </c>
    </row>
    <row r="3139" spans="1:13" ht="15" customHeight="1" x14ac:dyDescent="0.25">
      <c r="A3139" s="82">
        <v>45414</v>
      </c>
      <c r="B3139" t="s">
        <v>428</v>
      </c>
      <c r="C3139" t="s">
        <v>424</v>
      </c>
      <c r="D3139" t="s">
        <v>429</v>
      </c>
      <c r="E3139" t="s">
        <v>426</v>
      </c>
      <c r="F3139" t="s">
        <v>425</v>
      </c>
      <c r="G3139" t="s">
        <v>430</v>
      </c>
      <c r="H3139" t="s">
        <v>421</v>
      </c>
      <c r="I3139" t="s">
        <v>455</v>
      </c>
      <c r="J3139" t="s">
        <v>427</v>
      </c>
      <c r="L3139" t="s">
        <v>423</v>
      </c>
      <c r="M3139" t="s">
        <v>421</v>
      </c>
    </row>
    <row r="3140" spans="1:13" ht="15" customHeight="1" x14ac:dyDescent="0.25">
      <c r="A3140" s="82">
        <v>45415</v>
      </c>
      <c r="B3140" t="s">
        <v>425</v>
      </c>
      <c r="C3140" t="s">
        <v>424</v>
      </c>
      <c r="D3140" t="s">
        <v>426</v>
      </c>
      <c r="E3140" t="s">
        <v>427</v>
      </c>
      <c r="F3140" t="s">
        <v>425</v>
      </c>
      <c r="G3140" t="s">
        <v>421</v>
      </c>
      <c r="H3140" t="s">
        <v>429</v>
      </c>
      <c r="I3140" t="s">
        <v>424</v>
      </c>
      <c r="J3140" t="s">
        <v>455</v>
      </c>
      <c r="L3140" t="s">
        <v>428</v>
      </c>
      <c r="M3140" t="s">
        <v>421</v>
      </c>
    </row>
    <row r="3141" spans="1:13" ht="15" customHeight="1" x14ac:dyDescent="0.25">
      <c r="A3141" s="82">
        <v>45416</v>
      </c>
      <c r="B3141" t="s">
        <v>425</v>
      </c>
      <c r="C3141" t="s">
        <v>430</v>
      </c>
      <c r="D3141" t="s">
        <v>426</v>
      </c>
      <c r="E3141" t="s">
        <v>455</v>
      </c>
      <c r="F3141" t="s">
        <v>421</v>
      </c>
      <c r="G3141" t="s">
        <v>427</v>
      </c>
      <c r="H3141" t="s">
        <v>429</v>
      </c>
      <c r="I3141" t="s">
        <v>424</v>
      </c>
      <c r="J3141" t="s">
        <v>428</v>
      </c>
      <c r="L3141" t="s">
        <v>428</v>
      </c>
      <c r="M3141" t="s">
        <v>421</v>
      </c>
    </row>
    <row r="3142" spans="1:13" ht="15" customHeight="1" x14ac:dyDescent="0.25">
      <c r="A3142" s="82">
        <v>45417</v>
      </c>
      <c r="B3142" t="s">
        <v>425</v>
      </c>
      <c r="C3142" t="s">
        <v>430</v>
      </c>
      <c r="D3142" t="s">
        <v>426</v>
      </c>
      <c r="E3142" t="s">
        <v>427</v>
      </c>
      <c r="F3142" t="s">
        <v>421</v>
      </c>
      <c r="G3142" t="s">
        <v>455</v>
      </c>
      <c r="H3142" t="s">
        <v>429</v>
      </c>
      <c r="I3142" t="s">
        <v>424</v>
      </c>
      <c r="J3142" t="s">
        <v>428</v>
      </c>
      <c r="L3142" t="s">
        <v>428</v>
      </c>
      <c r="M3142" t="s">
        <v>421</v>
      </c>
    </row>
    <row r="3143" spans="1:13" ht="15" customHeight="1" x14ac:dyDescent="0.25">
      <c r="A3143" s="82">
        <v>45418</v>
      </c>
      <c r="B3143" t="s">
        <v>425</v>
      </c>
      <c r="C3143" t="s">
        <v>430</v>
      </c>
      <c r="D3143" t="s">
        <v>426</v>
      </c>
      <c r="E3143" t="s">
        <v>455</v>
      </c>
      <c r="F3143" t="s">
        <v>427</v>
      </c>
      <c r="G3143" t="s">
        <v>421</v>
      </c>
      <c r="H3143" t="s">
        <v>429</v>
      </c>
      <c r="I3143" t="s">
        <v>424</v>
      </c>
      <c r="J3143" t="s">
        <v>428</v>
      </c>
      <c r="L3143" t="s">
        <v>428</v>
      </c>
      <c r="M3143" t="s">
        <v>421</v>
      </c>
    </row>
    <row r="3144" spans="1:13" ht="15" customHeight="1" x14ac:dyDescent="0.25">
      <c r="A3144" s="82">
        <v>45419</v>
      </c>
      <c r="B3144" t="s">
        <v>425</v>
      </c>
      <c r="C3144" t="s">
        <v>430</v>
      </c>
      <c r="D3144" t="s">
        <v>426</v>
      </c>
      <c r="E3144" t="s">
        <v>421</v>
      </c>
      <c r="F3144" t="s">
        <v>455</v>
      </c>
      <c r="G3144" t="s">
        <v>427</v>
      </c>
      <c r="H3144" t="s">
        <v>429</v>
      </c>
      <c r="I3144" t="s">
        <v>424</v>
      </c>
      <c r="J3144" t="s">
        <v>428</v>
      </c>
      <c r="L3144" t="s">
        <v>421</v>
      </c>
      <c r="M3144" t="s">
        <v>423</v>
      </c>
    </row>
    <row r="3145" spans="1:13" ht="15" customHeight="1" x14ac:dyDescent="0.25">
      <c r="A3145" s="82">
        <v>45420</v>
      </c>
      <c r="B3145" t="s">
        <v>425</v>
      </c>
      <c r="C3145" t="s">
        <v>430</v>
      </c>
      <c r="D3145" t="s">
        <v>426</v>
      </c>
      <c r="E3145" t="s">
        <v>421</v>
      </c>
      <c r="F3145" t="s">
        <v>427</v>
      </c>
      <c r="G3145" t="s">
        <v>455</v>
      </c>
      <c r="H3145" t="s">
        <v>429</v>
      </c>
      <c r="I3145" t="s">
        <v>424</v>
      </c>
      <c r="J3145" t="s">
        <v>428</v>
      </c>
      <c r="L3145" t="s">
        <v>421</v>
      </c>
      <c r="M3145" t="s">
        <v>423</v>
      </c>
    </row>
    <row r="3146" spans="1:13" ht="15" customHeight="1" x14ac:dyDescent="0.25">
      <c r="A3146" s="82">
        <v>45421</v>
      </c>
      <c r="B3146" t="s">
        <v>425</v>
      </c>
      <c r="C3146" t="s">
        <v>430</v>
      </c>
      <c r="D3146" t="s">
        <v>426</v>
      </c>
      <c r="E3146" t="s">
        <v>427</v>
      </c>
      <c r="F3146" t="s">
        <v>455</v>
      </c>
      <c r="G3146" t="s">
        <v>421</v>
      </c>
      <c r="H3146" t="s">
        <v>429</v>
      </c>
      <c r="I3146" t="s">
        <v>424</v>
      </c>
      <c r="J3146" t="s">
        <v>428</v>
      </c>
      <c r="L3146" t="s">
        <v>421</v>
      </c>
      <c r="M3146" t="s">
        <v>423</v>
      </c>
    </row>
    <row r="3147" spans="1:13" ht="15" customHeight="1" x14ac:dyDescent="0.25">
      <c r="A3147" s="82">
        <v>45422</v>
      </c>
      <c r="B3147" t="s">
        <v>425</v>
      </c>
      <c r="C3147" t="s">
        <v>421</v>
      </c>
      <c r="D3147" t="s">
        <v>427</v>
      </c>
      <c r="E3147" t="s">
        <v>455</v>
      </c>
      <c r="F3147" t="s">
        <v>424</v>
      </c>
      <c r="G3147" t="s">
        <v>429</v>
      </c>
      <c r="H3147" t="s">
        <v>426</v>
      </c>
      <c r="I3147" t="s">
        <v>424</v>
      </c>
      <c r="J3147" t="s">
        <v>425</v>
      </c>
      <c r="L3147" t="s">
        <v>421</v>
      </c>
      <c r="M3147" t="s">
        <v>423</v>
      </c>
    </row>
    <row r="3148" spans="1:13" ht="15" customHeight="1" x14ac:dyDescent="0.25">
      <c r="A3148" s="82">
        <v>45423</v>
      </c>
      <c r="B3148" t="s">
        <v>421</v>
      </c>
      <c r="C3148" t="s">
        <v>427</v>
      </c>
      <c r="D3148" t="s">
        <v>455</v>
      </c>
      <c r="E3148" t="s">
        <v>428</v>
      </c>
      <c r="F3148" t="s">
        <v>424</v>
      </c>
      <c r="G3148" t="s">
        <v>429</v>
      </c>
      <c r="H3148" t="s">
        <v>426</v>
      </c>
      <c r="I3148" t="s">
        <v>430</v>
      </c>
      <c r="J3148" t="s">
        <v>425</v>
      </c>
      <c r="L3148" t="s">
        <v>421</v>
      </c>
      <c r="M3148" t="s">
        <v>423</v>
      </c>
    </row>
    <row r="3149" spans="1:13" ht="15" customHeight="1" x14ac:dyDescent="0.25">
      <c r="A3149" s="82">
        <v>45424</v>
      </c>
      <c r="B3149" t="s">
        <v>421</v>
      </c>
      <c r="C3149" t="s">
        <v>455</v>
      </c>
      <c r="D3149" t="s">
        <v>427</v>
      </c>
      <c r="E3149" t="s">
        <v>428</v>
      </c>
      <c r="F3149" t="s">
        <v>424</v>
      </c>
      <c r="G3149" t="s">
        <v>429</v>
      </c>
      <c r="H3149" t="s">
        <v>426</v>
      </c>
      <c r="I3149" t="s">
        <v>430</v>
      </c>
      <c r="J3149" t="s">
        <v>425</v>
      </c>
      <c r="L3149" t="s">
        <v>421</v>
      </c>
      <c r="M3149" t="s">
        <v>423</v>
      </c>
    </row>
    <row r="3150" spans="1:13" ht="15" customHeight="1" x14ac:dyDescent="0.25">
      <c r="A3150" s="82">
        <v>45425</v>
      </c>
      <c r="B3150" t="s">
        <v>427</v>
      </c>
      <c r="C3150" t="s">
        <v>421</v>
      </c>
      <c r="D3150" t="s">
        <v>455</v>
      </c>
      <c r="E3150" t="s">
        <v>428</v>
      </c>
      <c r="F3150" t="s">
        <v>424</v>
      </c>
      <c r="G3150" t="s">
        <v>429</v>
      </c>
      <c r="H3150" t="s">
        <v>426</v>
      </c>
      <c r="I3150" t="s">
        <v>430</v>
      </c>
      <c r="J3150" t="s">
        <v>425</v>
      </c>
      <c r="L3150" t="s">
        <v>423</v>
      </c>
      <c r="M3150" t="s">
        <v>421</v>
      </c>
    </row>
    <row r="3151" spans="1:13" ht="15" customHeight="1" x14ac:dyDescent="0.25">
      <c r="A3151" s="82">
        <v>45426</v>
      </c>
      <c r="B3151" t="s">
        <v>455</v>
      </c>
      <c r="C3151" t="s">
        <v>427</v>
      </c>
      <c r="D3151" t="s">
        <v>421</v>
      </c>
      <c r="E3151" t="s">
        <v>428</v>
      </c>
      <c r="F3151" t="s">
        <v>424</v>
      </c>
      <c r="G3151" t="s">
        <v>429</v>
      </c>
      <c r="H3151" t="s">
        <v>426</v>
      </c>
      <c r="I3151" t="s">
        <v>430</v>
      </c>
      <c r="J3151" t="s">
        <v>425</v>
      </c>
      <c r="L3151" t="s">
        <v>423</v>
      </c>
      <c r="M3151" t="s">
        <v>421</v>
      </c>
    </row>
    <row r="3152" spans="1:13" ht="15" customHeight="1" x14ac:dyDescent="0.25">
      <c r="A3152" s="82">
        <v>45427</v>
      </c>
      <c r="B3152" t="s">
        <v>427</v>
      </c>
      <c r="C3152" t="s">
        <v>455</v>
      </c>
      <c r="D3152" t="s">
        <v>421</v>
      </c>
      <c r="E3152" t="s">
        <v>428</v>
      </c>
      <c r="F3152" t="s">
        <v>424</v>
      </c>
      <c r="G3152" t="s">
        <v>429</v>
      </c>
      <c r="H3152" t="s">
        <v>426</v>
      </c>
      <c r="I3152" t="s">
        <v>430</v>
      </c>
      <c r="J3152" t="s">
        <v>425</v>
      </c>
      <c r="L3152" t="s">
        <v>423</v>
      </c>
      <c r="M3152" t="s">
        <v>421</v>
      </c>
    </row>
    <row r="3153" spans="1:13" ht="15" customHeight="1" x14ac:dyDescent="0.25">
      <c r="A3153" s="82">
        <v>45428</v>
      </c>
      <c r="B3153" t="s">
        <v>455</v>
      </c>
      <c r="C3153" t="s">
        <v>421</v>
      </c>
      <c r="D3153" t="s">
        <v>427</v>
      </c>
      <c r="E3153" t="s">
        <v>428</v>
      </c>
      <c r="F3153" t="s">
        <v>424</v>
      </c>
      <c r="G3153" t="s">
        <v>429</v>
      </c>
      <c r="H3153" t="s">
        <v>426</v>
      </c>
      <c r="I3153" t="s">
        <v>430</v>
      </c>
      <c r="J3153" t="s">
        <v>425</v>
      </c>
      <c r="L3153" t="s">
        <v>423</v>
      </c>
      <c r="M3153" t="s">
        <v>421</v>
      </c>
    </row>
    <row r="3154" spans="1:13" ht="15" customHeight="1" x14ac:dyDescent="0.25">
      <c r="A3154" s="82">
        <v>45429</v>
      </c>
      <c r="B3154" t="s">
        <v>424</v>
      </c>
      <c r="C3154" t="s">
        <v>429</v>
      </c>
      <c r="D3154" t="s">
        <v>455</v>
      </c>
      <c r="E3154" t="s">
        <v>425</v>
      </c>
      <c r="F3154" t="s">
        <v>424</v>
      </c>
      <c r="G3154" t="s">
        <v>426</v>
      </c>
      <c r="H3154" t="s">
        <v>427</v>
      </c>
      <c r="I3154" t="s">
        <v>421</v>
      </c>
      <c r="J3154" t="s">
        <v>425</v>
      </c>
      <c r="L3154" t="s">
        <v>421</v>
      </c>
      <c r="M3154" t="s">
        <v>423</v>
      </c>
    </row>
    <row r="3155" spans="1:13" ht="15" customHeight="1" x14ac:dyDescent="0.25">
      <c r="A3155" s="82">
        <v>45430</v>
      </c>
      <c r="B3155" t="s">
        <v>424</v>
      </c>
      <c r="C3155" t="s">
        <v>429</v>
      </c>
      <c r="D3155" t="s">
        <v>428</v>
      </c>
      <c r="E3155" t="s">
        <v>425</v>
      </c>
      <c r="F3155" t="s">
        <v>430</v>
      </c>
      <c r="G3155" t="s">
        <v>426</v>
      </c>
      <c r="H3155" t="s">
        <v>455</v>
      </c>
      <c r="I3155" t="s">
        <v>427</v>
      </c>
      <c r="J3155" t="s">
        <v>421</v>
      </c>
      <c r="L3155" t="s">
        <v>421</v>
      </c>
      <c r="M3155" t="s">
        <v>423</v>
      </c>
    </row>
    <row r="3156" spans="1:13" ht="15" customHeight="1" x14ac:dyDescent="0.25">
      <c r="A3156" s="82">
        <v>45431</v>
      </c>
      <c r="B3156" t="s">
        <v>424</v>
      </c>
      <c r="C3156" t="s">
        <v>429</v>
      </c>
      <c r="D3156" t="s">
        <v>428</v>
      </c>
      <c r="E3156" t="s">
        <v>425</v>
      </c>
      <c r="F3156" t="s">
        <v>430</v>
      </c>
      <c r="G3156" t="s">
        <v>426</v>
      </c>
      <c r="H3156" t="s">
        <v>427</v>
      </c>
      <c r="I3156" t="s">
        <v>455</v>
      </c>
      <c r="J3156" t="s">
        <v>421</v>
      </c>
      <c r="L3156" t="s">
        <v>421</v>
      </c>
      <c r="M3156" t="s">
        <v>423</v>
      </c>
    </row>
    <row r="3157" spans="1:13" ht="15" customHeight="1" x14ac:dyDescent="0.25">
      <c r="A3157" s="82">
        <v>45432</v>
      </c>
      <c r="B3157" t="s">
        <v>424</v>
      </c>
      <c r="C3157" t="s">
        <v>429</v>
      </c>
      <c r="D3157" t="s">
        <v>428</v>
      </c>
      <c r="E3157" t="s">
        <v>425</v>
      </c>
      <c r="F3157" t="s">
        <v>430</v>
      </c>
      <c r="G3157" t="s">
        <v>426</v>
      </c>
      <c r="H3157" t="s">
        <v>455</v>
      </c>
      <c r="I3157" t="s">
        <v>421</v>
      </c>
      <c r="J3157" t="s">
        <v>427</v>
      </c>
      <c r="L3157" t="s">
        <v>421</v>
      </c>
      <c r="M3157" t="s">
        <v>423</v>
      </c>
    </row>
    <row r="3158" spans="1:13" ht="15" customHeight="1" x14ac:dyDescent="0.25">
      <c r="A3158" s="82">
        <v>45433</v>
      </c>
      <c r="B3158" t="s">
        <v>424</v>
      </c>
      <c r="C3158" t="s">
        <v>429</v>
      </c>
      <c r="D3158" t="s">
        <v>428</v>
      </c>
      <c r="E3158" t="s">
        <v>425</v>
      </c>
      <c r="F3158" t="s">
        <v>430</v>
      </c>
      <c r="G3158" t="s">
        <v>426</v>
      </c>
      <c r="H3158" t="s">
        <v>421</v>
      </c>
      <c r="I3158" t="s">
        <v>427</v>
      </c>
      <c r="J3158" t="s">
        <v>455</v>
      </c>
      <c r="L3158" t="s">
        <v>421</v>
      </c>
      <c r="M3158" t="s">
        <v>423</v>
      </c>
    </row>
    <row r="3159" spans="1:13" ht="15" customHeight="1" x14ac:dyDescent="0.25">
      <c r="A3159" s="82">
        <v>45434</v>
      </c>
      <c r="B3159" t="s">
        <v>424</v>
      </c>
      <c r="C3159" t="s">
        <v>429</v>
      </c>
      <c r="D3159" t="s">
        <v>428</v>
      </c>
      <c r="E3159" t="s">
        <v>425</v>
      </c>
      <c r="F3159" t="s">
        <v>430</v>
      </c>
      <c r="G3159" t="s">
        <v>426</v>
      </c>
      <c r="H3159" t="s">
        <v>421</v>
      </c>
      <c r="I3159" t="s">
        <v>455</v>
      </c>
      <c r="J3159" t="s">
        <v>427</v>
      </c>
      <c r="L3159" t="s">
        <v>421</v>
      </c>
      <c r="M3159" t="s">
        <v>423</v>
      </c>
    </row>
    <row r="3160" spans="1:13" ht="15" customHeight="1" x14ac:dyDescent="0.25">
      <c r="A3160" s="82">
        <v>45435</v>
      </c>
      <c r="B3160" t="s">
        <v>424</v>
      </c>
      <c r="C3160" t="s">
        <v>429</v>
      </c>
      <c r="D3160" t="s">
        <v>428</v>
      </c>
      <c r="E3160" t="s">
        <v>425</v>
      </c>
      <c r="F3160" t="s">
        <v>430</v>
      </c>
      <c r="G3160" t="s">
        <v>426</v>
      </c>
      <c r="H3160" t="s">
        <v>427</v>
      </c>
      <c r="I3160" t="s">
        <v>421</v>
      </c>
      <c r="J3160" t="s">
        <v>455</v>
      </c>
      <c r="L3160" t="s">
        <v>423</v>
      </c>
      <c r="M3160" t="s">
        <v>421</v>
      </c>
    </row>
    <row r="3161" spans="1:13" ht="15" customHeight="1" x14ac:dyDescent="0.25">
      <c r="A3161" s="82">
        <v>45436</v>
      </c>
      <c r="B3161" t="s">
        <v>424</v>
      </c>
      <c r="C3161" t="s">
        <v>426</v>
      </c>
      <c r="D3161" t="s">
        <v>425</v>
      </c>
      <c r="E3161" t="s">
        <v>425</v>
      </c>
      <c r="F3161" t="s">
        <v>421</v>
      </c>
      <c r="G3161" t="s">
        <v>427</v>
      </c>
      <c r="H3161" t="s">
        <v>455</v>
      </c>
      <c r="I3161" t="s">
        <v>429</v>
      </c>
      <c r="J3161" t="s">
        <v>424</v>
      </c>
      <c r="L3161" t="s">
        <v>423</v>
      </c>
      <c r="M3161" t="s">
        <v>421</v>
      </c>
    </row>
    <row r="3162" spans="1:13" ht="15" customHeight="1" x14ac:dyDescent="0.25">
      <c r="A3162" s="82">
        <v>45437</v>
      </c>
      <c r="B3162" t="s">
        <v>430</v>
      </c>
      <c r="C3162" t="s">
        <v>426</v>
      </c>
      <c r="D3162" t="s">
        <v>425</v>
      </c>
      <c r="E3162" t="s">
        <v>421</v>
      </c>
      <c r="F3162" t="s">
        <v>427</v>
      </c>
      <c r="G3162" t="s">
        <v>455</v>
      </c>
      <c r="H3162" t="s">
        <v>428</v>
      </c>
      <c r="I3162" t="s">
        <v>429</v>
      </c>
      <c r="J3162" t="s">
        <v>424</v>
      </c>
      <c r="L3162" t="s">
        <v>423</v>
      </c>
      <c r="M3162" t="s">
        <v>421</v>
      </c>
    </row>
    <row r="3163" spans="1:13" ht="15" customHeight="1" x14ac:dyDescent="0.25">
      <c r="A3163" s="82">
        <v>45438</v>
      </c>
      <c r="B3163" t="s">
        <v>430</v>
      </c>
      <c r="C3163" t="s">
        <v>426</v>
      </c>
      <c r="D3163" t="s">
        <v>425</v>
      </c>
      <c r="E3163" t="s">
        <v>421</v>
      </c>
      <c r="F3163" t="s">
        <v>455</v>
      </c>
      <c r="G3163" t="s">
        <v>427</v>
      </c>
      <c r="H3163" t="s">
        <v>428</v>
      </c>
      <c r="I3163" t="s">
        <v>429</v>
      </c>
      <c r="J3163" t="s">
        <v>424</v>
      </c>
      <c r="L3163" t="s">
        <v>423</v>
      </c>
      <c r="M3163" t="s">
        <v>421</v>
      </c>
    </row>
    <row r="3164" spans="1:13" ht="15" customHeight="1" x14ac:dyDescent="0.25">
      <c r="A3164" s="82">
        <v>45439</v>
      </c>
      <c r="B3164" t="s">
        <v>430</v>
      </c>
      <c r="C3164" t="s">
        <v>426</v>
      </c>
      <c r="D3164" t="s">
        <v>425</v>
      </c>
      <c r="E3164" t="s">
        <v>427</v>
      </c>
      <c r="F3164" t="s">
        <v>421</v>
      </c>
      <c r="G3164" t="s">
        <v>455</v>
      </c>
      <c r="H3164" t="s">
        <v>428</v>
      </c>
      <c r="I3164" t="s">
        <v>429</v>
      </c>
      <c r="J3164" t="s">
        <v>424</v>
      </c>
      <c r="L3164" t="s">
        <v>423</v>
      </c>
      <c r="M3164" t="s">
        <v>421</v>
      </c>
    </row>
    <row r="3165" spans="1:13" ht="15" customHeight="1" x14ac:dyDescent="0.25">
      <c r="A3165" s="82">
        <v>45440</v>
      </c>
      <c r="B3165" t="s">
        <v>430</v>
      </c>
      <c r="C3165" t="s">
        <v>426</v>
      </c>
      <c r="D3165" t="s">
        <v>425</v>
      </c>
      <c r="E3165" t="s">
        <v>455</v>
      </c>
      <c r="F3165" t="s">
        <v>427</v>
      </c>
      <c r="G3165" t="s">
        <v>421</v>
      </c>
      <c r="H3165" t="s">
        <v>428</v>
      </c>
      <c r="I3165" t="s">
        <v>429</v>
      </c>
      <c r="J3165" t="s">
        <v>424</v>
      </c>
      <c r="L3165" t="s">
        <v>423</v>
      </c>
      <c r="M3165" t="s">
        <v>421</v>
      </c>
    </row>
    <row r="3166" spans="1:13" ht="15" customHeight="1" x14ac:dyDescent="0.25">
      <c r="A3166" s="82">
        <v>45441</v>
      </c>
      <c r="B3166" t="s">
        <v>430</v>
      </c>
      <c r="C3166" t="s">
        <v>426</v>
      </c>
      <c r="D3166" t="s">
        <v>425</v>
      </c>
      <c r="E3166" t="s">
        <v>427</v>
      </c>
      <c r="F3166" t="s">
        <v>455</v>
      </c>
      <c r="G3166" t="s">
        <v>421</v>
      </c>
      <c r="H3166" t="s">
        <v>428</v>
      </c>
      <c r="I3166" t="s">
        <v>429</v>
      </c>
      <c r="J3166" t="s">
        <v>424</v>
      </c>
      <c r="L3166" t="s">
        <v>421</v>
      </c>
      <c r="M3166" t="s">
        <v>423</v>
      </c>
    </row>
    <row r="3167" spans="1:13" ht="15" customHeight="1" x14ac:dyDescent="0.25">
      <c r="A3167" s="82">
        <v>45442</v>
      </c>
      <c r="B3167" t="s">
        <v>430</v>
      </c>
      <c r="C3167" t="s">
        <v>426</v>
      </c>
      <c r="D3167" t="s">
        <v>425</v>
      </c>
      <c r="E3167" t="s">
        <v>455</v>
      </c>
      <c r="F3167" t="s">
        <v>421</v>
      </c>
      <c r="G3167" t="s">
        <v>427</v>
      </c>
      <c r="H3167" t="s">
        <v>428</v>
      </c>
      <c r="I3167" t="s">
        <v>429</v>
      </c>
      <c r="J3167" t="s">
        <v>424</v>
      </c>
      <c r="L3167" t="s">
        <v>421</v>
      </c>
      <c r="M3167" t="s">
        <v>423</v>
      </c>
    </row>
    <row r="3168" spans="1:13" ht="15" customHeight="1" x14ac:dyDescent="0.25">
      <c r="A3168" s="82">
        <v>45443</v>
      </c>
      <c r="B3168" t="s">
        <v>421</v>
      </c>
      <c r="C3168" t="s">
        <v>427</v>
      </c>
      <c r="D3168" t="s">
        <v>425</v>
      </c>
      <c r="E3168" t="s">
        <v>424</v>
      </c>
      <c r="F3168" t="s">
        <v>429</v>
      </c>
      <c r="G3168" t="s">
        <v>455</v>
      </c>
      <c r="H3168" t="s">
        <v>425</v>
      </c>
      <c r="I3168" t="s">
        <v>426</v>
      </c>
      <c r="J3168" t="s">
        <v>424</v>
      </c>
      <c r="L3168" t="s">
        <v>421</v>
      </c>
      <c r="M3168" t="s">
        <v>428</v>
      </c>
    </row>
    <row r="3169" spans="1:13" ht="15" customHeight="1" x14ac:dyDescent="0.25">
      <c r="A3169" s="82">
        <v>45444</v>
      </c>
      <c r="B3169" t="s">
        <v>427</v>
      </c>
      <c r="C3169" t="s">
        <v>455</v>
      </c>
      <c r="D3169" t="s">
        <v>421</v>
      </c>
      <c r="E3169" t="s">
        <v>424</v>
      </c>
      <c r="F3169" t="s">
        <v>429</v>
      </c>
      <c r="G3169" t="s">
        <v>428</v>
      </c>
      <c r="H3169" t="s">
        <v>425</v>
      </c>
      <c r="I3169" t="s">
        <v>426</v>
      </c>
      <c r="J3169" t="s">
        <v>430</v>
      </c>
      <c r="L3169" t="s">
        <v>421</v>
      </c>
      <c r="M3169" t="s">
        <v>428</v>
      </c>
    </row>
    <row r="3170" spans="1:13" ht="15" customHeight="1" x14ac:dyDescent="0.25">
      <c r="A3170" s="82">
        <v>45445</v>
      </c>
      <c r="B3170" t="s">
        <v>455</v>
      </c>
      <c r="C3170" t="s">
        <v>427</v>
      </c>
      <c r="D3170" t="s">
        <v>421</v>
      </c>
      <c r="E3170" t="s">
        <v>424</v>
      </c>
      <c r="F3170" t="s">
        <v>429</v>
      </c>
      <c r="G3170" t="s">
        <v>428</v>
      </c>
      <c r="H3170" t="s">
        <v>425</v>
      </c>
      <c r="I3170" t="s">
        <v>426</v>
      </c>
      <c r="J3170" t="s">
        <v>430</v>
      </c>
      <c r="L3170" t="s">
        <v>421</v>
      </c>
      <c r="M3170" t="s">
        <v>428</v>
      </c>
    </row>
    <row r="3171" spans="1:13" ht="15" customHeight="1" x14ac:dyDescent="0.25">
      <c r="A3171" s="82">
        <v>45446</v>
      </c>
      <c r="B3171" t="s">
        <v>421</v>
      </c>
      <c r="C3171" t="s">
        <v>455</v>
      </c>
      <c r="D3171" t="s">
        <v>427</v>
      </c>
      <c r="E3171" t="s">
        <v>424</v>
      </c>
      <c r="F3171" t="s">
        <v>429</v>
      </c>
      <c r="G3171" t="s">
        <v>428</v>
      </c>
      <c r="H3171" t="s">
        <v>425</v>
      </c>
      <c r="I3171" t="s">
        <v>426</v>
      </c>
      <c r="J3171" t="s">
        <v>430</v>
      </c>
      <c r="L3171" t="s">
        <v>421</v>
      </c>
      <c r="M3171" t="s">
        <v>428</v>
      </c>
    </row>
    <row r="3172" spans="1:13" ht="15" customHeight="1" x14ac:dyDescent="0.25">
      <c r="A3172" s="82">
        <v>45447</v>
      </c>
      <c r="B3172" t="s">
        <v>427</v>
      </c>
      <c r="C3172" t="s">
        <v>421</v>
      </c>
      <c r="D3172" t="s">
        <v>455</v>
      </c>
      <c r="E3172" t="s">
        <v>424</v>
      </c>
      <c r="F3172" t="s">
        <v>429</v>
      </c>
      <c r="G3172" t="s">
        <v>428</v>
      </c>
      <c r="H3172" t="s">
        <v>425</v>
      </c>
      <c r="I3172" t="s">
        <v>426</v>
      </c>
      <c r="J3172" t="s">
        <v>430</v>
      </c>
      <c r="L3172" t="s">
        <v>423</v>
      </c>
      <c r="M3172" t="s">
        <v>421</v>
      </c>
    </row>
    <row r="3173" spans="1:13" ht="15" customHeight="1" x14ac:dyDescent="0.25">
      <c r="A3173" s="82">
        <v>45448</v>
      </c>
      <c r="B3173" t="s">
        <v>455</v>
      </c>
      <c r="C3173" t="s">
        <v>421</v>
      </c>
      <c r="D3173" t="s">
        <v>427</v>
      </c>
      <c r="E3173" t="s">
        <v>424</v>
      </c>
      <c r="F3173" t="s">
        <v>429</v>
      </c>
      <c r="G3173" t="s">
        <v>428</v>
      </c>
      <c r="H3173" t="s">
        <v>425</v>
      </c>
      <c r="I3173" t="s">
        <v>426</v>
      </c>
      <c r="J3173" t="s">
        <v>430</v>
      </c>
      <c r="L3173" t="s">
        <v>423</v>
      </c>
      <c r="M3173" t="s">
        <v>421</v>
      </c>
    </row>
    <row r="3174" spans="1:13" ht="15" customHeight="1" x14ac:dyDescent="0.25">
      <c r="A3174" s="82">
        <v>45449</v>
      </c>
      <c r="B3174" t="s">
        <v>421</v>
      </c>
      <c r="C3174" t="s">
        <v>427</v>
      </c>
      <c r="D3174" t="s">
        <v>455</v>
      </c>
      <c r="E3174" t="s">
        <v>424</v>
      </c>
      <c r="F3174" t="s">
        <v>429</v>
      </c>
      <c r="G3174" t="s">
        <v>428</v>
      </c>
      <c r="H3174" t="s">
        <v>425</v>
      </c>
      <c r="I3174" t="s">
        <v>426</v>
      </c>
      <c r="J3174" t="s">
        <v>430</v>
      </c>
      <c r="L3174" t="s">
        <v>423</v>
      </c>
      <c r="M3174" t="s">
        <v>421</v>
      </c>
    </row>
    <row r="3175" spans="1:13" ht="15" customHeight="1" x14ac:dyDescent="0.25">
      <c r="A3175" s="82">
        <v>45450</v>
      </c>
      <c r="B3175" t="s">
        <v>429</v>
      </c>
      <c r="C3175" t="s">
        <v>455</v>
      </c>
      <c r="D3175" t="s">
        <v>424</v>
      </c>
      <c r="E3175" t="s">
        <v>424</v>
      </c>
      <c r="F3175" t="s">
        <v>426</v>
      </c>
      <c r="G3175" t="s">
        <v>425</v>
      </c>
      <c r="H3175" t="s">
        <v>425</v>
      </c>
      <c r="I3175" t="s">
        <v>427</v>
      </c>
      <c r="J3175" t="s">
        <v>421</v>
      </c>
      <c r="L3175" t="s">
        <v>423</v>
      </c>
      <c r="M3175" t="s">
        <v>421</v>
      </c>
    </row>
    <row r="3176" spans="1:13" ht="15" customHeight="1" x14ac:dyDescent="0.25">
      <c r="A3176" s="82">
        <v>45451</v>
      </c>
      <c r="B3176" t="s">
        <v>429</v>
      </c>
      <c r="C3176" t="s">
        <v>428</v>
      </c>
      <c r="D3176" t="s">
        <v>424</v>
      </c>
      <c r="E3176" t="s">
        <v>430</v>
      </c>
      <c r="F3176" t="s">
        <v>426</v>
      </c>
      <c r="G3176" t="s">
        <v>425</v>
      </c>
      <c r="H3176" t="s">
        <v>421</v>
      </c>
      <c r="I3176" t="s">
        <v>455</v>
      </c>
      <c r="J3176" t="s">
        <v>427</v>
      </c>
      <c r="L3176" t="s">
        <v>423</v>
      </c>
      <c r="M3176" t="s">
        <v>421</v>
      </c>
    </row>
    <row r="3177" spans="1:13" ht="15" customHeight="1" x14ac:dyDescent="0.25">
      <c r="A3177" s="82">
        <v>45452</v>
      </c>
      <c r="B3177" t="s">
        <v>429</v>
      </c>
      <c r="C3177" t="s">
        <v>428</v>
      </c>
      <c r="D3177" t="s">
        <v>424</v>
      </c>
      <c r="E3177" t="s">
        <v>430</v>
      </c>
      <c r="F3177" t="s">
        <v>426</v>
      </c>
      <c r="G3177" t="s">
        <v>425</v>
      </c>
      <c r="H3177" t="s">
        <v>421</v>
      </c>
      <c r="I3177" t="s">
        <v>427</v>
      </c>
      <c r="J3177" t="s">
        <v>455</v>
      </c>
      <c r="L3177" t="s">
        <v>423</v>
      </c>
      <c r="M3177" t="s">
        <v>421</v>
      </c>
    </row>
    <row r="3178" spans="1:13" ht="15" customHeight="1" x14ac:dyDescent="0.25">
      <c r="A3178" s="82">
        <v>45453</v>
      </c>
      <c r="B3178" t="s">
        <v>514</v>
      </c>
      <c r="C3178" t="s">
        <v>428</v>
      </c>
      <c r="D3178" t="s">
        <v>424</v>
      </c>
      <c r="E3178" t="s">
        <v>430</v>
      </c>
      <c r="F3178" t="s">
        <v>426</v>
      </c>
      <c r="G3178" t="s">
        <v>425</v>
      </c>
      <c r="H3178" t="s">
        <v>427</v>
      </c>
      <c r="I3178" t="s">
        <v>455</v>
      </c>
      <c r="J3178" t="s">
        <v>421</v>
      </c>
      <c r="L3178" t="s">
        <v>421</v>
      </c>
      <c r="M3178" t="s">
        <v>423</v>
      </c>
    </row>
    <row r="3179" spans="1:13" ht="15" customHeight="1" x14ac:dyDescent="0.25">
      <c r="A3179" s="82">
        <v>45454</v>
      </c>
      <c r="B3179" t="s">
        <v>514</v>
      </c>
      <c r="C3179" t="s">
        <v>428</v>
      </c>
      <c r="D3179" t="s">
        <v>424</v>
      </c>
      <c r="E3179" t="s">
        <v>430</v>
      </c>
      <c r="F3179" t="s">
        <v>426</v>
      </c>
      <c r="G3179" t="s">
        <v>425</v>
      </c>
      <c r="H3179" t="s">
        <v>455</v>
      </c>
      <c r="I3179" t="s">
        <v>421</v>
      </c>
      <c r="J3179" t="s">
        <v>427</v>
      </c>
      <c r="L3179" t="s">
        <v>421</v>
      </c>
      <c r="M3179" t="s">
        <v>423</v>
      </c>
    </row>
    <row r="3180" spans="1:13" ht="15" customHeight="1" x14ac:dyDescent="0.25">
      <c r="A3180" s="82">
        <v>45455</v>
      </c>
      <c r="B3180" t="s">
        <v>514</v>
      </c>
      <c r="C3180" t="s">
        <v>428</v>
      </c>
      <c r="D3180" t="s">
        <v>424</v>
      </c>
      <c r="E3180" t="s">
        <v>430</v>
      </c>
      <c r="F3180" t="s">
        <v>426</v>
      </c>
      <c r="G3180" t="s">
        <v>425</v>
      </c>
      <c r="H3180" t="s">
        <v>427</v>
      </c>
      <c r="I3180" t="s">
        <v>421</v>
      </c>
      <c r="J3180" t="s">
        <v>455</v>
      </c>
      <c r="L3180" t="s">
        <v>421</v>
      </c>
      <c r="M3180" t="s">
        <v>423</v>
      </c>
    </row>
    <row r="3181" spans="1:13" ht="15" customHeight="1" x14ac:dyDescent="0.25">
      <c r="A3181" s="82">
        <v>45456</v>
      </c>
      <c r="B3181" t="s">
        <v>514</v>
      </c>
      <c r="C3181" t="s">
        <v>428</v>
      </c>
      <c r="D3181" t="s">
        <v>424</v>
      </c>
      <c r="E3181" t="s">
        <v>430</v>
      </c>
      <c r="F3181" t="s">
        <v>426</v>
      </c>
      <c r="G3181" t="s">
        <v>425</v>
      </c>
      <c r="H3181" t="s">
        <v>455</v>
      </c>
      <c r="I3181" t="s">
        <v>427</v>
      </c>
      <c r="J3181" t="s">
        <v>517</v>
      </c>
      <c r="L3181" t="s">
        <v>421</v>
      </c>
      <c r="M3181" t="s">
        <v>423</v>
      </c>
    </row>
    <row r="3182" spans="1:13" ht="15" customHeight="1" x14ac:dyDescent="0.25">
      <c r="A3182" s="82">
        <v>45457</v>
      </c>
      <c r="B3182" t="s">
        <v>426</v>
      </c>
      <c r="C3182" t="s">
        <v>425</v>
      </c>
      <c r="D3182" t="s">
        <v>424</v>
      </c>
      <c r="E3182" t="s">
        <v>421</v>
      </c>
      <c r="F3182" t="s">
        <v>427</v>
      </c>
      <c r="G3182" t="s">
        <v>425</v>
      </c>
      <c r="H3182" t="s">
        <v>424</v>
      </c>
      <c r="I3182" t="s">
        <v>455</v>
      </c>
      <c r="J3182" t="s">
        <v>514</v>
      </c>
      <c r="L3182" t="s">
        <v>423</v>
      </c>
      <c r="M3182" t="s">
        <v>421</v>
      </c>
    </row>
    <row r="3183" spans="1:13" ht="15" customHeight="1" x14ac:dyDescent="0.25">
      <c r="A3183" s="82">
        <v>45458</v>
      </c>
      <c r="B3183" t="s">
        <v>426</v>
      </c>
      <c r="C3183" t="s">
        <v>425</v>
      </c>
      <c r="D3183" t="s">
        <v>430</v>
      </c>
      <c r="E3183" t="s">
        <v>427</v>
      </c>
      <c r="F3183" t="s">
        <v>455</v>
      </c>
      <c r="G3183" t="s">
        <v>421</v>
      </c>
      <c r="H3183" t="s">
        <v>424</v>
      </c>
      <c r="I3183" t="s">
        <v>428</v>
      </c>
      <c r="J3183" t="s">
        <v>514</v>
      </c>
      <c r="L3183" t="s">
        <v>423</v>
      </c>
      <c r="M3183" t="s">
        <v>421</v>
      </c>
    </row>
    <row r="3184" spans="1:13" ht="15" customHeight="1" x14ac:dyDescent="0.25">
      <c r="A3184" s="82">
        <v>45459</v>
      </c>
      <c r="B3184" t="s">
        <v>426</v>
      </c>
      <c r="C3184" t="s">
        <v>425</v>
      </c>
      <c r="D3184" t="s">
        <v>430</v>
      </c>
      <c r="E3184" t="s">
        <v>455</v>
      </c>
      <c r="F3184" t="s">
        <v>427</v>
      </c>
      <c r="G3184" t="s">
        <v>421</v>
      </c>
      <c r="H3184" t="s">
        <v>424</v>
      </c>
      <c r="I3184" t="s">
        <v>428</v>
      </c>
      <c r="J3184" t="s">
        <v>514</v>
      </c>
      <c r="L3184" t="s">
        <v>423</v>
      </c>
      <c r="M3184" t="s">
        <v>421</v>
      </c>
    </row>
    <row r="3185" spans="1:13" ht="15" customHeight="1" x14ac:dyDescent="0.25">
      <c r="A3185" s="82">
        <v>45460</v>
      </c>
      <c r="B3185" t="s">
        <v>426</v>
      </c>
      <c r="C3185" t="s">
        <v>425</v>
      </c>
      <c r="D3185" t="s">
        <v>430</v>
      </c>
      <c r="E3185" t="s">
        <v>421</v>
      </c>
      <c r="F3185" t="s">
        <v>455</v>
      </c>
      <c r="G3185" t="s">
        <v>427</v>
      </c>
      <c r="H3185" t="s">
        <v>424</v>
      </c>
      <c r="I3185" t="s">
        <v>428</v>
      </c>
      <c r="J3185" t="s">
        <v>514</v>
      </c>
      <c r="L3185" t="s">
        <v>423</v>
      </c>
      <c r="M3185" t="s">
        <v>421</v>
      </c>
    </row>
    <row r="3186" spans="1:13" ht="15" customHeight="1" x14ac:dyDescent="0.25">
      <c r="A3186" s="82">
        <v>45461</v>
      </c>
      <c r="B3186" t="s">
        <v>426</v>
      </c>
      <c r="C3186" t="s">
        <v>425</v>
      </c>
      <c r="D3186" t="s">
        <v>430</v>
      </c>
      <c r="E3186" t="s">
        <v>427</v>
      </c>
      <c r="F3186" t="s">
        <v>421</v>
      </c>
      <c r="G3186" t="s">
        <v>455</v>
      </c>
      <c r="H3186" t="s">
        <v>424</v>
      </c>
      <c r="I3186" t="s">
        <v>428</v>
      </c>
      <c r="J3186" t="s">
        <v>514</v>
      </c>
      <c r="L3186" t="s">
        <v>423</v>
      </c>
      <c r="M3186" t="s">
        <v>421</v>
      </c>
    </row>
    <row r="3187" spans="1:13" ht="15" customHeight="1" x14ac:dyDescent="0.25">
      <c r="A3187" s="82">
        <v>45462</v>
      </c>
      <c r="B3187" t="s">
        <v>426</v>
      </c>
      <c r="C3187" t="s">
        <v>425</v>
      </c>
      <c r="D3187" t="s">
        <v>430</v>
      </c>
      <c r="E3187" t="s">
        <v>455</v>
      </c>
      <c r="F3187" t="s">
        <v>421</v>
      </c>
      <c r="G3187" t="s">
        <v>427</v>
      </c>
      <c r="H3187" t="s">
        <v>424</v>
      </c>
      <c r="I3187" t="s">
        <v>428</v>
      </c>
      <c r="J3187" t="s">
        <v>514</v>
      </c>
      <c r="L3187" t="s">
        <v>423</v>
      </c>
      <c r="M3187" t="s">
        <v>421</v>
      </c>
    </row>
    <row r="3188" spans="1:13" ht="15" customHeight="1" x14ac:dyDescent="0.25">
      <c r="A3188" s="82">
        <v>45463</v>
      </c>
      <c r="B3188" t="s">
        <v>426</v>
      </c>
      <c r="C3188" t="s">
        <v>425</v>
      </c>
      <c r="D3188" t="s">
        <v>430</v>
      </c>
      <c r="E3188" t="s">
        <v>517</v>
      </c>
      <c r="F3188" t="s">
        <v>427</v>
      </c>
      <c r="G3188" t="s">
        <v>455</v>
      </c>
      <c r="H3188" t="s">
        <v>424</v>
      </c>
      <c r="I3188" t="s">
        <v>428</v>
      </c>
      <c r="J3188" t="s">
        <v>514</v>
      </c>
      <c r="L3188" t="s">
        <v>421</v>
      </c>
      <c r="M3188" t="s">
        <v>423</v>
      </c>
    </row>
    <row r="3189" spans="1:13" ht="15" customHeight="1" x14ac:dyDescent="0.25">
      <c r="A3189" s="82">
        <v>45464</v>
      </c>
      <c r="B3189" t="s">
        <v>427</v>
      </c>
      <c r="C3189" t="s">
        <v>425</v>
      </c>
      <c r="D3189" t="s">
        <v>421</v>
      </c>
      <c r="E3189" t="s">
        <v>514</v>
      </c>
      <c r="F3189" t="s">
        <v>455</v>
      </c>
      <c r="G3189" t="s">
        <v>424</v>
      </c>
      <c r="H3189" t="s">
        <v>424</v>
      </c>
      <c r="I3189" t="s">
        <v>425</v>
      </c>
      <c r="J3189" t="s">
        <v>426</v>
      </c>
      <c r="L3189" t="s">
        <v>421</v>
      </c>
      <c r="M3189" t="s">
        <v>423</v>
      </c>
    </row>
    <row r="3190" spans="1:13" ht="15" customHeight="1" x14ac:dyDescent="0.25">
      <c r="A3190" s="82">
        <v>45465</v>
      </c>
      <c r="B3190" t="s">
        <v>455</v>
      </c>
      <c r="C3190" t="s">
        <v>421</v>
      </c>
      <c r="D3190" t="s">
        <v>427</v>
      </c>
      <c r="E3190" t="s">
        <v>514</v>
      </c>
      <c r="F3190" t="s">
        <v>428</v>
      </c>
      <c r="G3190" t="s">
        <v>424</v>
      </c>
      <c r="H3190" t="s">
        <v>430</v>
      </c>
      <c r="I3190" t="s">
        <v>425</v>
      </c>
      <c r="J3190" t="s">
        <v>426</v>
      </c>
      <c r="L3190" t="s">
        <v>421</v>
      </c>
      <c r="M3190" t="s">
        <v>423</v>
      </c>
    </row>
    <row r="3191" spans="1:13" ht="15" customHeight="1" x14ac:dyDescent="0.25">
      <c r="A3191" s="82">
        <v>45466</v>
      </c>
      <c r="B3191" t="s">
        <v>427</v>
      </c>
      <c r="C3191" t="s">
        <v>421</v>
      </c>
      <c r="D3191" t="s">
        <v>455</v>
      </c>
      <c r="E3191" t="s">
        <v>514</v>
      </c>
      <c r="F3191" t="s">
        <v>428</v>
      </c>
      <c r="G3191" t="s">
        <v>424</v>
      </c>
      <c r="H3191" t="s">
        <v>430</v>
      </c>
      <c r="I3191" t="s">
        <v>425</v>
      </c>
      <c r="J3191" t="s">
        <v>426</v>
      </c>
      <c r="L3191" t="s">
        <v>421</v>
      </c>
      <c r="M3191" t="s">
        <v>423</v>
      </c>
    </row>
    <row r="3192" spans="1:13" ht="15" customHeight="1" x14ac:dyDescent="0.25">
      <c r="A3192" s="82">
        <v>45467</v>
      </c>
      <c r="B3192" t="s">
        <v>455</v>
      </c>
      <c r="C3192" t="s">
        <v>427</v>
      </c>
      <c r="D3192" t="s">
        <v>421</v>
      </c>
      <c r="E3192" t="s">
        <v>514</v>
      </c>
      <c r="F3192" t="s">
        <v>428</v>
      </c>
      <c r="G3192" t="s">
        <v>424</v>
      </c>
      <c r="H3192" t="s">
        <v>430</v>
      </c>
      <c r="I3192" t="s">
        <v>425</v>
      </c>
      <c r="J3192" t="s">
        <v>426</v>
      </c>
      <c r="L3192" t="s">
        <v>421</v>
      </c>
      <c r="M3192" t="s">
        <v>423</v>
      </c>
    </row>
    <row r="3193" spans="1:13" ht="15" customHeight="1" x14ac:dyDescent="0.25">
      <c r="A3193" s="82">
        <v>45468</v>
      </c>
      <c r="B3193" t="s">
        <v>421</v>
      </c>
      <c r="C3193" t="s">
        <v>455</v>
      </c>
      <c r="D3193" t="s">
        <v>427</v>
      </c>
      <c r="E3193" t="s">
        <v>514</v>
      </c>
      <c r="F3193" t="s">
        <v>428</v>
      </c>
      <c r="G3193" t="s">
        <v>424</v>
      </c>
      <c r="H3193" t="s">
        <v>430</v>
      </c>
      <c r="I3193" t="s">
        <v>425</v>
      </c>
      <c r="J3193" t="s">
        <v>426</v>
      </c>
      <c r="L3193" t="s">
        <v>421</v>
      </c>
      <c r="M3193" t="s">
        <v>423</v>
      </c>
    </row>
    <row r="3194" spans="1:13" ht="15" customHeight="1" x14ac:dyDescent="0.25">
      <c r="A3194" s="82">
        <v>45469</v>
      </c>
      <c r="B3194" t="s">
        <v>421</v>
      </c>
      <c r="C3194" t="s">
        <v>427</v>
      </c>
      <c r="D3194" t="s">
        <v>455</v>
      </c>
      <c r="E3194" t="s">
        <v>514</v>
      </c>
      <c r="F3194" t="s">
        <v>428</v>
      </c>
      <c r="G3194" t="s">
        <v>424</v>
      </c>
      <c r="H3194" t="s">
        <v>430</v>
      </c>
      <c r="I3194" t="s">
        <v>425</v>
      </c>
      <c r="J3194" t="s">
        <v>426</v>
      </c>
      <c r="L3194" t="s">
        <v>423</v>
      </c>
      <c r="M3194" t="s">
        <v>421</v>
      </c>
    </row>
    <row r="3195" spans="1:13" ht="15" customHeight="1" x14ac:dyDescent="0.25">
      <c r="A3195" s="82">
        <v>45470</v>
      </c>
      <c r="B3195" t="s">
        <v>427</v>
      </c>
      <c r="C3195" t="s">
        <v>455</v>
      </c>
      <c r="D3195" t="s">
        <v>517</v>
      </c>
      <c r="E3195" t="s">
        <v>514</v>
      </c>
      <c r="F3195" t="s">
        <v>428</v>
      </c>
      <c r="G3195" t="s">
        <v>424</v>
      </c>
      <c r="H3195" t="s">
        <v>430</v>
      </c>
      <c r="I3195" t="s">
        <v>425</v>
      </c>
      <c r="J3195" t="s">
        <v>426</v>
      </c>
      <c r="L3195" t="s">
        <v>423</v>
      </c>
      <c r="M3195" t="s">
        <v>421</v>
      </c>
    </row>
    <row r="3196" spans="1:13" ht="15" customHeight="1" x14ac:dyDescent="0.25">
      <c r="A3196" s="82">
        <v>45471</v>
      </c>
      <c r="B3196" t="s">
        <v>455</v>
      </c>
      <c r="C3196" t="s">
        <v>424</v>
      </c>
      <c r="D3196" t="s">
        <v>514</v>
      </c>
      <c r="E3196" t="s">
        <v>426</v>
      </c>
      <c r="F3196" t="s">
        <v>425</v>
      </c>
      <c r="G3196" t="s">
        <v>424</v>
      </c>
      <c r="H3196" t="s">
        <v>421</v>
      </c>
      <c r="I3196" t="s">
        <v>425</v>
      </c>
      <c r="J3196" t="s">
        <v>427</v>
      </c>
      <c r="L3196" t="s">
        <v>428</v>
      </c>
      <c r="M3196" t="s">
        <v>421</v>
      </c>
    </row>
    <row r="3197" spans="1:13" ht="15" customHeight="1" x14ac:dyDescent="0.25">
      <c r="A3197" s="82">
        <v>45472</v>
      </c>
      <c r="B3197" t="s">
        <v>428</v>
      </c>
      <c r="C3197" t="s">
        <v>424</v>
      </c>
      <c r="D3197" t="s">
        <v>514</v>
      </c>
      <c r="E3197" t="s">
        <v>426</v>
      </c>
      <c r="F3197" t="s">
        <v>425</v>
      </c>
      <c r="G3197" t="s">
        <v>430</v>
      </c>
      <c r="H3197" t="s">
        <v>427</v>
      </c>
      <c r="I3197" t="s">
        <v>421</v>
      </c>
      <c r="J3197" t="s">
        <v>455</v>
      </c>
      <c r="L3197" t="s">
        <v>428</v>
      </c>
      <c r="M3197" t="s">
        <v>421</v>
      </c>
    </row>
    <row r="3198" spans="1:13" ht="15" customHeight="1" x14ac:dyDescent="0.25">
      <c r="A3198" s="82">
        <v>45473</v>
      </c>
      <c r="B3198" t="s">
        <v>428</v>
      </c>
      <c r="C3198" t="s">
        <v>424</v>
      </c>
      <c r="D3198" t="s">
        <v>514</v>
      </c>
      <c r="E3198" t="s">
        <v>426</v>
      </c>
      <c r="F3198" t="s">
        <v>425</v>
      </c>
      <c r="G3198" t="s">
        <v>430</v>
      </c>
      <c r="H3198" t="s">
        <v>455</v>
      </c>
      <c r="I3198" t="s">
        <v>421</v>
      </c>
      <c r="J3198" t="s">
        <v>427</v>
      </c>
      <c r="L3198" t="s">
        <v>428</v>
      </c>
      <c r="M3198" t="s">
        <v>421</v>
      </c>
    </row>
    <row r="3199" spans="1:13" ht="15" customHeight="1" x14ac:dyDescent="0.25">
      <c r="A3199" s="82">
        <v>45474</v>
      </c>
      <c r="B3199" t="s">
        <v>428</v>
      </c>
      <c r="C3199" t="s">
        <v>424</v>
      </c>
      <c r="D3199" t="s">
        <v>514</v>
      </c>
      <c r="E3199" t="s">
        <v>426</v>
      </c>
      <c r="F3199" t="s">
        <v>425</v>
      </c>
      <c r="G3199" t="s">
        <v>430</v>
      </c>
      <c r="H3199" t="s">
        <v>421</v>
      </c>
      <c r="I3199" t="s">
        <v>427</v>
      </c>
      <c r="J3199" t="s">
        <v>455</v>
      </c>
      <c r="L3199" t="s">
        <v>428</v>
      </c>
      <c r="M3199" t="s">
        <v>421</v>
      </c>
    </row>
    <row r="3200" spans="1:13" ht="15" customHeight="1" x14ac:dyDescent="0.25">
      <c r="A3200" s="82">
        <v>45475</v>
      </c>
      <c r="B3200" t="s">
        <v>428</v>
      </c>
      <c r="C3200" t="s">
        <v>424</v>
      </c>
      <c r="D3200" t="s">
        <v>514</v>
      </c>
      <c r="E3200" t="s">
        <v>426</v>
      </c>
      <c r="F3200" t="s">
        <v>425</v>
      </c>
      <c r="G3200" t="s">
        <v>430</v>
      </c>
      <c r="H3200" t="s">
        <v>427</v>
      </c>
      <c r="I3200" t="s">
        <v>455</v>
      </c>
      <c r="J3200" t="s">
        <v>421</v>
      </c>
      <c r="L3200" t="s">
        <v>421</v>
      </c>
      <c r="M3200" t="s">
        <v>423</v>
      </c>
    </row>
    <row r="3201" spans="1:13" ht="15" customHeight="1" x14ac:dyDescent="0.25">
      <c r="A3201" s="82">
        <v>45476</v>
      </c>
      <c r="B3201" t="s">
        <v>428</v>
      </c>
      <c r="C3201" t="s">
        <v>424</v>
      </c>
      <c r="D3201" t="s">
        <v>514</v>
      </c>
      <c r="E3201" t="s">
        <v>426</v>
      </c>
      <c r="F3201" t="s">
        <v>425</v>
      </c>
      <c r="G3201" t="s">
        <v>430</v>
      </c>
      <c r="H3201" t="s">
        <v>455</v>
      </c>
      <c r="I3201" t="s">
        <v>427</v>
      </c>
      <c r="J3201" t="s">
        <v>421</v>
      </c>
      <c r="L3201" t="s">
        <v>421</v>
      </c>
      <c r="M3201" t="s">
        <v>423</v>
      </c>
    </row>
    <row r="3202" spans="1:13" ht="15" customHeight="1" x14ac:dyDescent="0.25">
      <c r="A3202" s="82">
        <v>45477</v>
      </c>
      <c r="B3202" t="s">
        <v>428</v>
      </c>
      <c r="C3202" t="s">
        <v>424</v>
      </c>
      <c r="D3202" t="s">
        <v>514</v>
      </c>
      <c r="E3202" t="s">
        <v>426</v>
      </c>
      <c r="F3202" t="s">
        <v>425</v>
      </c>
      <c r="G3202" t="s">
        <v>430</v>
      </c>
      <c r="H3202" t="s">
        <v>517</v>
      </c>
      <c r="I3202" t="s">
        <v>455</v>
      </c>
      <c r="J3202" t="s">
        <v>427</v>
      </c>
      <c r="L3202" t="s">
        <v>421</v>
      </c>
      <c r="M3202" t="s">
        <v>423</v>
      </c>
    </row>
    <row r="3203" spans="1:13" ht="15" customHeight="1" x14ac:dyDescent="0.25">
      <c r="A3203" s="82">
        <v>45478</v>
      </c>
      <c r="B3203" t="s">
        <v>425</v>
      </c>
      <c r="C3203" t="s">
        <v>424</v>
      </c>
      <c r="D3203" t="s">
        <v>426</v>
      </c>
      <c r="E3203" t="s">
        <v>427</v>
      </c>
      <c r="F3203" t="s">
        <v>425</v>
      </c>
      <c r="G3203" t="s">
        <v>421</v>
      </c>
      <c r="H3203" t="s">
        <v>514</v>
      </c>
      <c r="I3203" t="s">
        <v>424</v>
      </c>
      <c r="J3203" t="s">
        <v>455</v>
      </c>
      <c r="L3203" t="s">
        <v>421</v>
      </c>
      <c r="M3203" t="s">
        <v>423</v>
      </c>
    </row>
    <row r="3204" spans="1:13" ht="15" customHeight="1" x14ac:dyDescent="0.25">
      <c r="A3204" s="82">
        <v>45479</v>
      </c>
      <c r="B3204" t="s">
        <v>425</v>
      </c>
      <c r="C3204" t="s">
        <v>430</v>
      </c>
      <c r="D3204" t="s">
        <v>426</v>
      </c>
      <c r="E3204" t="s">
        <v>455</v>
      </c>
      <c r="F3204" t="s">
        <v>421</v>
      </c>
      <c r="G3204" t="s">
        <v>427</v>
      </c>
      <c r="H3204" t="s">
        <v>514</v>
      </c>
      <c r="I3204" t="s">
        <v>424</v>
      </c>
      <c r="J3204" t="s">
        <v>428</v>
      </c>
      <c r="L3204" t="s">
        <v>421</v>
      </c>
      <c r="M3204" t="s">
        <v>423</v>
      </c>
    </row>
    <row r="3205" spans="1:13" ht="15" customHeight="1" x14ac:dyDescent="0.25">
      <c r="A3205" s="82">
        <v>45480</v>
      </c>
      <c r="B3205" t="s">
        <v>425</v>
      </c>
      <c r="C3205" t="s">
        <v>430</v>
      </c>
      <c r="D3205" t="s">
        <v>426</v>
      </c>
      <c r="E3205" t="s">
        <v>427</v>
      </c>
      <c r="F3205" t="s">
        <v>421</v>
      </c>
      <c r="G3205" t="s">
        <v>455</v>
      </c>
      <c r="H3205" t="s">
        <v>514</v>
      </c>
      <c r="I3205" t="s">
        <v>424</v>
      </c>
      <c r="J3205" t="s">
        <v>428</v>
      </c>
      <c r="L3205" t="s">
        <v>421</v>
      </c>
      <c r="M3205" t="s">
        <v>423</v>
      </c>
    </row>
    <row r="3206" spans="1:13" ht="15" customHeight="1" x14ac:dyDescent="0.25">
      <c r="A3206" s="82">
        <v>45481</v>
      </c>
      <c r="B3206" t="s">
        <v>425</v>
      </c>
      <c r="C3206" t="s">
        <v>430</v>
      </c>
      <c r="D3206" t="s">
        <v>426</v>
      </c>
      <c r="E3206" t="s">
        <v>455</v>
      </c>
      <c r="F3206" t="s">
        <v>427</v>
      </c>
      <c r="G3206" t="s">
        <v>421</v>
      </c>
      <c r="H3206" t="s">
        <v>514</v>
      </c>
      <c r="I3206" t="s">
        <v>424</v>
      </c>
      <c r="J3206" t="s">
        <v>428</v>
      </c>
      <c r="L3206" t="s">
        <v>423</v>
      </c>
      <c r="M3206" t="s">
        <v>421</v>
      </c>
    </row>
    <row r="3207" spans="1:13" ht="15" customHeight="1" x14ac:dyDescent="0.25">
      <c r="A3207" s="82">
        <v>45482</v>
      </c>
      <c r="B3207" t="s">
        <v>425</v>
      </c>
      <c r="C3207" t="s">
        <v>430</v>
      </c>
      <c r="D3207" t="s">
        <v>426</v>
      </c>
      <c r="E3207" t="s">
        <v>421</v>
      </c>
      <c r="F3207" t="s">
        <v>455</v>
      </c>
      <c r="G3207" t="s">
        <v>427</v>
      </c>
      <c r="H3207" t="s">
        <v>514</v>
      </c>
      <c r="I3207" t="s">
        <v>424</v>
      </c>
      <c r="J3207" t="s">
        <v>428</v>
      </c>
      <c r="L3207" t="s">
        <v>423</v>
      </c>
      <c r="M3207" t="s">
        <v>421</v>
      </c>
    </row>
    <row r="3208" spans="1:13" ht="15" customHeight="1" x14ac:dyDescent="0.25">
      <c r="A3208" s="82">
        <v>45483</v>
      </c>
      <c r="B3208" t="s">
        <v>425</v>
      </c>
      <c r="C3208" t="s">
        <v>430</v>
      </c>
      <c r="D3208" t="s">
        <v>426</v>
      </c>
      <c r="E3208" t="s">
        <v>421</v>
      </c>
      <c r="F3208" t="s">
        <v>427</v>
      </c>
      <c r="G3208" t="s">
        <v>455</v>
      </c>
      <c r="H3208" t="s">
        <v>514</v>
      </c>
      <c r="I3208" t="s">
        <v>424</v>
      </c>
      <c r="J3208" t="s">
        <v>428</v>
      </c>
      <c r="L3208" t="s">
        <v>423</v>
      </c>
      <c r="M3208" t="s">
        <v>421</v>
      </c>
    </row>
    <row r="3209" spans="1:13" ht="15" customHeight="1" x14ac:dyDescent="0.25">
      <c r="A3209" s="82">
        <v>45484</v>
      </c>
      <c r="B3209" t="s">
        <v>425</v>
      </c>
      <c r="C3209" t="s">
        <v>430</v>
      </c>
      <c r="D3209" t="s">
        <v>426</v>
      </c>
      <c r="E3209" t="s">
        <v>427</v>
      </c>
      <c r="F3209" t="s">
        <v>455</v>
      </c>
      <c r="G3209" t="s">
        <v>517</v>
      </c>
      <c r="H3209" t="s">
        <v>514</v>
      </c>
      <c r="I3209" t="s">
        <v>424</v>
      </c>
      <c r="J3209" t="s">
        <v>428</v>
      </c>
      <c r="L3209" t="s">
        <v>423</v>
      </c>
      <c r="M3209" t="s">
        <v>421</v>
      </c>
    </row>
    <row r="3210" spans="1:13" ht="15" customHeight="1" x14ac:dyDescent="0.25">
      <c r="A3210" s="82">
        <v>45485</v>
      </c>
      <c r="B3210" t="s">
        <v>425</v>
      </c>
      <c r="C3210" t="s">
        <v>421</v>
      </c>
      <c r="D3210" t="s">
        <v>427</v>
      </c>
      <c r="E3210" t="s">
        <v>455</v>
      </c>
      <c r="F3210" t="s">
        <v>424</v>
      </c>
      <c r="G3210" t="s">
        <v>514</v>
      </c>
      <c r="H3210" t="s">
        <v>426</v>
      </c>
      <c r="I3210" t="s">
        <v>424</v>
      </c>
      <c r="J3210" t="s">
        <v>425</v>
      </c>
      <c r="L3210" t="s">
        <v>421</v>
      </c>
      <c r="M3210" t="s">
        <v>423</v>
      </c>
    </row>
    <row r="3211" spans="1:13" ht="15" customHeight="1" x14ac:dyDescent="0.25">
      <c r="A3211" s="82">
        <v>45486</v>
      </c>
      <c r="B3211" t="s">
        <v>421</v>
      </c>
      <c r="C3211" t="s">
        <v>427</v>
      </c>
      <c r="D3211" t="s">
        <v>455</v>
      </c>
      <c r="E3211" t="s">
        <v>428</v>
      </c>
      <c r="F3211" t="s">
        <v>424</v>
      </c>
      <c r="G3211" t="s">
        <v>514</v>
      </c>
      <c r="H3211" t="s">
        <v>426</v>
      </c>
      <c r="I3211" t="s">
        <v>430</v>
      </c>
      <c r="J3211" t="s">
        <v>425</v>
      </c>
      <c r="L3211" t="s">
        <v>421</v>
      </c>
      <c r="M3211" t="s">
        <v>423</v>
      </c>
    </row>
    <row r="3212" spans="1:13" ht="15" customHeight="1" x14ac:dyDescent="0.25">
      <c r="A3212" s="82">
        <v>45487</v>
      </c>
      <c r="B3212" t="s">
        <v>421</v>
      </c>
      <c r="C3212" t="s">
        <v>455</v>
      </c>
      <c r="D3212" t="s">
        <v>427</v>
      </c>
      <c r="E3212" t="s">
        <v>428</v>
      </c>
      <c r="F3212" t="s">
        <v>424</v>
      </c>
      <c r="G3212" t="s">
        <v>514</v>
      </c>
      <c r="H3212" t="s">
        <v>426</v>
      </c>
      <c r="I3212" t="s">
        <v>430</v>
      </c>
      <c r="J3212" t="s">
        <v>425</v>
      </c>
      <c r="L3212" t="s">
        <v>421</v>
      </c>
      <c r="M3212" t="s">
        <v>423</v>
      </c>
    </row>
    <row r="3213" spans="1:13" ht="15" customHeight="1" x14ac:dyDescent="0.25">
      <c r="A3213" s="82">
        <v>45488</v>
      </c>
      <c r="B3213" t="s">
        <v>427</v>
      </c>
      <c r="C3213" t="s">
        <v>421</v>
      </c>
      <c r="D3213" t="s">
        <v>455</v>
      </c>
      <c r="E3213" t="s">
        <v>428</v>
      </c>
      <c r="F3213" t="s">
        <v>424</v>
      </c>
      <c r="G3213" t="s">
        <v>514</v>
      </c>
      <c r="H3213" t="s">
        <v>426</v>
      </c>
      <c r="I3213" t="s">
        <v>430</v>
      </c>
      <c r="J3213" t="s">
        <v>425</v>
      </c>
      <c r="L3213" t="s">
        <v>421</v>
      </c>
      <c r="M3213" t="s">
        <v>423</v>
      </c>
    </row>
    <row r="3214" spans="1:13" ht="15" customHeight="1" x14ac:dyDescent="0.25">
      <c r="A3214" s="82">
        <v>45489</v>
      </c>
      <c r="B3214" t="s">
        <v>455</v>
      </c>
      <c r="C3214" t="s">
        <v>427</v>
      </c>
      <c r="D3214" t="s">
        <v>421</v>
      </c>
      <c r="E3214" t="s">
        <v>428</v>
      </c>
      <c r="F3214" t="s">
        <v>424</v>
      </c>
      <c r="G3214" t="s">
        <v>514</v>
      </c>
      <c r="H3214" t="s">
        <v>426</v>
      </c>
      <c r="I3214" t="s">
        <v>430</v>
      </c>
      <c r="J3214" t="s">
        <v>425</v>
      </c>
      <c r="L3214" t="s">
        <v>421</v>
      </c>
      <c r="M3214" t="s">
        <v>423</v>
      </c>
    </row>
    <row r="3215" spans="1:13" ht="15" customHeight="1" x14ac:dyDescent="0.25">
      <c r="A3215" s="82">
        <v>45490</v>
      </c>
      <c r="B3215" t="s">
        <v>427</v>
      </c>
      <c r="C3215" t="s">
        <v>455</v>
      </c>
      <c r="D3215" t="s">
        <v>421</v>
      </c>
      <c r="E3215" t="s">
        <v>428</v>
      </c>
      <c r="F3215" t="s">
        <v>424</v>
      </c>
      <c r="G3215" t="s">
        <v>514</v>
      </c>
      <c r="H3215" t="s">
        <v>426</v>
      </c>
      <c r="I3215" t="s">
        <v>430</v>
      </c>
      <c r="J3215" t="s">
        <v>425</v>
      </c>
      <c r="L3215" t="s">
        <v>421</v>
      </c>
      <c r="M3215" t="s">
        <v>423</v>
      </c>
    </row>
    <row r="3216" spans="1:13" ht="15" customHeight="1" x14ac:dyDescent="0.25">
      <c r="A3216" s="82">
        <v>45491</v>
      </c>
      <c r="B3216" t="s">
        <v>455</v>
      </c>
      <c r="C3216" t="s">
        <v>517</v>
      </c>
      <c r="D3216" t="s">
        <v>427</v>
      </c>
      <c r="E3216" t="s">
        <v>428</v>
      </c>
      <c r="F3216" t="s">
        <v>424</v>
      </c>
      <c r="G3216" t="s">
        <v>514</v>
      </c>
      <c r="H3216" t="s">
        <v>426</v>
      </c>
      <c r="I3216" t="s">
        <v>430</v>
      </c>
      <c r="J3216" t="s">
        <v>425</v>
      </c>
      <c r="L3216" t="s">
        <v>423</v>
      </c>
      <c r="M3216" t="s">
        <v>421</v>
      </c>
    </row>
    <row r="3217" spans="1:13" ht="15" customHeight="1" x14ac:dyDescent="0.25">
      <c r="A3217" s="82">
        <v>45492</v>
      </c>
      <c r="B3217" t="s">
        <v>516</v>
      </c>
      <c r="C3217" t="s">
        <v>514</v>
      </c>
      <c r="D3217" t="s">
        <v>455</v>
      </c>
      <c r="E3217" t="s">
        <v>425</v>
      </c>
      <c r="F3217" t="s">
        <v>424</v>
      </c>
      <c r="G3217" t="s">
        <v>426</v>
      </c>
      <c r="H3217" t="s">
        <v>427</v>
      </c>
      <c r="I3217" t="s">
        <v>421</v>
      </c>
      <c r="J3217" t="s">
        <v>425</v>
      </c>
      <c r="L3217" t="s">
        <v>423</v>
      </c>
      <c r="M3217" t="s">
        <v>421</v>
      </c>
    </row>
    <row r="3218" spans="1:13" ht="15" customHeight="1" x14ac:dyDescent="0.25">
      <c r="A3218" s="82">
        <v>45493</v>
      </c>
      <c r="B3218" t="s">
        <v>516</v>
      </c>
      <c r="C3218" t="s">
        <v>514</v>
      </c>
      <c r="D3218" t="s">
        <v>428</v>
      </c>
      <c r="E3218" t="s">
        <v>425</v>
      </c>
      <c r="F3218" t="s">
        <v>430</v>
      </c>
      <c r="G3218" t="s">
        <v>426</v>
      </c>
      <c r="H3218" t="s">
        <v>455</v>
      </c>
      <c r="I3218" t="s">
        <v>427</v>
      </c>
      <c r="J3218" t="s">
        <v>421</v>
      </c>
      <c r="L3218" t="s">
        <v>423</v>
      </c>
      <c r="M3218" t="s">
        <v>421</v>
      </c>
    </row>
    <row r="3219" spans="1:13" ht="15" customHeight="1" x14ac:dyDescent="0.25">
      <c r="A3219" s="82">
        <v>45494</v>
      </c>
      <c r="B3219" t="s">
        <v>516</v>
      </c>
      <c r="C3219" t="s">
        <v>514</v>
      </c>
      <c r="D3219" t="s">
        <v>428</v>
      </c>
      <c r="E3219" t="s">
        <v>425</v>
      </c>
      <c r="F3219" t="s">
        <v>430</v>
      </c>
      <c r="G3219" t="s">
        <v>426</v>
      </c>
      <c r="H3219" t="s">
        <v>427</v>
      </c>
      <c r="I3219" t="s">
        <v>455</v>
      </c>
      <c r="J3219" t="s">
        <v>421</v>
      </c>
      <c r="L3219" t="s">
        <v>423</v>
      </c>
      <c r="M3219" t="s">
        <v>421</v>
      </c>
    </row>
    <row r="3220" spans="1:13" ht="15" customHeight="1" x14ac:dyDescent="0.25">
      <c r="A3220" s="82">
        <v>45495</v>
      </c>
      <c r="B3220" t="s">
        <v>516</v>
      </c>
      <c r="C3220" t="s">
        <v>514</v>
      </c>
      <c r="D3220" t="s">
        <v>428</v>
      </c>
      <c r="E3220" t="s">
        <v>425</v>
      </c>
      <c r="F3220" t="s">
        <v>430</v>
      </c>
      <c r="G3220" t="s">
        <v>426</v>
      </c>
      <c r="H3220" t="s">
        <v>455</v>
      </c>
      <c r="I3220" t="s">
        <v>421</v>
      </c>
      <c r="J3220" t="s">
        <v>427</v>
      </c>
      <c r="L3220" t="s">
        <v>423</v>
      </c>
      <c r="M3220" t="s">
        <v>421</v>
      </c>
    </row>
    <row r="3221" spans="1:13" ht="15" customHeight="1" x14ac:dyDescent="0.25">
      <c r="A3221" s="82">
        <v>45496</v>
      </c>
      <c r="B3221" t="s">
        <v>516</v>
      </c>
      <c r="C3221" t="s">
        <v>514</v>
      </c>
      <c r="D3221" t="s">
        <v>428</v>
      </c>
      <c r="E3221" t="s">
        <v>425</v>
      </c>
      <c r="F3221" t="s">
        <v>430</v>
      </c>
      <c r="G3221" t="s">
        <v>426</v>
      </c>
      <c r="H3221" t="s">
        <v>421</v>
      </c>
      <c r="I3221" t="s">
        <v>427</v>
      </c>
      <c r="J3221" t="s">
        <v>455</v>
      </c>
      <c r="L3221" t="s">
        <v>423</v>
      </c>
      <c r="M3221" t="s">
        <v>421</v>
      </c>
    </row>
    <row r="3222" spans="1:13" ht="15" customHeight="1" x14ac:dyDescent="0.25">
      <c r="A3222" s="82">
        <v>45497</v>
      </c>
      <c r="B3222" t="s">
        <v>516</v>
      </c>
      <c r="C3222" t="s">
        <v>514</v>
      </c>
      <c r="D3222" t="s">
        <v>428</v>
      </c>
      <c r="E3222" t="s">
        <v>425</v>
      </c>
      <c r="F3222" t="s">
        <v>430</v>
      </c>
      <c r="G3222" t="s">
        <v>426</v>
      </c>
      <c r="H3222" t="s">
        <v>421</v>
      </c>
      <c r="I3222" t="s">
        <v>455</v>
      </c>
      <c r="J3222" t="s">
        <v>427</v>
      </c>
      <c r="L3222" t="s">
        <v>421</v>
      </c>
      <c r="M3222" t="s">
        <v>423</v>
      </c>
    </row>
    <row r="3223" spans="1:13" ht="15" customHeight="1" x14ac:dyDescent="0.25">
      <c r="A3223" s="82">
        <v>45498</v>
      </c>
      <c r="B3223" t="s">
        <v>516</v>
      </c>
      <c r="C3223" t="s">
        <v>514</v>
      </c>
      <c r="D3223" t="s">
        <v>428</v>
      </c>
      <c r="E3223" t="s">
        <v>425</v>
      </c>
      <c r="F3223" t="s">
        <v>430</v>
      </c>
      <c r="G3223" t="s">
        <v>426</v>
      </c>
      <c r="H3223" t="s">
        <v>427</v>
      </c>
      <c r="I3223" t="s">
        <v>517</v>
      </c>
      <c r="J3223" t="s">
        <v>455</v>
      </c>
      <c r="L3223" t="s">
        <v>421</v>
      </c>
      <c r="M3223" t="s">
        <v>423</v>
      </c>
    </row>
    <row r="3224" spans="1:13" ht="15" customHeight="1" x14ac:dyDescent="0.25">
      <c r="A3224" s="82">
        <v>45499</v>
      </c>
      <c r="B3224" t="s">
        <v>516</v>
      </c>
      <c r="C3224" t="s">
        <v>426</v>
      </c>
      <c r="D3224" t="s">
        <v>425</v>
      </c>
      <c r="E3224" t="s">
        <v>425</v>
      </c>
      <c r="F3224" t="s">
        <v>421</v>
      </c>
      <c r="G3224" t="s">
        <v>427</v>
      </c>
      <c r="H3224" t="s">
        <v>455</v>
      </c>
      <c r="I3224" t="s">
        <v>514</v>
      </c>
      <c r="J3224" t="s">
        <v>516</v>
      </c>
      <c r="L3224" t="s">
        <v>421</v>
      </c>
      <c r="M3224" t="s">
        <v>428</v>
      </c>
    </row>
    <row r="3225" spans="1:13" ht="15" customHeight="1" x14ac:dyDescent="0.25">
      <c r="A3225" s="82">
        <v>45500</v>
      </c>
      <c r="B3225" t="s">
        <v>430</v>
      </c>
      <c r="C3225" t="s">
        <v>426</v>
      </c>
      <c r="D3225" t="s">
        <v>425</v>
      </c>
      <c r="E3225" t="s">
        <v>421</v>
      </c>
      <c r="F3225" t="s">
        <v>427</v>
      </c>
      <c r="G3225" t="s">
        <v>455</v>
      </c>
      <c r="H3225" t="s">
        <v>428</v>
      </c>
      <c r="I3225" t="s">
        <v>514</v>
      </c>
      <c r="J3225" t="s">
        <v>516</v>
      </c>
      <c r="L3225" t="s">
        <v>421</v>
      </c>
      <c r="M3225" t="s">
        <v>428</v>
      </c>
    </row>
    <row r="3226" spans="1:13" ht="15" customHeight="1" x14ac:dyDescent="0.25">
      <c r="A3226" s="82">
        <v>45501</v>
      </c>
      <c r="B3226" t="s">
        <v>430</v>
      </c>
      <c r="C3226" t="s">
        <v>426</v>
      </c>
      <c r="D3226" t="s">
        <v>425</v>
      </c>
      <c r="E3226" t="s">
        <v>421</v>
      </c>
      <c r="F3226" t="s">
        <v>455</v>
      </c>
      <c r="G3226" t="s">
        <v>427</v>
      </c>
      <c r="H3226" t="s">
        <v>428</v>
      </c>
      <c r="I3226" t="s">
        <v>514</v>
      </c>
      <c r="J3226" t="s">
        <v>516</v>
      </c>
      <c r="L3226" t="s">
        <v>421</v>
      </c>
      <c r="M3226" t="s">
        <v>428</v>
      </c>
    </row>
    <row r="3227" spans="1:13" ht="15" customHeight="1" x14ac:dyDescent="0.25">
      <c r="A3227" s="82">
        <v>45502</v>
      </c>
      <c r="B3227" t="s">
        <v>430</v>
      </c>
      <c r="C3227" t="s">
        <v>426</v>
      </c>
      <c r="D3227" t="s">
        <v>425</v>
      </c>
      <c r="E3227" t="s">
        <v>427</v>
      </c>
      <c r="F3227" t="s">
        <v>421</v>
      </c>
      <c r="G3227" t="s">
        <v>455</v>
      </c>
      <c r="H3227" t="s">
        <v>428</v>
      </c>
      <c r="I3227" t="s">
        <v>514</v>
      </c>
      <c r="J3227" t="s">
        <v>516</v>
      </c>
      <c r="L3227" t="s">
        <v>421</v>
      </c>
      <c r="M3227" t="s">
        <v>428</v>
      </c>
    </row>
    <row r="3228" spans="1:13" ht="15" customHeight="1" x14ac:dyDescent="0.25">
      <c r="A3228" s="82">
        <v>45503</v>
      </c>
      <c r="B3228" t="s">
        <v>430</v>
      </c>
      <c r="C3228" t="s">
        <v>426</v>
      </c>
      <c r="D3228" t="s">
        <v>425</v>
      </c>
      <c r="E3228" t="s">
        <v>455</v>
      </c>
      <c r="F3228" t="s">
        <v>427</v>
      </c>
      <c r="G3228" t="s">
        <v>421</v>
      </c>
      <c r="H3228" t="s">
        <v>428</v>
      </c>
      <c r="I3228" t="s">
        <v>514</v>
      </c>
      <c r="J3228" t="s">
        <v>516</v>
      </c>
      <c r="L3228" t="s">
        <v>423</v>
      </c>
      <c r="M3228" t="s">
        <v>421</v>
      </c>
    </row>
    <row r="3229" spans="1:13" ht="15" customHeight="1" x14ac:dyDescent="0.25">
      <c r="A3229" s="82">
        <v>45504</v>
      </c>
      <c r="B3229" t="s">
        <v>430</v>
      </c>
      <c r="C3229" t="s">
        <v>426</v>
      </c>
      <c r="D3229" t="s">
        <v>425</v>
      </c>
      <c r="E3229" t="s">
        <v>427</v>
      </c>
      <c r="F3229" t="s">
        <v>455</v>
      </c>
      <c r="G3229" t="s">
        <v>421</v>
      </c>
      <c r="H3229" t="s">
        <v>428</v>
      </c>
      <c r="I3229" t="s">
        <v>514</v>
      </c>
      <c r="J3229" t="s">
        <v>516</v>
      </c>
      <c r="L3229" t="s">
        <v>423</v>
      </c>
      <c r="M3229" t="s">
        <v>421</v>
      </c>
    </row>
    <row r="3230" spans="1:13" ht="15" customHeight="1" x14ac:dyDescent="0.25">
      <c r="A3230" s="82">
        <v>45505</v>
      </c>
      <c r="B3230" t="s">
        <v>430</v>
      </c>
      <c r="C3230" t="s">
        <v>426</v>
      </c>
      <c r="D3230" t="s">
        <v>425</v>
      </c>
      <c r="E3230" t="s">
        <v>455</v>
      </c>
      <c r="F3230" t="s">
        <v>517</v>
      </c>
      <c r="G3230" t="s">
        <v>427</v>
      </c>
      <c r="H3230" t="s">
        <v>428</v>
      </c>
      <c r="I3230" t="s">
        <v>514</v>
      </c>
      <c r="J3230" t="s">
        <v>516</v>
      </c>
      <c r="L3230" t="s">
        <v>423</v>
      </c>
      <c r="M3230" t="s">
        <v>421</v>
      </c>
    </row>
    <row r="3231" spans="1:13" ht="15" customHeight="1" x14ac:dyDescent="0.25">
      <c r="A3231" s="82">
        <v>45506</v>
      </c>
      <c r="B3231" t="s">
        <v>421</v>
      </c>
      <c r="C3231" t="s">
        <v>427</v>
      </c>
      <c r="D3231" t="s">
        <v>425</v>
      </c>
      <c r="E3231" t="s">
        <v>516</v>
      </c>
      <c r="F3231" t="s">
        <v>514</v>
      </c>
      <c r="G3231" t="s">
        <v>455</v>
      </c>
      <c r="H3231" t="s">
        <v>425</v>
      </c>
      <c r="I3231" t="s">
        <v>426</v>
      </c>
      <c r="J3231" t="s">
        <v>516</v>
      </c>
      <c r="L3231" t="s">
        <v>423</v>
      </c>
      <c r="M3231" t="s">
        <v>421</v>
      </c>
    </row>
    <row r="3232" spans="1:13" ht="15" customHeight="1" x14ac:dyDescent="0.25">
      <c r="A3232" s="82">
        <v>45507</v>
      </c>
      <c r="B3232" t="s">
        <v>427</v>
      </c>
      <c r="C3232" t="s">
        <v>455</v>
      </c>
      <c r="D3232" t="s">
        <v>421</v>
      </c>
      <c r="E3232" t="s">
        <v>516</v>
      </c>
      <c r="F3232" t="s">
        <v>514</v>
      </c>
      <c r="G3232" t="s">
        <v>428</v>
      </c>
      <c r="H3232" t="s">
        <v>425</v>
      </c>
      <c r="I3232" t="s">
        <v>426</v>
      </c>
      <c r="J3232" t="s">
        <v>430</v>
      </c>
      <c r="L3232" t="s">
        <v>423</v>
      </c>
      <c r="M3232" t="s">
        <v>421</v>
      </c>
    </row>
    <row r="3233" spans="1:13" ht="15" customHeight="1" x14ac:dyDescent="0.25">
      <c r="A3233" s="82">
        <v>45508</v>
      </c>
      <c r="B3233" t="s">
        <v>455</v>
      </c>
      <c r="C3233" t="s">
        <v>427</v>
      </c>
      <c r="D3233" t="s">
        <v>421</v>
      </c>
      <c r="E3233" t="s">
        <v>516</v>
      </c>
      <c r="F3233" t="s">
        <v>514</v>
      </c>
      <c r="G3233" t="s">
        <v>428</v>
      </c>
      <c r="H3233" t="s">
        <v>425</v>
      </c>
      <c r="I3233" t="s">
        <v>426</v>
      </c>
      <c r="J3233" t="s">
        <v>430</v>
      </c>
      <c r="L3233" t="s">
        <v>423</v>
      </c>
      <c r="M3233" t="s">
        <v>421</v>
      </c>
    </row>
    <row r="3234" spans="1:13" ht="15" customHeight="1" x14ac:dyDescent="0.25">
      <c r="A3234" s="82">
        <v>45509</v>
      </c>
      <c r="B3234" t="s">
        <v>421</v>
      </c>
      <c r="C3234" t="s">
        <v>455</v>
      </c>
      <c r="D3234" t="s">
        <v>427</v>
      </c>
      <c r="E3234" t="s">
        <v>516</v>
      </c>
      <c r="F3234" t="s">
        <v>514</v>
      </c>
      <c r="G3234" t="s">
        <v>428</v>
      </c>
      <c r="H3234" t="s">
        <v>425</v>
      </c>
      <c r="I3234" t="s">
        <v>426</v>
      </c>
      <c r="J3234" t="s">
        <v>430</v>
      </c>
      <c r="L3234" t="s">
        <v>421</v>
      </c>
      <c r="M3234" t="s">
        <v>423</v>
      </c>
    </row>
    <row r="3235" spans="1:13" ht="15" customHeight="1" x14ac:dyDescent="0.25">
      <c r="A3235" s="82">
        <v>45510</v>
      </c>
      <c r="B3235" t="s">
        <v>427</v>
      </c>
      <c r="C3235" t="s">
        <v>421</v>
      </c>
      <c r="D3235" t="s">
        <v>455</v>
      </c>
      <c r="E3235" t="s">
        <v>516</v>
      </c>
      <c r="F3235" t="s">
        <v>514</v>
      </c>
      <c r="G3235" t="s">
        <v>428</v>
      </c>
      <c r="H3235" t="s">
        <v>425</v>
      </c>
      <c r="I3235" t="s">
        <v>426</v>
      </c>
      <c r="J3235" t="s">
        <v>430</v>
      </c>
      <c r="L3235" t="s">
        <v>421</v>
      </c>
      <c r="M3235" t="s">
        <v>423</v>
      </c>
    </row>
    <row r="3236" spans="1:13" ht="15" customHeight="1" x14ac:dyDescent="0.25">
      <c r="A3236" s="82">
        <v>45511</v>
      </c>
      <c r="B3236" t="s">
        <v>455</v>
      </c>
      <c r="C3236" t="s">
        <v>421</v>
      </c>
      <c r="D3236" t="s">
        <v>427</v>
      </c>
      <c r="E3236" t="s">
        <v>516</v>
      </c>
      <c r="F3236" t="s">
        <v>514</v>
      </c>
      <c r="G3236" t="s">
        <v>428</v>
      </c>
      <c r="H3236" t="s">
        <v>425</v>
      </c>
      <c r="I3236" t="s">
        <v>426</v>
      </c>
      <c r="J3236" t="s">
        <v>430</v>
      </c>
      <c r="L3236" t="s">
        <v>421</v>
      </c>
      <c r="M3236" t="s">
        <v>423</v>
      </c>
    </row>
    <row r="3237" spans="1:13" ht="15" customHeight="1" x14ac:dyDescent="0.25">
      <c r="A3237" s="82">
        <v>45512</v>
      </c>
      <c r="B3237" t="s">
        <v>517</v>
      </c>
      <c r="C3237" t="s">
        <v>427</v>
      </c>
      <c r="D3237" t="s">
        <v>455</v>
      </c>
      <c r="E3237" t="s">
        <v>516</v>
      </c>
      <c r="F3237" t="s">
        <v>514</v>
      </c>
      <c r="G3237" t="s">
        <v>428</v>
      </c>
      <c r="H3237" t="s">
        <v>425</v>
      </c>
      <c r="I3237" t="s">
        <v>426</v>
      </c>
      <c r="J3237" t="s">
        <v>430</v>
      </c>
      <c r="L3237" t="s">
        <v>421</v>
      </c>
      <c r="M3237" t="s">
        <v>423</v>
      </c>
    </row>
    <row r="3238" spans="1:13" ht="15" customHeight="1" x14ac:dyDescent="0.25">
      <c r="A3238" s="82">
        <v>45513</v>
      </c>
      <c r="B3238" t="s">
        <v>514</v>
      </c>
      <c r="C3238" t="s">
        <v>455</v>
      </c>
      <c r="D3238" t="s">
        <v>516</v>
      </c>
      <c r="E3238" t="s">
        <v>516</v>
      </c>
      <c r="F3238" t="s">
        <v>426</v>
      </c>
      <c r="G3238" t="s">
        <v>425</v>
      </c>
      <c r="H3238" t="s">
        <v>425</v>
      </c>
      <c r="I3238" t="s">
        <v>427</v>
      </c>
      <c r="J3238" t="s">
        <v>421</v>
      </c>
      <c r="L3238" t="s">
        <v>423</v>
      </c>
      <c r="M3238" t="s">
        <v>421</v>
      </c>
    </row>
    <row r="3239" spans="1:13" ht="15" customHeight="1" x14ac:dyDescent="0.25">
      <c r="A3239" s="82">
        <v>45514</v>
      </c>
      <c r="B3239" t="s">
        <v>514</v>
      </c>
      <c r="C3239" t="s">
        <v>428</v>
      </c>
      <c r="D3239" t="s">
        <v>516</v>
      </c>
      <c r="E3239" t="s">
        <v>430</v>
      </c>
      <c r="F3239" t="s">
        <v>426</v>
      </c>
      <c r="G3239" t="s">
        <v>425</v>
      </c>
      <c r="H3239" t="s">
        <v>421</v>
      </c>
      <c r="I3239" t="s">
        <v>455</v>
      </c>
      <c r="J3239" t="s">
        <v>427</v>
      </c>
      <c r="L3239" t="s">
        <v>423</v>
      </c>
      <c r="M3239" t="s">
        <v>421</v>
      </c>
    </row>
    <row r="3240" spans="1:13" ht="15" customHeight="1" x14ac:dyDescent="0.25">
      <c r="A3240" s="82">
        <v>45515</v>
      </c>
      <c r="B3240" t="s">
        <v>514</v>
      </c>
      <c r="C3240" t="s">
        <v>428</v>
      </c>
      <c r="D3240" t="s">
        <v>516</v>
      </c>
      <c r="E3240" t="s">
        <v>430</v>
      </c>
      <c r="F3240" t="s">
        <v>426</v>
      </c>
      <c r="G3240" t="s">
        <v>425</v>
      </c>
      <c r="H3240" t="s">
        <v>421</v>
      </c>
      <c r="I3240" t="s">
        <v>427</v>
      </c>
      <c r="J3240" t="s">
        <v>455</v>
      </c>
      <c r="L3240" t="s">
        <v>423</v>
      </c>
      <c r="M3240" t="s">
        <v>421</v>
      </c>
    </row>
    <row r="3241" spans="1:13" ht="15" customHeight="1" x14ac:dyDescent="0.25">
      <c r="A3241" s="82">
        <v>45516</v>
      </c>
      <c r="B3241" t="s">
        <v>514</v>
      </c>
      <c r="C3241" t="s">
        <v>428</v>
      </c>
      <c r="D3241" t="s">
        <v>516</v>
      </c>
      <c r="E3241" t="s">
        <v>430</v>
      </c>
      <c r="F3241" t="s">
        <v>426</v>
      </c>
      <c r="G3241" t="s">
        <v>425</v>
      </c>
      <c r="H3241" t="s">
        <v>427</v>
      </c>
      <c r="I3241" t="s">
        <v>455</v>
      </c>
      <c r="J3241" t="s">
        <v>421</v>
      </c>
      <c r="L3241" t="s">
        <v>423</v>
      </c>
      <c r="M3241" t="s">
        <v>421</v>
      </c>
    </row>
    <row r="3242" spans="1:13" ht="15" customHeight="1" x14ac:dyDescent="0.25">
      <c r="A3242" s="82">
        <v>45517</v>
      </c>
      <c r="B3242" t="s">
        <v>514</v>
      </c>
      <c r="C3242" t="s">
        <v>428</v>
      </c>
      <c r="D3242" t="s">
        <v>516</v>
      </c>
      <c r="E3242" t="s">
        <v>430</v>
      </c>
      <c r="F3242" t="s">
        <v>426</v>
      </c>
      <c r="G3242" t="s">
        <v>425</v>
      </c>
      <c r="H3242" t="s">
        <v>455</v>
      </c>
      <c r="I3242" t="s">
        <v>421</v>
      </c>
      <c r="J3242" t="s">
        <v>427</v>
      </c>
      <c r="L3242" t="s">
        <v>423</v>
      </c>
      <c r="M3242" t="s">
        <v>421</v>
      </c>
    </row>
    <row r="3243" spans="1:13" ht="15" customHeight="1" x14ac:dyDescent="0.25">
      <c r="A3243" s="82">
        <v>45518</v>
      </c>
      <c r="B3243" t="s">
        <v>514</v>
      </c>
      <c r="C3243" t="s">
        <v>428</v>
      </c>
      <c r="D3243" t="s">
        <v>516</v>
      </c>
      <c r="E3243" t="s">
        <v>430</v>
      </c>
      <c r="F3243" t="s">
        <v>426</v>
      </c>
      <c r="G3243" t="s">
        <v>425</v>
      </c>
      <c r="H3243" t="s">
        <v>427</v>
      </c>
      <c r="I3243" t="s">
        <v>421</v>
      </c>
      <c r="J3243" t="s">
        <v>455</v>
      </c>
      <c r="L3243" t="s">
        <v>423</v>
      </c>
      <c r="M3243" t="s">
        <v>421</v>
      </c>
    </row>
    <row r="3244" spans="1:13" ht="15" customHeight="1" x14ac:dyDescent="0.25">
      <c r="A3244" s="82">
        <v>45519</v>
      </c>
      <c r="B3244" t="s">
        <v>514</v>
      </c>
      <c r="C3244" t="s">
        <v>428</v>
      </c>
      <c r="D3244" t="s">
        <v>516</v>
      </c>
      <c r="E3244" t="s">
        <v>430</v>
      </c>
      <c r="F3244" t="s">
        <v>426</v>
      </c>
      <c r="G3244" t="s">
        <v>425</v>
      </c>
      <c r="H3244" t="s">
        <v>455</v>
      </c>
      <c r="I3244" t="s">
        <v>427</v>
      </c>
      <c r="J3244" t="s">
        <v>517</v>
      </c>
      <c r="L3244" t="s">
        <v>421</v>
      </c>
      <c r="M3244" t="s">
        <v>423</v>
      </c>
    </row>
    <row r="3245" spans="1:13" ht="15" customHeight="1" x14ac:dyDescent="0.25">
      <c r="A3245" s="82">
        <v>45520</v>
      </c>
      <c r="B3245" t="s">
        <v>426</v>
      </c>
      <c r="C3245" t="s">
        <v>425</v>
      </c>
      <c r="D3245" t="s">
        <v>516</v>
      </c>
      <c r="E3245" t="s">
        <v>421</v>
      </c>
      <c r="F3245" t="s">
        <v>427</v>
      </c>
      <c r="G3245" t="s">
        <v>425</v>
      </c>
      <c r="H3245" t="s">
        <v>516</v>
      </c>
      <c r="I3245" t="s">
        <v>455</v>
      </c>
      <c r="J3245" t="s">
        <v>514</v>
      </c>
      <c r="L3245" t="s">
        <v>421</v>
      </c>
      <c r="M3245" t="s">
        <v>423</v>
      </c>
    </row>
    <row r="3246" spans="1:13" ht="15" customHeight="1" x14ac:dyDescent="0.25">
      <c r="A3246" s="82">
        <v>45521</v>
      </c>
      <c r="B3246" t="s">
        <v>426</v>
      </c>
      <c r="C3246" t="s">
        <v>425</v>
      </c>
      <c r="D3246" t="s">
        <v>430</v>
      </c>
      <c r="E3246" t="s">
        <v>427</v>
      </c>
      <c r="F3246" t="s">
        <v>455</v>
      </c>
      <c r="G3246" t="s">
        <v>421</v>
      </c>
      <c r="H3246" t="s">
        <v>516</v>
      </c>
      <c r="I3246" t="s">
        <v>428</v>
      </c>
      <c r="J3246" t="s">
        <v>514</v>
      </c>
      <c r="L3246" t="s">
        <v>421</v>
      </c>
      <c r="M3246" t="s">
        <v>423</v>
      </c>
    </row>
    <row r="3247" spans="1:13" ht="15" customHeight="1" x14ac:dyDescent="0.25">
      <c r="A3247" s="82">
        <v>45522</v>
      </c>
      <c r="B3247" t="s">
        <v>426</v>
      </c>
      <c r="C3247" t="s">
        <v>425</v>
      </c>
      <c r="D3247" t="s">
        <v>430</v>
      </c>
      <c r="E3247" t="s">
        <v>455</v>
      </c>
      <c r="F3247" t="s">
        <v>427</v>
      </c>
      <c r="G3247" t="s">
        <v>421</v>
      </c>
      <c r="H3247" t="s">
        <v>516</v>
      </c>
      <c r="I3247" t="s">
        <v>428</v>
      </c>
      <c r="J3247" t="s">
        <v>514</v>
      </c>
      <c r="L3247" t="s">
        <v>421</v>
      </c>
      <c r="M3247" t="s">
        <v>423</v>
      </c>
    </row>
    <row r="3248" spans="1:13" ht="15" customHeight="1" x14ac:dyDescent="0.25">
      <c r="A3248" s="82">
        <v>45523</v>
      </c>
      <c r="B3248" t="s">
        <v>426</v>
      </c>
      <c r="C3248" t="s">
        <v>425</v>
      </c>
      <c r="D3248" t="s">
        <v>430</v>
      </c>
      <c r="E3248" t="s">
        <v>421</v>
      </c>
      <c r="F3248" t="s">
        <v>455</v>
      </c>
      <c r="G3248" t="s">
        <v>427</v>
      </c>
      <c r="H3248" t="s">
        <v>516</v>
      </c>
      <c r="I3248" t="s">
        <v>428</v>
      </c>
      <c r="J3248" t="s">
        <v>514</v>
      </c>
      <c r="L3248" t="s">
        <v>421</v>
      </c>
      <c r="M3248" t="s">
        <v>423</v>
      </c>
    </row>
    <row r="3249" spans="1:13" ht="15" customHeight="1" x14ac:dyDescent="0.25">
      <c r="A3249" s="82">
        <v>45524</v>
      </c>
      <c r="B3249" t="s">
        <v>426</v>
      </c>
      <c r="C3249" t="s">
        <v>425</v>
      </c>
      <c r="D3249" t="s">
        <v>430</v>
      </c>
      <c r="E3249" t="s">
        <v>427</v>
      </c>
      <c r="F3249" t="s">
        <v>421</v>
      </c>
      <c r="G3249" t="s">
        <v>455</v>
      </c>
      <c r="H3249" t="s">
        <v>516</v>
      </c>
      <c r="I3249" t="s">
        <v>428</v>
      </c>
      <c r="J3249" t="s">
        <v>514</v>
      </c>
      <c r="L3249" t="s">
        <v>421</v>
      </c>
      <c r="M3249" t="s">
        <v>423</v>
      </c>
    </row>
    <row r="3250" spans="1:13" ht="15" customHeight="1" x14ac:dyDescent="0.25">
      <c r="A3250" s="82">
        <v>45525</v>
      </c>
      <c r="B3250" t="s">
        <v>426</v>
      </c>
      <c r="C3250" t="s">
        <v>425</v>
      </c>
      <c r="D3250" t="s">
        <v>430</v>
      </c>
      <c r="E3250" t="s">
        <v>455</v>
      </c>
      <c r="F3250" t="s">
        <v>421</v>
      </c>
      <c r="G3250" t="s">
        <v>427</v>
      </c>
      <c r="H3250" t="s">
        <v>516</v>
      </c>
      <c r="I3250" t="s">
        <v>428</v>
      </c>
      <c r="J3250" t="s">
        <v>514</v>
      </c>
      <c r="L3250" t="s">
        <v>423</v>
      </c>
      <c r="M3250" t="s">
        <v>421</v>
      </c>
    </row>
    <row r="3251" spans="1:13" ht="15" customHeight="1" x14ac:dyDescent="0.25">
      <c r="A3251" s="82">
        <v>45526</v>
      </c>
      <c r="B3251" t="s">
        <v>426</v>
      </c>
      <c r="C3251" t="s">
        <v>425</v>
      </c>
      <c r="D3251" t="s">
        <v>430</v>
      </c>
      <c r="E3251" t="s">
        <v>517</v>
      </c>
      <c r="F3251" t="s">
        <v>427</v>
      </c>
      <c r="G3251" t="s">
        <v>455</v>
      </c>
      <c r="H3251" t="s">
        <v>516</v>
      </c>
      <c r="I3251" t="s">
        <v>428</v>
      </c>
      <c r="J3251" t="s">
        <v>514</v>
      </c>
      <c r="L3251" t="s">
        <v>423</v>
      </c>
      <c r="M3251" t="s">
        <v>421</v>
      </c>
    </row>
    <row r="3252" spans="1:13" ht="15" customHeight="1" x14ac:dyDescent="0.25">
      <c r="A3252" s="82">
        <v>45527</v>
      </c>
      <c r="B3252" t="s">
        <v>427</v>
      </c>
      <c r="C3252" t="s">
        <v>425</v>
      </c>
      <c r="D3252" t="s">
        <v>421</v>
      </c>
      <c r="E3252" t="s">
        <v>514</v>
      </c>
      <c r="F3252" t="s">
        <v>455</v>
      </c>
      <c r="G3252" t="s">
        <v>516</v>
      </c>
      <c r="H3252" t="s">
        <v>516</v>
      </c>
      <c r="I3252" t="s">
        <v>425</v>
      </c>
      <c r="J3252" t="s">
        <v>426</v>
      </c>
      <c r="L3252" t="s">
        <v>428</v>
      </c>
      <c r="M3252" t="s">
        <v>421</v>
      </c>
    </row>
    <row r="3253" spans="1:13" ht="15" customHeight="1" x14ac:dyDescent="0.25">
      <c r="A3253" s="82">
        <v>45528</v>
      </c>
      <c r="B3253" t="s">
        <v>455</v>
      </c>
      <c r="C3253" t="s">
        <v>421</v>
      </c>
      <c r="D3253" t="s">
        <v>427</v>
      </c>
      <c r="E3253" t="s">
        <v>514</v>
      </c>
      <c r="F3253" t="s">
        <v>428</v>
      </c>
      <c r="G3253" t="s">
        <v>516</v>
      </c>
      <c r="H3253" t="s">
        <v>430</v>
      </c>
      <c r="I3253" t="s">
        <v>425</v>
      </c>
      <c r="J3253" t="s">
        <v>426</v>
      </c>
      <c r="L3253" t="s">
        <v>428</v>
      </c>
      <c r="M3253" t="s">
        <v>421</v>
      </c>
    </row>
    <row r="3254" spans="1:13" ht="15" customHeight="1" x14ac:dyDescent="0.25">
      <c r="A3254" s="82">
        <v>45529</v>
      </c>
      <c r="B3254" t="s">
        <v>427</v>
      </c>
      <c r="C3254" t="s">
        <v>421</v>
      </c>
      <c r="D3254" t="s">
        <v>455</v>
      </c>
      <c r="E3254" t="s">
        <v>514</v>
      </c>
      <c r="F3254" t="s">
        <v>428</v>
      </c>
      <c r="G3254" t="s">
        <v>516</v>
      </c>
      <c r="H3254" t="s">
        <v>430</v>
      </c>
      <c r="I3254" t="s">
        <v>425</v>
      </c>
      <c r="J3254" t="s">
        <v>426</v>
      </c>
      <c r="L3254" t="s">
        <v>428</v>
      </c>
      <c r="M3254" t="s">
        <v>421</v>
      </c>
    </row>
    <row r="3255" spans="1:13" ht="15" customHeight="1" x14ac:dyDescent="0.25">
      <c r="A3255" s="82">
        <v>45530</v>
      </c>
      <c r="B3255" t="s">
        <v>455</v>
      </c>
      <c r="C3255" t="s">
        <v>427</v>
      </c>
      <c r="D3255" t="s">
        <v>421</v>
      </c>
      <c r="E3255" t="s">
        <v>514</v>
      </c>
      <c r="F3255" t="s">
        <v>428</v>
      </c>
      <c r="G3255" t="s">
        <v>424</v>
      </c>
      <c r="H3255" t="s">
        <v>430</v>
      </c>
      <c r="I3255" t="s">
        <v>425</v>
      </c>
      <c r="J3255" t="s">
        <v>426</v>
      </c>
      <c r="L3255" t="s">
        <v>428</v>
      </c>
      <c r="M3255" t="s">
        <v>421</v>
      </c>
    </row>
    <row r="3256" spans="1:13" ht="15" customHeight="1" x14ac:dyDescent="0.25">
      <c r="A3256" s="82">
        <v>45531</v>
      </c>
      <c r="B3256" t="s">
        <v>421</v>
      </c>
      <c r="C3256" t="s">
        <v>455</v>
      </c>
      <c r="D3256" t="s">
        <v>427</v>
      </c>
      <c r="E3256" t="s">
        <v>514</v>
      </c>
      <c r="F3256" t="s">
        <v>428</v>
      </c>
      <c r="G3256" t="s">
        <v>424</v>
      </c>
      <c r="H3256" t="s">
        <v>430</v>
      </c>
      <c r="I3256" t="s">
        <v>425</v>
      </c>
      <c r="J3256" t="s">
        <v>426</v>
      </c>
      <c r="L3256" t="s">
        <v>421</v>
      </c>
      <c r="M3256" t="s">
        <v>423</v>
      </c>
    </row>
    <row r="3257" spans="1:13" ht="15" customHeight="1" x14ac:dyDescent="0.25">
      <c r="A3257" s="82">
        <v>45532</v>
      </c>
      <c r="B3257" t="s">
        <v>421</v>
      </c>
      <c r="C3257" t="s">
        <v>427</v>
      </c>
      <c r="D3257" t="s">
        <v>455</v>
      </c>
      <c r="E3257" t="s">
        <v>514</v>
      </c>
      <c r="F3257" t="s">
        <v>428</v>
      </c>
      <c r="G3257" t="s">
        <v>424</v>
      </c>
      <c r="H3257" t="s">
        <v>430</v>
      </c>
      <c r="I3257" t="s">
        <v>425</v>
      </c>
      <c r="J3257" t="s">
        <v>426</v>
      </c>
      <c r="L3257" t="s">
        <v>421</v>
      </c>
      <c r="M3257" t="s">
        <v>423</v>
      </c>
    </row>
    <row r="3258" spans="1:13" ht="15" customHeight="1" x14ac:dyDescent="0.25">
      <c r="A3258" s="82">
        <v>45533</v>
      </c>
      <c r="B3258" t="s">
        <v>427</v>
      </c>
      <c r="C3258" t="s">
        <v>455</v>
      </c>
      <c r="D3258" t="s">
        <v>517</v>
      </c>
      <c r="E3258" t="s">
        <v>514</v>
      </c>
      <c r="F3258" t="s">
        <v>428</v>
      </c>
      <c r="G3258" t="s">
        <v>424</v>
      </c>
      <c r="H3258" t="s">
        <v>430</v>
      </c>
      <c r="I3258" t="s">
        <v>425</v>
      </c>
      <c r="J3258" t="s">
        <v>426</v>
      </c>
      <c r="L3258" t="s">
        <v>421</v>
      </c>
      <c r="M3258" t="s">
        <v>423</v>
      </c>
    </row>
    <row r="3259" spans="1:13" ht="15" customHeight="1" x14ac:dyDescent="0.25">
      <c r="A3259" s="82">
        <v>45534</v>
      </c>
      <c r="B3259" t="s">
        <v>455</v>
      </c>
      <c r="C3259" t="s">
        <v>424</v>
      </c>
      <c r="D3259" t="s">
        <v>514</v>
      </c>
      <c r="E3259" t="s">
        <v>426</v>
      </c>
      <c r="F3259" t="s">
        <v>425</v>
      </c>
      <c r="G3259" t="s">
        <v>424</v>
      </c>
      <c r="H3259" t="s">
        <v>421</v>
      </c>
      <c r="I3259" t="s">
        <v>425</v>
      </c>
      <c r="J3259" t="s">
        <v>427</v>
      </c>
      <c r="L3259" t="s">
        <v>421</v>
      </c>
      <c r="M3259" t="s">
        <v>423</v>
      </c>
    </row>
    <row r="3260" spans="1:13" ht="15" customHeight="1" x14ac:dyDescent="0.25">
      <c r="A3260" s="82">
        <v>45535</v>
      </c>
      <c r="B3260" t="s">
        <v>428</v>
      </c>
      <c r="C3260" t="s">
        <v>424</v>
      </c>
      <c r="D3260" t="s">
        <v>514</v>
      </c>
      <c r="E3260" t="s">
        <v>426</v>
      </c>
      <c r="F3260" t="s">
        <v>425</v>
      </c>
      <c r="G3260" t="s">
        <v>430</v>
      </c>
      <c r="H3260" t="s">
        <v>427</v>
      </c>
      <c r="I3260" t="s">
        <v>421</v>
      </c>
      <c r="J3260" t="s">
        <v>455</v>
      </c>
      <c r="L3260" t="s">
        <v>421</v>
      </c>
      <c r="M3260" t="s">
        <v>423</v>
      </c>
    </row>
    <row r="3261" spans="1:13" ht="15" customHeight="1" x14ac:dyDescent="0.25">
      <c r="A3261" s="82">
        <v>45536</v>
      </c>
      <c r="B3261" t="s">
        <v>428</v>
      </c>
      <c r="C3261" t="s">
        <v>424</v>
      </c>
      <c r="D3261" t="s">
        <v>514</v>
      </c>
      <c r="E3261" t="s">
        <v>426</v>
      </c>
      <c r="F3261" t="s">
        <v>425</v>
      </c>
      <c r="G3261" t="s">
        <v>430</v>
      </c>
      <c r="H3261" t="s">
        <v>455</v>
      </c>
      <c r="I3261" t="s">
        <v>421</v>
      </c>
      <c r="J3261" t="s">
        <v>427</v>
      </c>
      <c r="L3261" t="s">
        <v>421</v>
      </c>
      <c r="M3261" t="s">
        <v>423</v>
      </c>
    </row>
    <row r="3262" spans="1:13" ht="15" customHeight="1" x14ac:dyDescent="0.25">
      <c r="A3262" s="82">
        <v>45537</v>
      </c>
      <c r="B3262" t="s">
        <v>428</v>
      </c>
      <c r="C3262" t="s">
        <v>424</v>
      </c>
      <c r="D3262" t="s">
        <v>514</v>
      </c>
      <c r="E3262" t="s">
        <v>426</v>
      </c>
      <c r="F3262" t="s">
        <v>425</v>
      </c>
      <c r="G3262" t="s">
        <v>430</v>
      </c>
      <c r="H3262" t="s">
        <v>421</v>
      </c>
      <c r="I3262" t="s">
        <v>427</v>
      </c>
      <c r="J3262" t="s">
        <v>455</v>
      </c>
      <c r="L3262" t="s">
        <v>423</v>
      </c>
      <c r="M3262" t="s">
        <v>421</v>
      </c>
    </row>
    <row r="3263" spans="1:13" ht="15" customHeight="1" x14ac:dyDescent="0.25">
      <c r="A3263" s="82">
        <v>45538</v>
      </c>
      <c r="B3263" t="s">
        <v>428</v>
      </c>
      <c r="C3263" t="s">
        <v>424</v>
      </c>
      <c r="D3263" t="s">
        <v>514</v>
      </c>
      <c r="E3263" t="s">
        <v>426</v>
      </c>
      <c r="F3263" t="s">
        <v>425</v>
      </c>
      <c r="G3263" t="s">
        <v>430</v>
      </c>
      <c r="H3263" t="s">
        <v>427</v>
      </c>
      <c r="I3263" t="s">
        <v>455</v>
      </c>
      <c r="J3263" t="s">
        <v>421</v>
      </c>
      <c r="L3263" t="s">
        <v>423</v>
      </c>
      <c r="M3263" t="s">
        <v>421</v>
      </c>
    </row>
    <row r="3264" spans="1:13" ht="15" customHeight="1" x14ac:dyDescent="0.25">
      <c r="A3264" s="82">
        <v>45539</v>
      </c>
      <c r="B3264" t="s">
        <v>428</v>
      </c>
      <c r="C3264" t="s">
        <v>424</v>
      </c>
      <c r="D3264" t="s">
        <v>514</v>
      </c>
      <c r="E3264" t="s">
        <v>426</v>
      </c>
      <c r="F3264" t="s">
        <v>425</v>
      </c>
      <c r="G3264" t="s">
        <v>430</v>
      </c>
      <c r="H3264" t="s">
        <v>455</v>
      </c>
      <c r="I3264" t="s">
        <v>427</v>
      </c>
      <c r="J3264" t="s">
        <v>421</v>
      </c>
      <c r="L3264" t="s">
        <v>423</v>
      </c>
      <c r="M3264" t="s">
        <v>421</v>
      </c>
    </row>
    <row r="3265" spans="1:13" ht="15" customHeight="1" x14ac:dyDescent="0.25">
      <c r="A3265" s="82">
        <v>45540</v>
      </c>
      <c r="B3265" t="s">
        <v>428</v>
      </c>
      <c r="C3265" t="s">
        <v>424</v>
      </c>
      <c r="D3265" t="s">
        <v>514</v>
      </c>
      <c r="E3265" t="s">
        <v>426</v>
      </c>
      <c r="F3265" t="s">
        <v>425</v>
      </c>
      <c r="G3265" t="s">
        <v>430</v>
      </c>
      <c r="H3265" t="s">
        <v>517</v>
      </c>
      <c r="I3265" t="s">
        <v>455</v>
      </c>
      <c r="J3265" t="s">
        <v>427</v>
      </c>
      <c r="L3265" t="s">
        <v>423</v>
      </c>
      <c r="M3265" t="s">
        <v>421</v>
      </c>
    </row>
    <row r="3266" spans="1:13" ht="15" customHeight="1" x14ac:dyDescent="0.25">
      <c r="A3266" s="82">
        <v>45541</v>
      </c>
      <c r="B3266" t="s">
        <v>425</v>
      </c>
      <c r="C3266" t="s">
        <v>424</v>
      </c>
      <c r="D3266" t="s">
        <v>426</v>
      </c>
      <c r="E3266" t="s">
        <v>427</v>
      </c>
      <c r="F3266" t="s">
        <v>425</v>
      </c>
      <c r="G3266" t="s">
        <v>421</v>
      </c>
      <c r="H3266" t="s">
        <v>514</v>
      </c>
      <c r="I3266" t="s">
        <v>424</v>
      </c>
      <c r="J3266" t="s">
        <v>455</v>
      </c>
      <c r="L3266" t="s">
        <v>421</v>
      </c>
      <c r="M3266" t="s">
        <v>423</v>
      </c>
    </row>
    <row r="3267" spans="1:13" ht="15" customHeight="1" x14ac:dyDescent="0.25">
      <c r="A3267" s="82">
        <v>45542</v>
      </c>
      <c r="B3267" t="s">
        <v>425</v>
      </c>
      <c r="C3267" t="s">
        <v>430</v>
      </c>
      <c r="D3267" t="s">
        <v>426</v>
      </c>
      <c r="E3267" t="s">
        <v>455</v>
      </c>
      <c r="F3267" t="s">
        <v>421</v>
      </c>
      <c r="G3267" t="s">
        <v>427</v>
      </c>
      <c r="H3267" t="s">
        <v>514</v>
      </c>
      <c r="I3267" t="s">
        <v>424</v>
      </c>
      <c r="J3267" t="s">
        <v>428</v>
      </c>
      <c r="L3267" t="s">
        <v>421</v>
      </c>
      <c r="M3267" t="s">
        <v>423</v>
      </c>
    </row>
    <row r="3268" spans="1:13" ht="15" customHeight="1" x14ac:dyDescent="0.25">
      <c r="A3268" s="82">
        <v>45543</v>
      </c>
      <c r="B3268" t="s">
        <v>425</v>
      </c>
      <c r="C3268" t="s">
        <v>430</v>
      </c>
      <c r="D3268" t="s">
        <v>426</v>
      </c>
      <c r="E3268" t="s">
        <v>427</v>
      </c>
      <c r="F3268" t="s">
        <v>421</v>
      </c>
      <c r="G3268" t="s">
        <v>455</v>
      </c>
      <c r="H3268" t="s">
        <v>514</v>
      </c>
      <c r="I3268" t="s">
        <v>424</v>
      </c>
      <c r="J3268" t="s">
        <v>428</v>
      </c>
      <c r="L3268" t="s">
        <v>421</v>
      </c>
      <c r="M3268" t="s">
        <v>423</v>
      </c>
    </row>
    <row r="3269" spans="1:13" ht="15" customHeight="1" x14ac:dyDescent="0.25">
      <c r="A3269" s="82">
        <v>45544</v>
      </c>
      <c r="B3269" t="s">
        <v>425</v>
      </c>
      <c r="C3269" t="s">
        <v>430</v>
      </c>
      <c r="D3269" t="s">
        <v>426</v>
      </c>
      <c r="E3269" t="s">
        <v>455</v>
      </c>
      <c r="F3269" t="s">
        <v>427</v>
      </c>
      <c r="G3269" t="s">
        <v>421</v>
      </c>
      <c r="H3269" t="s">
        <v>514</v>
      </c>
      <c r="I3269" t="s">
        <v>424</v>
      </c>
      <c r="J3269" t="s">
        <v>428</v>
      </c>
      <c r="L3269" t="s">
        <v>421</v>
      </c>
      <c r="M3269" t="s">
        <v>423</v>
      </c>
    </row>
    <row r="3270" spans="1:13" ht="15" customHeight="1" x14ac:dyDescent="0.25">
      <c r="A3270" s="82">
        <v>45545</v>
      </c>
      <c r="B3270" t="s">
        <v>425</v>
      </c>
      <c r="C3270" t="s">
        <v>430</v>
      </c>
      <c r="D3270" t="s">
        <v>426</v>
      </c>
      <c r="E3270" t="s">
        <v>421</v>
      </c>
      <c r="F3270" t="s">
        <v>455</v>
      </c>
      <c r="G3270" t="s">
        <v>427</v>
      </c>
      <c r="H3270" t="s">
        <v>514</v>
      </c>
      <c r="I3270" t="s">
        <v>424</v>
      </c>
      <c r="J3270" t="s">
        <v>428</v>
      </c>
      <c r="L3270" t="s">
        <v>421</v>
      </c>
      <c r="M3270" t="s">
        <v>423</v>
      </c>
    </row>
    <row r="3271" spans="1:13" ht="15" customHeight="1" x14ac:dyDescent="0.25">
      <c r="A3271" s="82">
        <v>45546</v>
      </c>
      <c r="B3271" t="s">
        <v>425</v>
      </c>
      <c r="C3271" t="s">
        <v>430</v>
      </c>
      <c r="D3271" t="s">
        <v>426</v>
      </c>
      <c r="E3271" t="s">
        <v>421</v>
      </c>
      <c r="F3271" t="s">
        <v>427</v>
      </c>
      <c r="G3271" t="s">
        <v>455</v>
      </c>
      <c r="H3271" t="s">
        <v>514</v>
      </c>
      <c r="I3271" t="s">
        <v>424</v>
      </c>
      <c r="J3271" t="s">
        <v>428</v>
      </c>
      <c r="L3271" t="s">
        <v>421</v>
      </c>
      <c r="M3271" t="s">
        <v>423</v>
      </c>
    </row>
    <row r="3272" spans="1:13" ht="15" customHeight="1" x14ac:dyDescent="0.25">
      <c r="A3272" s="82">
        <v>45547</v>
      </c>
      <c r="B3272" t="s">
        <v>425</v>
      </c>
      <c r="C3272" t="s">
        <v>430</v>
      </c>
      <c r="D3272" t="s">
        <v>426</v>
      </c>
      <c r="E3272" t="s">
        <v>427</v>
      </c>
      <c r="F3272" t="s">
        <v>455</v>
      </c>
      <c r="G3272" t="s">
        <v>517</v>
      </c>
      <c r="H3272" t="s">
        <v>514</v>
      </c>
      <c r="I3272" t="s">
        <v>424</v>
      </c>
      <c r="J3272" t="s">
        <v>428</v>
      </c>
      <c r="L3272" t="s">
        <v>423</v>
      </c>
      <c r="M3272" t="s">
        <v>421</v>
      </c>
    </row>
    <row r="3273" spans="1:13" ht="15" customHeight="1" x14ac:dyDescent="0.25">
      <c r="A3273" s="82">
        <v>45548</v>
      </c>
      <c r="B3273" t="s">
        <v>425</v>
      </c>
      <c r="C3273" t="s">
        <v>421</v>
      </c>
      <c r="D3273" t="s">
        <v>427</v>
      </c>
      <c r="E3273" t="s">
        <v>455</v>
      </c>
      <c r="F3273" t="s">
        <v>424</v>
      </c>
      <c r="G3273" t="s">
        <v>514</v>
      </c>
      <c r="H3273" t="s">
        <v>426</v>
      </c>
      <c r="I3273" t="s">
        <v>424</v>
      </c>
      <c r="J3273" t="s">
        <v>425</v>
      </c>
      <c r="L3273" t="s">
        <v>423</v>
      </c>
      <c r="M3273" t="s">
        <v>421</v>
      </c>
    </row>
    <row r="3274" spans="1:13" ht="15" customHeight="1" x14ac:dyDescent="0.25">
      <c r="A3274" s="82">
        <v>45549</v>
      </c>
      <c r="B3274" t="s">
        <v>421</v>
      </c>
      <c r="C3274" t="s">
        <v>427</v>
      </c>
      <c r="D3274" t="s">
        <v>455</v>
      </c>
      <c r="E3274" t="s">
        <v>428</v>
      </c>
      <c r="F3274" t="s">
        <v>424</v>
      </c>
      <c r="G3274" t="s">
        <v>514</v>
      </c>
      <c r="H3274" t="s">
        <v>426</v>
      </c>
      <c r="I3274" t="s">
        <v>430</v>
      </c>
      <c r="J3274" t="s">
        <v>425</v>
      </c>
      <c r="L3274" t="s">
        <v>423</v>
      </c>
      <c r="M3274" t="s">
        <v>421</v>
      </c>
    </row>
    <row r="3275" spans="1:13" ht="15" customHeight="1" x14ac:dyDescent="0.25">
      <c r="A3275" s="82">
        <v>45550</v>
      </c>
      <c r="B3275" t="s">
        <v>421</v>
      </c>
      <c r="C3275" t="s">
        <v>455</v>
      </c>
      <c r="D3275" t="s">
        <v>427</v>
      </c>
      <c r="E3275" t="s">
        <v>428</v>
      </c>
      <c r="F3275" t="s">
        <v>424</v>
      </c>
      <c r="G3275" t="s">
        <v>514</v>
      </c>
      <c r="H3275" t="s">
        <v>426</v>
      </c>
      <c r="I3275" t="s">
        <v>430</v>
      </c>
      <c r="J3275" t="s">
        <v>425</v>
      </c>
      <c r="L3275" t="s">
        <v>423</v>
      </c>
      <c r="M3275" t="s">
        <v>421</v>
      </c>
    </row>
    <row r="3276" spans="1:13" ht="15" customHeight="1" x14ac:dyDescent="0.25">
      <c r="A3276" s="82">
        <v>45551</v>
      </c>
      <c r="B3276" t="s">
        <v>427</v>
      </c>
      <c r="C3276" t="s">
        <v>421</v>
      </c>
      <c r="D3276" t="s">
        <v>455</v>
      </c>
      <c r="E3276" t="s">
        <v>428</v>
      </c>
      <c r="F3276" t="s">
        <v>424</v>
      </c>
      <c r="G3276" t="s">
        <v>429</v>
      </c>
      <c r="H3276" t="s">
        <v>426</v>
      </c>
      <c r="I3276" t="s">
        <v>430</v>
      </c>
      <c r="J3276" t="s">
        <v>425</v>
      </c>
      <c r="L3276" t="s">
        <v>423</v>
      </c>
      <c r="M3276" t="s">
        <v>421</v>
      </c>
    </row>
    <row r="3277" spans="1:13" ht="15" customHeight="1" x14ac:dyDescent="0.25">
      <c r="A3277" s="82">
        <v>45552</v>
      </c>
      <c r="B3277" t="s">
        <v>455</v>
      </c>
      <c r="C3277" t="s">
        <v>427</v>
      </c>
      <c r="D3277" t="s">
        <v>421</v>
      </c>
      <c r="E3277" t="s">
        <v>428</v>
      </c>
      <c r="F3277" t="s">
        <v>424</v>
      </c>
      <c r="G3277" t="s">
        <v>429</v>
      </c>
      <c r="H3277" t="s">
        <v>426</v>
      </c>
      <c r="I3277" t="s">
        <v>430</v>
      </c>
      <c r="J3277" t="s">
        <v>425</v>
      </c>
      <c r="L3277" t="s">
        <v>423</v>
      </c>
      <c r="M3277" t="s">
        <v>421</v>
      </c>
    </row>
    <row r="3278" spans="1:13" ht="15" customHeight="1" x14ac:dyDescent="0.25">
      <c r="A3278" s="82">
        <v>45553</v>
      </c>
      <c r="B3278" t="s">
        <v>427</v>
      </c>
      <c r="C3278" t="s">
        <v>455</v>
      </c>
      <c r="D3278" t="s">
        <v>421</v>
      </c>
      <c r="E3278" t="s">
        <v>428</v>
      </c>
      <c r="F3278" t="s">
        <v>424</v>
      </c>
      <c r="G3278" t="s">
        <v>429</v>
      </c>
      <c r="H3278" t="s">
        <v>426</v>
      </c>
      <c r="I3278" t="s">
        <v>430</v>
      </c>
      <c r="J3278" t="s">
        <v>425</v>
      </c>
      <c r="L3278" t="s">
        <v>421</v>
      </c>
      <c r="M3278" t="s">
        <v>423</v>
      </c>
    </row>
    <row r="3279" spans="1:13" ht="15" customHeight="1" x14ac:dyDescent="0.25">
      <c r="A3279" s="82">
        <v>45554</v>
      </c>
      <c r="B3279" t="s">
        <v>455</v>
      </c>
      <c r="C3279" t="s">
        <v>421</v>
      </c>
      <c r="D3279" t="s">
        <v>427</v>
      </c>
      <c r="E3279" t="s">
        <v>428</v>
      </c>
      <c r="F3279" t="s">
        <v>424</v>
      </c>
      <c r="G3279" t="s">
        <v>429</v>
      </c>
      <c r="H3279" t="s">
        <v>426</v>
      </c>
      <c r="I3279" t="s">
        <v>430</v>
      </c>
      <c r="J3279" t="s">
        <v>425</v>
      </c>
      <c r="L3279" t="s">
        <v>421</v>
      </c>
      <c r="M3279" t="s">
        <v>423</v>
      </c>
    </row>
    <row r="3280" spans="1:13" ht="15" customHeight="1" x14ac:dyDescent="0.25">
      <c r="A3280" s="82">
        <v>45555</v>
      </c>
      <c r="B3280" t="s">
        <v>424</v>
      </c>
      <c r="C3280" t="s">
        <v>429</v>
      </c>
      <c r="D3280" t="s">
        <v>455</v>
      </c>
      <c r="E3280" t="s">
        <v>425</v>
      </c>
      <c r="F3280" t="s">
        <v>424</v>
      </c>
      <c r="G3280" t="s">
        <v>426</v>
      </c>
      <c r="H3280" t="s">
        <v>427</v>
      </c>
      <c r="I3280" t="s">
        <v>421</v>
      </c>
      <c r="J3280" t="s">
        <v>425</v>
      </c>
      <c r="L3280" t="s">
        <v>421</v>
      </c>
      <c r="M3280" t="s">
        <v>428</v>
      </c>
    </row>
    <row r="3281" spans="1:13" ht="15" customHeight="1" x14ac:dyDescent="0.25">
      <c r="A3281" s="82">
        <v>45556</v>
      </c>
      <c r="B3281" t="s">
        <v>424</v>
      </c>
      <c r="C3281" t="s">
        <v>429</v>
      </c>
      <c r="D3281" t="s">
        <v>428</v>
      </c>
      <c r="E3281" t="s">
        <v>425</v>
      </c>
      <c r="F3281" t="s">
        <v>430</v>
      </c>
      <c r="G3281" t="s">
        <v>426</v>
      </c>
      <c r="H3281" t="s">
        <v>455</v>
      </c>
      <c r="I3281" t="s">
        <v>427</v>
      </c>
      <c r="J3281" t="s">
        <v>421</v>
      </c>
      <c r="L3281" t="s">
        <v>421</v>
      </c>
      <c r="M3281" t="s">
        <v>428</v>
      </c>
    </row>
    <row r="3282" spans="1:13" ht="15" customHeight="1" x14ac:dyDescent="0.25">
      <c r="A3282" s="82">
        <v>45557</v>
      </c>
      <c r="B3282" t="s">
        <v>424</v>
      </c>
      <c r="C3282" t="s">
        <v>429</v>
      </c>
      <c r="D3282" t="s">
        <v>428</v>
      </c>
      <c r="E3282" t="s">
        <v>425</v>
      </c>
      <c r="F3282" t="s">
        <v>430</v>
      </c>
      <c r="G3282" t="s">
        <v>426</v>
      </c>
      <c r="H3282" t="s">
        <v>427</v>
      </c>
      <c r="I3282" t="s">
        <v>455</v>
      </c>
      <c r="J3282" t="s">
        <v>421</v>
      </c>
      <c r="L3282" t="s">
        <v>421</v>
      </c>
      <c r="M3282" t="s">
        <v>428</v>
      </c>
    </row>
    <row r="3283" spans="1:13" ht="15" customHeight="1" x14ac:dyDescent="0.25">
      <c r="A3283" s="82">
        <v>45558</v>
      </c>
      <c r="B3283" t="s">
        <v>424</v>
      </c>
      <c r="C3283" t="s">
        <v>429</v>
      </c>
      <c r="D3283" t="s">
        <v>428</v>
      </c>
      <c r="E3283" t="s">
        <v>425</v>
      </c>
      <c r="F3283" t="s">
        <v>430</v>
      </c>
      <c r="G3283" t="s">
        <v>426</v>
      </c>
      <c r="H3283" t="s">
        <v>455</v>
      </c>
      <c r="I3283" t="s">
        <v>421</v>
      </c>
      <c r="J3283" t="s">
        <v>427</v>
      </c>
      <c r="L3283" t="s">
        <v>421</v>
      </c>
      <c r="M3283" t="s">
        <v>428</v>
      </c>
    </row>
    <row r="3284" spans="1:13" ht="15" customHeight="1" x14ac:dyDescent="0.25">
      <c r="A3284" s="82">
        <v>45559</v>
      </c>
      <c r="B3284" t="s">
        <v>424</v>
      </c>
      <c r="C3284" t="s">
        <v>429</v>
      </c>
      <c r="D3284" t="s">
        <v>428</v>
      </c>
      <c r="E3284" t="s">
        <v>425</v>
      </c>
      <c r="F3284" t="s">
        <v>430</v>
      </c>
      <c r="G3284" t="s">
        <v>426</v>
      </c>
      <c r="H3284" t="s">
        <v>421</v>
      </c>
      <c r="I3284" t="s">
        <v>427</v>
      </c>
      <c r="J3284" t="s">
        <v>455</v>
      </c>
      <c r="L3284" t="s">
        <v>423</v>
      </c>
      <c r="M3284" t="s">
        <v>421</v>
      </c>
    </row>
    <row r="3285" spans="1:13" ht="15" customHeight="1" x14ac:dyDescent="0.25">
      <c r="A3285" s="82">
        <v>45560</v>
      </c>
      <c r="B3285" t="s">
        <v>424</v>
      </c>
      <c r="C3285" t="s">
        <v>429</v>
      </c>
      <c r="D3285" t="s">
        <v>428</v>
      </c>
      <c r="E3285" t="s">
        <v>425</v>
      </c>
      <c r="F3285" t="s">
        <v>430</v>
      </c>
      <c r="G3285" t="s">
        <v>426</v>
      </c>
      <c r="H3285" t="s">
        <v>421</v>
      </c>
      <c r="I3285" t="s">
        <v>455</v>
      </c>
      <c r="J3285" t="s">
        <v>427</v>
      </c>
      <c r="L3285" t="s">
        <v>423</v>
      </c>
      <c r="M3285" t="s">
        <v>421</v>
      </c>
    </row>
    <row r="3286" spans="1:13" ht="15" customHeight="1" x14ac:dyDescent="0.25">
      <c r="A3286" s="82">
        <v>45561</v>
      </c>
      <c r="B3286" t="s">
        <v>424</v>
      </c>
      <c r="C3286" t="s">
        <v>429</v>
      </c>
      <c r="D3286" t="s">
        <v>428</v>
      </c>
      <c r="E3286" t="s">
        <v>425</v>
      </c>
      <c r="F3286" t="s">
        <v>430</v>
      </c>
      <c r="G3286" t="s">
        <v>426</v>
      </c>
      <c r="H3286" t="s">
        <v>427</v>
      </c>
      <c r="I3286" t="s">
        <v>421</v>
      </c>
      <c r="J3286" t="s">
        <v>455</v>
      </c>
      <c r="L3286" t="s">
        <v>423</v>
      </c>
      <c r="M3286" t="s">
        <v>421</v>
      </c>
    </row>
    <row r="3287" spans="1:13" ht="15" customHeight="1" x14ac:dyDescent="0.25">
      <c r="A3287" s="82">
        <v>45562</v>
      </c>
      <c r="B3287" t="s">
        <v>424</v>
      </c>
      <c r="C3287" t="s">
        <v>426</v>
      </c>
      <c r="D3287" t="s">
        <v>425</v>
      </c>
      <c r="E3287" t="s">
        <v>425</v>
      </c>
      <c r="F3287" t="s">
        <v>421</v>
      </c>
      <c r="G3287" t="s">
        <v>427</v>
      </c>
      <c r="H3287" t="s">
        <v>455</v>
      </c>
      <c r="I3287" t="s">
        <v>514</v>
      </c>
      <c r="J3287" t="s">
        <v>424</v>
      </c>
      <c r="L3287" t="s">
        <v>423</v>
      </c>
      <c r="M3287" t="s">
        <v>421</v>
      </c>
    </row>
    <row r="3288" spans="1:13" ht="15" customHeight="1" x14ac:dyDescent="0.25">
      <c r="A3288" s="82">
        <v>45563</v>
      </c>
      <c r="B3288" t="s">
        <v>430</v>
      </c>
      <c r="C3288" t="s">
        <v>426</v>
      </c>
      <c r="D3288" t="s">
        <v>425</v>
      </c>
      <c r="E3288" t="s">
        <v>421</v>
      </c>
      <c r="F3288" t="s">
        <v>427</v>
      </c>
      <c r="G3288" t="s">
        <v>455</v>
      </c>
      <c r="H3288" t="s">
        <v>428</v>
      </c>
      <c r="I3288" t="s">
        <v>514</v>
      </c>
      <c r="J3288" t="s">
        <v>424</v>
      </c>
      <c r="L3288" t="s">
        <v>423</v>
      </c>
      <c r="M3288" t="s">
        <v>421</v>
      </c>
    </row>
    <row r="3289" spans="1:13" ht="15" customHeight="1" x14ac:dyDescent="0.25">
      <c r="A3289" s="82">
        <v>45564</v>
      </c>
      <c r="B3289" t="s">
        <v>430</v>
      </c>
      <c r="C3289" t="s">
        <v>426</v>
      </c>
      <c r="D3289" t="s">
        <v>425</v>
      </c>
      <c r="E3289" t="s">
        <v>421</v>
      </c>
      <c r="F3289" t="s">
        <v>455</v>
      </c>
      <c r="G3289" t="s">
        <v>427</v>
      </c>
      <c r="H3289" t="s">
        <v>428</v>
      </c>
      <c r="I3289" t="s">
        <v>514</v>
      </c>
      <c r="J3289" t="s">
        <v>424</v>
      </c>
      <c r="L3289" t="s">
        <v>423</v>
      </c>
      <c r="M3289" t="s">
        <v>421</v>
      </c>
    </row>
    <row r="3290" spans="1:13" ht="15" customHeight="1" x14ac:dyDescent="0.25">
      <c r="A3290" s="82">
        <v>45565</v>
      </c>
      <c r="B3290" t="s">
        <v>430</v>
      </c>
      <c r="C3290" t="s">
        <v>426</v>
      </c>
      <c r="D3290" t="s">
        <v>425</v>
      </c>
      <c r="E3290" t="s">
        <v>427</v>
      </c>
      <c r="F3290" t="s">
        <v>421</v>
      </c>
      <c r="G3290" t="s">
        <v>455</v>
      </c>
      <c r="H3290" t="s">
        <v>428</v>
      </c>
      <c r="I3290" t="s">
        <v>429</v>
      </c>
      <c r="J3290" t="s">
        <v>424</v>
      </c>
      <c r="L3290" t="s">
        <v>421</v>
      </c>
      <c r="M3290" t="s">
        <v>423</v>
      </c>
    </row>
    <row r="3291" spans="1:13" ht="15" customHeight="1" x14ac:dyDescent="0.25">
      <c r="A3291" s="82">
        <v>45566</v>
      </c>
      <c r="B3291" t="s">
        <v>430</v>
      </c>
      <c r="C3291" t="s">
        <v>426</v>
      </c>
      <c r="D3291" t="s">
        <v>425</v>
      </c>
      <c r="E3291" t="s">
        <v>455</v>
      </c>
      <c r="F3291" t="s">
        <v>427</v>
      </c>
      <c r="G3291" t="s">
        <v>421</v>
      </c>
      <c r="H3291" t="s">
        <v>428</v>
      </c>
      <c r="I3291" t="s">
        <v>429</v>
      </c>
      <c r="J3291" t="s">
        <v>424</v>
      </c>
      <c r="L3291" t="s">
        <v>421</v>
      </c>
      <c r="M3291" t="s">
        <v>423</v>
      </c>
    </row>
    <row r="3292" spans="1:13" ht="15" customHeight="1" x14ac:dyDescent="0.25">
      <c r="A3292" s="82">
        <v>45567</v>
      </c>
      <c r="B3292" t="s">
        <v>430</v>
      </c>
      <c r="C3292" t="s">
        <v>426</v>
      </c>
      <c r="D3292" t="s">
        <v>425</v>
      </c>
      <c r="E3292" t="s">
        <v>427</v>
      </c>
      <c r="F3292" t="s">
        <v>455</v>
      </c>
      <c r="G3292" t="s">
        <v>421</v>
      </c>
      <c r="H3292" t="s">
        <v>428</v>
      </c>
      <c r="I3292" t="s">
        <v>429</v>
      </c>
      <c r="J3292" t="s">
        <v>424</v>
      </c>
      <c r="L3292" t="s">
        <v>421</v>
      </c>
      <c r="M3292" t="s">
        <v>423</v>
      </c>
    </row>
    <row r="3293" spans="1:13" ht="15" customHeight="1" x14ac:dyDescent="0.25">
      <c r="A3293" s="82">
        <v>45568</v>
      </c>
      <c r="B3293" t="s">
        <v>430</v>
      </c>
      <c r="C3293" t="s">
        <v>426</v>
      </c>
      <c r="D3293" t="s">
        <v>425</v>
      </c>
      <c r="E3293" t="s">
        <v>455</v>
      </c>
      <c r="F3293" t="s">
        <v>421</v>
      </c>
      <c r="G3293" t="s">
        <v>427</v>
      </c>
      <c r="H3293" t="s">
        <v>428</v>
      </c>
      <c r="I3293" t="s">
        <v>429</v>
      </c>
      <c r="J3293" t="s">
        <v>424</v>
      </c>
      <c r="L3293" t="s">
        <v>421</v>
      </c>
      <c r="M3293" t="s">
        <v>423</v>
      </c>
    </row>
    <row r="3294" spans="1:13" ht="15" customHeight="1" x14ac:dyDescent="0.25">
      <c r="A3294" s="82">
        <v>45569</v>
      </c>
      <c r="B3294" t="s">
        <v>421</v>
      </c>
      <c r="C3294" t="s">
        <v>427</v>
      </c>
      <c r="D3294" t="s">
        <v>425</v>
      </c>
      <c r="E3294" t="s">
        <v>424</v>
      </c>
      <c r="F3294" t="s">
        <v>429</v>
      </c>
      <c r="G3294" t="s">
        <v>455</v>
      </c>
      <c r="H3294" t="s">
        <v>425</v>
      </c>
      <c r="I3294" t="s">
        <v>426</v>
      </c>
      <c r="J3294" t="s">
        <v>424</v>
      </c>
      <c r="L3294" t="s">
        <v>423</v>
      </c>
      <c r="M3294" t="s">
        <v>421</v>
      </c>
    </row>
    <row r="3295" spans="1:13" ht="15" customHeight="1" x14ac:dyDescent="0.25">
      <c r="A3295" s="82">
        <v>45570</v>
      </c>
      <c r="B3295" t="s">
        <v>427</v>
      </c>
      <c r="C3295" t="s">
        <v>455</v>
      </c>
      <c r="D3295" t="s">
        <v>421</v>
      </c>
      <c r="E3295" t="s">
        <v>424</v>
      </c>
      <c r="F3295" t="s">
        <v>429</v>
      </c>
      <c r="G3295" t="s">
        <v>428</v>
      </c>
      <c r="H3295" t="s">
        <v>425</v>
      </c>
      <c r="I3295" t="s">
        <v>426</v>
      </c>
      <c r="J3295" t="s">
        <v>430</v>
      </c>
      <c r="L3295" t="s">
        <v>423</v>
      </c>
      <c r="M3295" t="s">
        <v>421</v>
      </c>
    </row>
    <row r="3296" spans="1:13" ht="15" customHeight="1" x14ac:dyDescent="0.25">
      <c r="A3296" s="82">
        <v>45571</v>
      </c>
      <c r="B3296" t="s">
        <v>455</v>
      </c>
      <c r="C3296" t="s">
        <v>427</v>
      </c>
      <c r="D3296" t="s">
        <v>421</v>
      </c>
      <c r="E3296" t="s">
        <v>424</v>
      </c>
      <c r="F3296" t="s">
        <v>429</v>
      </c>
      <c r="G3296" t="s">
        <v>428</v>
      </c>
      <c r="H3296" t="s">
        <v>425</v>
      </c>
      <c r="I3296" t="s">
        <v>426</v>
      </c>
      <c r="J3296" t="s">
        <v>430</v>
      </c>
      <c r="L3296" t="s">
        <v>423</v>
      </c>
      <c r="M3296" t="s">
        <v>421</v>
      </c>
    </row>
    <row r="3297" spans="1:13" ht="15" customHeight="1" x14ac:dyDescent="0.25">
      <c r="A3297" s="82">
        <v>45572</v>
      </c>
      <c r="B3297" t="s">
        <v>421</v>
      </c>
      <c r="C3297" t="s">
        <v>455</v>
      </c>
      <c r="D3297" t="s">
        <v>427</v>
      </c>
      <c r="E3297" t="s">
        <v>424</v>
      </c>
      <c r="F3297" t="s">
        <v>429</v>
      </c>
      <c r="G3297" t="s">
        <v>428</v>
      </c>
      <c r="H3297" t="s">
        <v>425</v>
      </c>
      <c r="I3297" t="s">
        <v>426</v>
      </c>
      <c r="J3297" t="s">
        <v>430</v>
      </c>
      <c r="L3297" t="s">
        <v>423</v>
      </c>
      <c r="M3297" t="s">
        <v>421</v>
      </c>
    </row>
    <row r="3298" spans="1:13" ht="15" customHeight="1" x14ac:dyDescent="0.25">
      <c r="A3298" s="82">
        <v>45573</v>
      </c>
      <c r="B3298" t="s">
        <v>427</v>
      </c>
      <c r="C3298" t="s">
        <v>421</v>
      </c>
      <c r="D3298" t="s">
        <v>455</v>
      </c>
      <c r="E3298" t="s">
        <v>424</v>
      </c>
      <c r="F3298" t="s">
        <v>429</v>
      </c>
      <c r="G3298" t="s">
        <v>428</v>
      </c>
      <c r="H3298" t="s">
        <v>425</v>
      </c>
      <c r="I3298" t="s">
        <v>426</v>
      </c>
      <c r="J3298" t="s">
        <v>430</v>
      </c>
      <c r="L3298" t="s">
        <v>423</v>
      </c>
      <c r="M3298" t="s">
        <v>421</v>
      </c>
    </row>
    <row r="3299" spans="1:13" ht="15" customHeight="1" x14ac:dyDescent="0.25">
      <c r="A3299" s="82">
        <v>45574</v>
      </c>
      <c r="B3299" t="s">
        <v>455</v>
      </c>
      <c r="C3299" t="s">
        <v>421</v>
      </c>
      <c r="D3299" t="s">
        <v>427</v>
      </c>
      <c r="E3299" t="s">
        <v>424</v>
      </c>
      <c r="F3299" t="s">
        <v>429</v>
      </c>
      <c r="G3299" t="s">
        <v>428</v>
      </c>
      <c r="H3299" t="s">
        <v>425</v>
      </c>
      <c r="I3299" t="s">
        <v>426</v>
      </c>
      <c r="J3299" t="s">
        <v>430</v>
      </c>
      <c r="L3299" t="s">
        <v>423</v>
      </c>
      <c r="M3299" t="s">
        <v>421</v>
      </c>
    </row>
    <row r="3300" spans="1:13" ht="15" customHeight="1" x14ac:dyDescent="0.25">
      <c r="A3300" s="82">
        <v>45575</v>
      </c>
      <c r="B3300" t="s">
        <v>421</v>
      </c>
      <c r="C3300" t="s">
        <v>427</v>
      </c>
      <c r="D3300" t="s">
        <v>455</v>
      </c>
      <c r="E3300" t="s">
        <v>424</v>
      </c>
      <c r="F3300" t="s">
        <v>429</v>
      </c>
      <c r="G3300" t="s">
        <v>428</v>
      </c>
      <c r="H3300" t="s">
        <v>425</v>
      </c>
      <c r="I3300" t="s">
        <v>426</v>
      </c>
      <c r="J3300" t="s">
        <v>430</v>
      </c>
      <c r="L3300" t="s">
        <v>421</v>
      </c>
      <c r="M3300" t="s">
        <v>423</v>
      </c>
    </row>
    <row r="3301" spans="1:13" ht="15" customHeight="1" x14ac:dyDescent="0.25">
      <c r="A3301" s="82">
        <v>45576</v>
      </c>
      <c r="B3301" t="s">
        <v>429</v>
      </c>
      <c r="C3301" t="s">
        <v>455</v>
      </c>
      <c r="D3301" t="s">
        <v>424</v>
      </c>
      <c r="E3301" t="s">
        <v>424</v>
      </c>
      <c r="F3301" t="s">
        <v>426</v>
      </c>
      <c r="G3301" t="s">
        <v>425</v>
      </c>
      <c r="H3301" t="s">
        <v>425</v>
      </c>
      <c r="I3301" t="s">
        <v>427</v>
      </c>
      <c r="J3301" t="s">
        <v>421</v>
      </c>
      <c r="L3301" t="s">
        <v>421</v>
      </c>
      <c r="M3301" t="s">
        <v>423</v>
      </c>
    </row>
    <row r="3302" spans="1:13" ht="15" customHeight="1" x14ac:dyDescent="0.25">
      <c r="A3302" s="82">
        <v>45577</v>
      </c>
      <c r="B3302" t="s">
        <v>429</v>
      </c>
      <c r="C3302" t="s">
        <v>428</v>
      </c>
      <c r="D3302" t="s">
        <v>424</v>
      </c>
      <c r="E3302" t="s">
        <v>430</v>
      </c>
      <c r="F3302" t="s">
        <v>426</v>
      </c>
      <c r="G3302" t="s">
        <v>425</v>
      </c>
      <c r="H3302" t="s">
        <v>421</v>
      </c>
      <c r="I3302" t="s">
        <v>455</v>
      </c>
      <c r="J3302" t="s">
        <v>427</v>
      </c>
      <c r="L3302" t="s">
        <v>421</v>
      </c>
      <c r="M3302" t="s">
        <v>423</v>
      </c>
    </row>
    <row r="3303" spans="1:13" ht="15" customHeight="1" x14ac:dyDescent="0.25">
      <c r="A3303" s="82">
        <v>45578</v>
      </c>
      <c r="B3303" t="s">
        <v>429</v>
      </c>
      <c r="C3303" t="s">
        <v>428</v>
      </c>
      <c r="D3303" t="s">
        <v>424</v>
      </c>
      <c r="E3303" t="s">
        <v>430</v>
      </c>
      <c r="F3303" t="s">
        <v>426</v>
      </c>
      <c r="G3303" t="s">
        <v>425</v>
      </c>
      <c r="H3303" t="s">
        <v>421</v>
      </c>
      <c r="I3303" t="s">
        <v>427</v>
      </c>
      <c r="J3303" t="s">
        <v>455</v>
      </c>
      <c r="L3303" t="s">
        <v>421</v>
      </c>
      <c r="M3303" t="s">
        <v>423</v>
      </c>
    </row>
    <row r="3304" spans="1:13" ht="15" customHeight="1" x14ac:dyDescent="0.25">
      <c r="A3304" s="82">
        <v>45579</v>
      </c>
      <c r="B3304" t="s">
        <v>429</v>
      </c>
      <c r="C3304" t="s">
        <v>428</v>
      </c>
      <c r="D3304" t="s">
        <v>424</v>
      </c>
      <c r="E3304" t="s">
        <v>430</v>
      </c>
      <c r="F3304" t="s">
        <v>426</v>
      </c>
      <c r="G3304" t="s">
        <v>425</v>
      </c>
      <c r="H3304" t="s">
        <v>427</v>
      </c>
      <c r="I3304" t="s">
        <v>455</v>
      </c>
      <c r="J3304" t="s">
        <v>421</v>
      </c>
      <c r="L3304" t="s">
        <v>421</v>
      </c>
      <c r="M3304" t="s">
        <v>423</v>
      </c>
    </row>
    <row r="3305" spans="1:13" ht="15" customHeight="1" x14ac:dyDescent="0.25">
      <c r="A3305" s="82">
        <v>45580</v>
      </c>
      <c r="B3305" t="s">
        <v>429</v>
      </c>
      <c r="C3305" t="s">
        <v>428</v>
      </c>
      <c r="D3305" t="s">
        <v>424</v>
      </c>
      <c r="E3305" t="s">
        <v>430</v>
      </c>
      <c r="F3305" t="s">
        <v>426</v>
      </c>
      <c r="G3305" t="s">
        <v>425</v>
      </c>
      <c r="H3305" t="s">
        <v>455</v>
      </c>
      <c r="I3305" t="s">
        <v>421</v>
      </c>
      <c r="J3305" t="s">
        <v>427</v>
      </c>
      <c r="L3305" t="s">
        <v>421</v>
      </c>
      <c r="M3305" t="s">
        <v>423</v>
      </c>
    </row>
    <row r="3306" spans="1:13" ht="15" customHeight="1" x14ac:dyDescent="0.25">
      <c r="A3306" s="82">
        <v>45581</v>
      </c>
      <c r="B3306" t="s">
        <v>429</v>
      </c>
      <c r="C3306" t="s">
        <v>428</v>
      </c>
      <c r="D3306" t="s">
        <v>424</v>
      </c>
      <c r="E3306" t="s">
        <v>430</v>
      </c>
      <c r="F3306" t="s">
        <v>426</v>
      </c>
      <c r="G3306" t="s">
        <v>425</v>
      </c>
      <c r="H3306" t="s">
        <v>427</v>
      </c>
      <c r="I3306" t="s">
        <v>421</v>
      </c>
      <c r="J3306" t="s">
        <v>455</v>
      </c>
      <c r="L3306" t="s">
        <v>423</v>
      </c>
      <c r="M3306" t="s">
        <v>421</v>
      </c>
    </row>
    <row r="3307" spans="1:13" ht="15" customHeight="1" x14ac:dyDescent="0.25">
      <c r="A3307" s="82">
        <v>45582</v>
      </c>
      <c r="B3307" t="s">
        <v>429</v>
      </c>
      <c r="C3307" t="s">
        <v>428</v>
      </c>
      <c r="D3307" t="s">
        <v>424</v>
      </c>
      <c r="E3307" t="s">
        <v>430</v>
      </c>
      <c r="F3307" t="s">
        <v>426</v>
      </c>
      <c r="G3307" t="s">
        <v>425</v>
      </c>
      <c r="H3307" t="s">
        <v>455</v>
      </c>
      <c r="I3307" t="s">
        <v>427</v>
      </c>
      <c r="J3307" t="s">
        <v>421</v>
      </c>
      <c r="L3307" t="s">
        <v>423</v>
      </c>
      <c r="M3307" t="s">
        <v>421</v>
      </c>
    </row>
    <row r="3308" spans="1:13" ht="15" customHeight="1" x14ac:dyDescent="0.25">
      <c r="A3308" s="82">
        <v>45583</v>
      </c>
      <c r="B3308" t="s">
        <v>426</v>
      </c>
      <c r="C3308" t="s">
        <v>425</v>
      </c>
      <c r="D3308" t="s">
        <v>424</v>
      </c>
      <c r="E3308" t="s">
        <v>421</v>
      </c>
      <c r="F3308" t="s">
        <v>427</v>
      </c>
      <c r="G3308" t="s">
        <v>425</v>
      </c>
      <c r="H3308" t="s">
        <v>424</v>
      </c>
      <c r="I3308" t="s">
        <v>455</v>
      </c>
      <c r="J3308" t="s">
        <v>429</v>
      </c>
      <c r="L3308" t="s">
        <v>428</v>
      </c>
      <c r="M3308" t="s">
        <v>421</v>
      </c>
    </row>
    <row r="3309" spans="1:13" ht="15" customHeight="1" x14ac:dyDescent="0.25">
      <c r="A3309" s="82">
        <v>45584</v>
      </c>
      <c r="B3309" t="s">
        <v>426</v>
      </c>
      <c r="C3309" t="s">
        <v>425</v>
      </c>
      <c r="D3309" t="s">
        <v>430</v>
      </c>
      <c r="E3309" t="s">
        <v>427</v>
      </c>
      <c r="F3309" t="s">
        <v>455</v>
      </c>
      <c r="G3309" t="s">
        <v>421</v>
      </c>
      <c r="H3309" t="s">
        <v>424</v>
      </c>
      <c r="I3309" t="s">
        <v>428</v>
      </c>
      <c r="J3309" t="s">
        <v>429</v>
      </c>
      <c r="L3309" t="s">
        <v>428</v>
      </c>
      <c r="M3309" t="s">
        <v>421</v>
      </c>
    </row>
    <row r="3310" spans="1:13" ht="15" customHeight="1" x14ac:dyDescent="0.25">
      <c r="A3310" s="82">
        <v>45585</v>
      </c>
      <c r="B3310" t="s">
        <v>426</v>
      </c>
      <c r="C3310" t="s">
        <v>425</v>
      </c>
      <c r="D3310" t="s">
        <v>430</v>
      </c>
      <c r="E3310" t="s">
        <v>455</v>
      </c>
      <c r="F3310" t="s">
        <v>427</v>
      </c>
      <c r="G3310" t="s">
        <v>421</v>
      </c>
      <c r="H3310" t="s">
        <v>424</v>
      </c>
      <c r="I3310" t="s">
        <v>428</v>
      </c>
      <c r="J3310" t="s">
        <v>429</v>
      </c>
      <c r="L3310" t="s">
        <v>428</v>
      </c>
      <c r="M3310" t="s">
        <v>421</v>
      </c>
    </row>
    <row r="3311" spans="1:13" ht="15" customHeight="1" x14ac:dyDescent="0.25">
      <c r="A3311" s="82">
        <v>45586</v>
      </c>
      <c r="B3311" t="s">
        <v>426</v>
      </c>
      <c r="C3311" t="s">
        <v>425</v>
      </c>
      <c r="D3311" t="s">
        <v>430</v>
      </c>
      <c r="E3311" t="s">
        <v>421</v>
      </c>
      <c r="F3311" t="s">
        <v>455</v>
      </c>
      <c r="G3311" t="s">
        <v>427</v>
      </c>
      <c r="H3311" t="s">
        <v>424</v>
      </c>
      <c r="I3311" t="s">
        <v>428</v>
      </c>
      <c r="J3311" t="s">
        <v>429</v>
      </c>
      <c r="L3311" t="s">
        <v>428</v>
      </c>
      <c r="M3311" t="s">
        <v>421</v>
      </c>
    </row>
    <row r="3312" spans="1:13" ht="15" customHeight="1" x14ac:dyDescent="0.25">
      <c r="A3312" s="82">
        <v>45587</v>
      </c>
      <c r="B3312" t="s">
        <v>426</v>
      </c>
      <c r="C3312" t="s">
        <v>425</v>
      </c>
      <c r="D3312" t="s">
        <v>430</v>
      </c>
      <c r="E3312" t="s">
        <v>427</v>
      </c>
      <c r="F3312" t="s">
        <v>421</v>
      </c>
      <c r="G3312" t="s">
        <v>455</v>
      </c>
      <c r="H3312" t="s">
        <v>424</v>
      </c>
      <c r="I3312" t="s">
        <v>428</v>
      </c>
      <c r="J3312" t="s">
        <v>429</v>
      </c>
      <c r="L3312" t="s">
        <v>421</v>
      </c>
      <c r="M3312" t="s">
        <v>423</v>
      </c>
    </row>
    <row r="3313" spans="1:13" ht="15" customHeight="1" x14ac:dyDescent="0.25">
      <c r="A3313" s="82">
        <v>45588</v>
      </c>
      <c r="B3313" t="s">
        <v>426</v>
      </c>
      <c r="C3313" t="s">
        <v>425</v>
      </c>
      <c r="D3313" t="s">
        <v>430</v>
      </c>
      <c r="E3313" t="s">
        <v>455</v>
      </c>
      <c r="F3313" t="s">
        <v>421</v>
      </c>
      <c r="G3313" t="s">
        <v>427</v>
      </c>
      <c r="H3313" t="s">
        <v>424</v>
      </c>
      <c r="I3313" t="s">
        <v>428</v>
      </c>
      <c r="J3313" t="s">
        <v>429</v>
      </c>
      <c r="L3313" t="s">
        <v>421</v>
      </c>
      <c r="M3313" t="s">
        <v>423</v>
      </c>
    </row>
    <row r="3314" spans="1:13" ht="15" customHeight="1" x14ac:dyDescent="0.25">
      <c r="A3314" s="82">
        <v>45589</v>
      </c>
      <c r="B3314" t="s">
        <v>426</v>
      </c>
      <c r="C3314" t="s">
        <v>425</v>
      </c>
      <c r="D3314" t="s">
        <v>430</v>
      </c>
      <c r="E3314" t="s">
        <v>421</v>
      </c>
      <c r="F3314" t="s">
        <v>427</v>
      </c>
      <c r="G3314" t="s">
        <v>455</v>
      </c>
      <c r="H3314" t="s">
        <v>424</v>
      </c>
      <c r="I3314" t="s">
        <v>428</v>
      </c>
      <c r="J3314" t="s">
        <v>429</v>
      </c>
      <c r="L3314" t="s">
        <v>421</v>
      </c>
      <c r="M3314" t="s">
        <v>423</v>
      </c>
    </row>
    <row r="3315" spans="1:13" ht="15" customHeight="1" x14ac:dyDescent="0.25">
      <c r="A3315" s="82">
        <v>45590</v>
      </c>
      <c r="B3315" t="s">
        <v>427</v>
      </c>
      <c r="C3315" t="s">
        <v>425</v>
      </c>
      <c r="D3315" t="s">
        <v>421</v>
      </c>
      <c r="E3315" t="s">
        <v>429</v>
      </c>
      <c r="F3315" t="s">
        <v>455</v>
      </c>
      <c r="G3315" t="s">
        <v>424</v>
      </c>
      <c r="H3315" t="s">
        <v>424</v>
      </c>
      <c r="I3315" t="s">
        <v>425</v>
      </c>
      <c r="J3315" t="s">
        <v>426</v>
      </c>
      <c r="L3315" t="s">
        <v>421</v>
      </c>
      <c r="M3315" t="s">
        <v>423</v>
      </c>
    </row>
    <row r="3316" spans="1:13" ht="15" customHeight="1" x14ac:dyDescent="0.25">
      <c r="A3316" s="82">
        <v>45591</v>
      </c>
      <c r="B3316" t="s">
        <v>455</v>
      </c>
      <c r="C3316" t="s">
        <v>421</v>
      </c>
      <c r="D3316" t="s">
        <v>427</v>
      </c>
      <c r="E3316" t="s">
        <v>429</v>
      </c>
      <c r="F3316" t="s">
        <v>428</v>
      </c>
      <c r="G3316" t="s">
        <v>424</v>
      </c>
      <c r="H3316" t="s">
        <v>430</v>
      </c>
      <c r="I3316" t="s">
        <v>425</v>
      </c>
      <c r="J3316" t="s">
        <v>426</v>
      </c>
      <c r="L3316" t="s">
        <v>421</v>
      </c>
      <c r="M3316" t="s">
        <v>423</v>
      </c>
    </row>
    <row r="3317" spans="1:13" ht="15" customHeight="1" x14ac:dyDescent="0.25">
      <c r="A3317" s="82">
        <v>45592</v>
      </c>
      <c r="B3317" t="s">
        <v>427</v>
      </c>
      <c r="C3317" t="s">
        <v>421</v>
      </c>
      <c r="D3317" t="s">
        <v>455</v>
      </c>
      <c r="E3317" t="s">
        <v>429</v>
      </c>
      <c r="F3317" t="s">
        <v>428</v>
      </c>
      <c r="G3317" t="s">
        <v>424</v>
      </c>
      <c r="H3317" t="s">
        <v>430</v>
      </c>
      <c r="I3317" t="s">
        <v>425</v>
      </c>
      <c r="J3317" t="s">
        <v>426</v>
      </c>
      <c r="L3317" t="s">
        <v>421</v>
      </c>
      <c r="M3317" t="s">
        <v>423</v>
      </c>
    </row>
    <row r="3318" spans="1:13" ht="15" customHeight="1" x14ac:dyDescent="0.25">
      <c r="A3318" s="82">
        <v>45593</v>
      </c>
      <c r="B3318" t="s">
        <v>455</v>
      </c>
      <c r="C3318" t="s">
        <v>427</v>
      </c>
      <c r="D3318" t="s">
        <v>421</v>
      </c>
      <c r="E3318" t="s">
        <v>429</v>
      </c>
      <c r="F3318" t="s">
        <v>428</v>
      </c>
      <c r="G3318" t="s">
        <v>424</v>
      </c>
      <c r="H3318" t="s">
        <v>430</v>
      </c>
      <c r="I3318" t="s">
        <v>425</v>
      </c>
      <c r="J3318" t="s">
        <v>426</v>
      </c>
      <c r="L3318" t="s">
        <v>423</v>
      </c>
      <c r="M3318" t="s">
        <v>421</v>
      </c>
    </row>
    <row r="3319" spans="1:13" ht="15" customHeight="1" x14ac:dyDescent="0.25">
      <c r="A3319" s="82">
        <v>45594</v>
      </c>
      <c r="B3319" t="s">
        <v>421</v>
      </c>
      <c r="C3319" t="s">
        <v>455</v>
      </c>
      <c r="D3319" t="s">
        <v>427</v>
      </c>
      <c r="E3319" t="s">
        <v>429</v>
      </c>
      <c r="F3319" t="s">
        <v>428</v>
      </c>
      <c r="G3319" t="s">
        <v>424</v>
      </c>
      <c r="H3319" t="s">
        <v>430</v>
      </c>
      <c r="I3319" t="s">
        <v>425</v>
      </c>
      <c r="J3319" t="s">
        <v>426</v>
      </c>
      <c r="L3319" t="s">
        <v>423</v>
      </c>
      <c r="M3319" t="s">
        <v>421</v>
      </c>
    </row>
    <row r="3320" spans="1:13" ht="15" customHeight="1" x14ac:dyDescent="0.25">
      <c r="A3320" s="82">
        <v>45595</v>
      </c>
      <c r="B3320" t="s">
        <v>421</v>
      </c>
      <c r="C3320" t="s">
        <v>427</v>
      </c>
      <c r="D3320" t="s">
        <v>455</v>
      </c>
      <c r="E3320" t="s">
        <v>429</v>
      </c>
      <c r="F3320" t="s">
        <v>428</v>
      </c>
      <c r="G3320" t="s">
        <v>424</v>
      </c>
      <c r="H3320" t="s">
        <v>430</v>
      </c>
      <c r="I3320" t="s">
        <v>425</v>
      </c>
      <c r="J3320" t="s">
        <v>426</v>
      </c>
      <c r="L3320" t="s">
        <v>423</v>
      </c>
      <c r="M3320" t="s">
        <v>421</v>
      </c>
    </row>
    <row r="3321" spans="1:13" ht="15" customHeight="1" x14ac:dyDescent="0.25">
      <c r="A3321" s="82">
        <v>45596</v>
      </c>
      <c r="B3321" t="s">
        <v>427</v>
      </c>
      <c r="C3321" t="s">
        <v>455</v>
      </c>
      <c r="D3321" t="s">
        <v>421</v>
      </c>
      <c r="E3321" t="s">
        <v>429</v>
      </c>
      <c r="F3321" t="s">
        <v>428</v>
      </c>
      <c r="G3321" t="s">
        <v>424</v>
      </c>
      <c r="H3321" t="s">
        <v>430</v>
      </c>
      <c r="I3321" t="s">
        <v>425</v>
      </c>
      <c r="J3321" t="s">
        <v>426</v>
      </c>
      <c r="L3321" t="s">
        <v>423</v>
      </c>
      <c r="M3321" t="s">
        <v>421</v>
      </c>
    </row>
    <row r="3322" spans="1:13" ht="15" customHeight="1" x14ac:dyDescent="0.25">
      <c r="A3322" s="82">
        <v>45597</v>
      </c>
      <c r="B3322" t="s">
        <v>455</v>
      </c>
      <c r="C3322" t="s">
        <v>424</v>
      </c>
      <c r="D3322" t="s">
        <v>429</v>
      </c>
      <c r="E3322" t="s">
        <v>426</v>
      </c>
      <c r="F3322" t="s">
        <v>425</v>
      </c>
      <c r="G3322" t="s">
        <v>424</v>
      </c>
      <c r="H3322" t="s">
        <v>421</v>
      </c>
      <c r="I3322" t="s">
        <v>425</v>
      </c>
      <c r="J3322" t="s">
        <v>427</v>
      </c>
      <c r="L3322" t="s">
        <v>421</v>
      </c>
      <c r="M3322" t="s">
        <v>423</v>
      </c>
    </row>
    <row r="3323" spans="1:13" ht="15" customHeight="1" x14ac:dyDescent="0.25">
      <c r="A3323" s="82">
        <v>45598</v>
      </c>
      <c r="B3323" t="s">
        <v>428</v>
      </c>
      <c r="C3323" t="s">
        <v>424</v>
      </c>
      <c r="D3323" t="s">
        <v>429</v>
      </c>
      <c r="E3323" t="s">
        <v>426</v>
      </c>
      <c r="F3323" t="s">
        <v>425</v>
      </c>
      <c r="G3323" t="s">
        <v>430</v>
      </c>
      <c r="H3323" t="s">
        <v>427</v>
      </c>
      <c r="I3323" t="s">
        <v>421</v>
      </c>
      <c r="J3323" t="s">
        <v>455</v>
      </c>
      <c r="L3323" t="s">
        <v>421</v>
      </c>
      <c r="M3323" t="s">
        <v>423</v>
      </c>
    </row>
    <row r="3324" spans="1:13" ht="15" customHeight="1" x14ac:dyDescent="0.25">
      <c r="A3324" s="82">
        <v>45599</v>
      </c>
      <c r="B3324" t="s">
        <v>428</v>
      </c>
      <c r="C3324" t="s">
        <v>424</v>
      </c>
      <c r="D3324" t="s">
        <v>429</v>
      </c>
      <c r="E3324" t="s">
        <v>426</v>
      </c>
      <c r="F3324" t="s">
        <v>425</v>
      </c>
      <c r="G3324" t="s">
        <v>430</v>
      </c>
      <c r="H3324" t="s">
        <v>455</v>
      </c>
      <c r="I3324" t="s">
        <v>421</v>
      </c>
      <c r="J3324" t="s">
        <v>427</v>
      </c>
      <c r="L3324" t="s">
        <v>421</v>
      </c>
      <c r="M3324" t="s">
        <v>423</v>
      </c>
    </row>
    <row r="3325" spans="1:13" ht="15" customHeight="1" x14ac:dyDescent="0.25">
      <c r="A3325" s="82">
        <v>45600</v>
      </c>
      <c r="B3325" t="s">
        <v>428</v>
      </c>
      <c r="C3325" t="s">
        <v>424</v>
      </c>
      <c r="D3325" t="s">
        <v>429</v>
      </c>
      <c r="E3325" t="s">
        <v>426</v>
      </c>
      <c r="F3325" t="s">
        <v>425</v>
      </c>
      <c r="G3325" t="s">
        <v>430</v>
      </c>
      <c r="H3325" t="s">
        <v>421</v>
      </c>
      <c r="I3325" t="s">
        <v>427</v>
      </c>
      <c r="J3325" t="s">
        <v>455</v>
      </c>
      <c r="L3325" t="s">
        <v>421</v>
      </c>
      <c r="M3325" t="s">
        <v>423</v>
      </c>
    </row>
    <row r="3326" spans="1:13" ht="15" customHeight="1" x14ac:dyDescent="0.25">
      <c r="A3326" s="82">
        <v>45601</v>
      </c>
      <c r="B3326" t="s">
        <v>428</v>
      </c>
      <c r="C3326" t="s">
        <v>424</v>
      </c>
      <c r="D3326" t="s">
        <v>429</v>
      </c>
      <c r="E3326" t="s">
        <v>426</v>
      </c>
      <c r="F3326" t="s">
        <v>425</v>
      </c>
      <c r="G3326" t="s">
        <v>430</v>
      </c>
      <c r="H3326" t="s">
        <v>427</v>
      </c>
      <c r="I3326" t="s">
        <v>455</v>
      </c>
      <c r="J3326" t="s">
        <v>421</v>
      </c>
      <c r="L3326" t="s">
        <v>421</v>
      </c>
      <c r="M3326" t="s">
        <v>423</v>
      </c>
    </row>
    <row r="3327" spans="1:13" ht="15" customHeight="1" x14ac:dyDescent="0.25">
      <c r="A3327" s="82">
        <v>45602</v>
      </c>
      <c r="B3327" t="s">
        <v>428</v>
      </c>
      <c r="C3327" t="s">
        <v>424</v>
      </c>
      <c r="D3327" t="s">
        <v>429</v>
      </c>
      <c r="E3327" t="s">
        <v>426</v>
      </c>
      <c r="F3327" t="s">
        <v>425</v>
      </c>
      <c r="G3327" t="s">
        <v>430</v>
      </c>
      <c r="H3327" t="s">
        <v>455</v>
      </c>
      <c r="I3327" t="s">
        <v>427</v>
      </c>
      <c r="J3327" t="s">
        <v>421</v>
      </c>
      <c r="L3327" t="s">
        <v>421</v>
      </c>
      <c r="M3327" t="s">
        <v>423</v>
      </c>
    </row>
    <row r="3328" spans="1:13" ht="15" customHeight="1" x14ac:dyDescent="0.25">
      <c r="A3328" s="82">
        <v>45603</v>
      </c>
      <c r="B3328" t="s">
        <v>428</v>
      </c>
      <c r="C3328" t="s">
        <v>424</v>
      </c>
      <c r="D3328" t="s">
        <v>429</v>
      </c>
      <c r="E3328" t="s">
        <v>426</v>
      </c>
      <c r="F3328" t="s">
        <v>425</v>
      </c>
      <c r="G3328" t="s">
        <v>430</v>
      </c>
      <c r="H3328" t="s">
        <v>421</v>
      </c>
      <c r="I3328" t="s">
        <v>455</v>
      </c>
      <c r="J3328" t="s">
        <v>427</v>
      </c>
      <c r="L3328" t="s">
        <v>423</v>
      </c>
      <c r="M3328" t="s">
        <v>421</v>
      </c>
    </row>
    <row r="3329" spans="1:13" ht="15" customHeight="1" x14ac:dyDescent="0.25">
      <c r="A3329" s="82">
        <v>45604</v>
      </c>
      <c r="B3329" t="s">
        <v>425</v>
      </c>
      <c r="C3329" t="s">
        <v>424</v>
      </c>
      <c r="D3329" t="s">
        <v>426</v>
      </c>
      <c r="E3329" t="s">
        <v>427</v>
      </c>
      <c r="F3329" t="s">
        <v>425</v>
      </c>
      <c r="G3329" t="s">
        <v>421</v>
      </c>
      <c r="H3329" t="s">
        <v>429</v>
      </c>
      <c r="I3329" t="s">
        <v>424</v>
      </c>
      <c r="J3329" t="s">
        <v>455</v>
      </c>
      <c r="L3329" t="s">
        <v>423</v>
      </c>
      <c r="M3329" t="s">
        <v>421</v>
      </c>
    </row>
    <row r="3330" spans="1:13" ht="15" customHeight="1" x14ac:dyDescent="0.25">
      <c r="A3330" s="82">
        <v>45605</v>
      </c>
      <c r="B3330" t="s">
        <v>425</v>
      </c>
      <c r="C3330" t="s">
        <v>430</v>
      </c>
      <c r="D3330" t="s">
        <v>426</v>
      </c>
      <c r="E3330" t="s">
        <v>455</v>
      </c>
      <c r="F3330" t="s">
        <v>421</v>
      </c>
      <c r="G3330" t="s">
        <v>427</v>
      </c>
      <c r="H3330" t="s">
        <v>429</v>
      </c>
      <c r="I3330" t="s">
        <v>424</v>
      </c>
      <c r="J3330" t="s">
        <v>428</v>
      </c>
      <c r="L3330" t="s">
        <v>423</v>
      </c>
      <c r="M3330" t="s">
        <v>421</v>
      </c>
    </row>
    <row r="3331" spans="1:13" ht="15" customHeight="1" x14ac:dyDescent="0.25">
      <c r="A3331" s="82">
        <v>45606</v>
      </c>
      <c r="B3331" t="s">
        <v>425</v>
      </c>
      <c r="C3331" t="s">
        <v>430</v>
      </c>
      <c r="D3331" t="s">
        <v>426</v>
      </c>
      <c r="E3331" t="s">
        <v>427</v>
      </c>
      <c r="F3331" t="s">
        <v>421</v>
      </c>
      <c r="G3331" t="s">
        <v>455</v>
      </c>
      <c r="H3331" t="s">
        <v>429</v>
      </c>
      <c r="I3331" t="s">
        <v>424</v>
      </c>
      <c r="J3331" t="s">
        <v>428</v>
      </c>
      <c r="L3331" t="s">
        <v>423</v>
      </c>
      <c r="M3331" t="s">
        <v>421</v>
      </c>
    </row>
    <row r="3332" spans="1:13" ht="15" customHeight="1" x14ac:dyDescent="0.25">
      <c r="A3332" s="82">
        <v>45607</v>
      </c>
      <c r="B3332" t="s">
        <v>425</v>
      </c>
      <c r="C3332" t="s">
        <v>430</v>
      </c>
      <c r="D3332" t="s">
        <v>426</v>
      </c>
      <c r="E3332" t="s">
        <v>455</v>
      </c>
      <c r="F3332" t="s">
        <v>427</v>
      </c>
      <c r="G3332" t="s">
        <v>421</v>
      </c>
      <c r="H3332" t="s">
        <v>429</v>
      </c>
      <c r="I3332" t="s">
        <v>424</v>
      </c>
      <c r="J3332" t="s">
        <v>428</v>
      </c>
      <c r="L3332" t="s">
        <v>423</v>
      </c>
      <c r="M3332" t="s">
        <v>421</v>
      </c>
    </row>
    <row r="3333" spans="1:13" ht="15" customHeight="1" x14ac:dyDescent="0.25">
      <c r="A3333" s="82">
        <v>45608</v>
      </c>
      <c r="B3333" t="s">
        <v>425</v>
      </c>
      <c r="C3333" t="s">
        <v>430</v>
      </c>
      <c r="D3333" t="s">
        <v>426</v>
      </c>
      <c r="E3333" t="s">
        <v>421</v>
      </c>
      <c r="F3333" t="s">
        <v>455</v>
      </c>
      <c r="G3333" t="s">
        <v>427</v>
      </c>
      <c r="H3333" t="s">
        <v>429</v>
      </c>
      <c r="I3333" t="s">
        <v>424</v>
      </c>
      <c r="J3333" t="s">
        <v>428</v>
      </c>
      <c r="L3333" t="s">
        <v>423</v>
      </c>
      <c r="M3333" t="s">
        <v>421</v>
      </c>
    </row>
    <row r="3334" spans="1:13" ht="15" customHeight="1" x14ac:dyDescent="0.25">
      <c r="A3334" s="82">
        <v>45609</v>
      </c>
      <c r="B3334" t="s">
        <v>425</v>
      </c>
      <c r="C3334" t="s">
        <v>430</v>
      </c>
      <c r="D3334" t="s">
        <v>426</v>
      </c>
      <c r="E3334" t="s">
        <v>421</v>
      </c>
      <c r="F3334" t="s">
        <v>427</v>
      </c>
      <c r="G3334" t="s">
        <v>455</v>
      </c>
      <c r="H3334" t="s">
        <v>429</v>
      </c>
      <c r="I3334" t="s">
        <v>424</v>
      </c>
      <c r="J3334" t="s">
        <v>428</v>
      </c>
      <c r="L3334" t="s">
        <v>421</v>
      </c>
      <c r="M3334" t="s">
        <v>423</v>
      </c>
    </row>
    <row r="3335" spans="1:13" ht="15" customHeight="1" x14ac:dyDescent="0.25">
      <c r="A3335" s="82">
        <v>45610</v>
      </c>
      <c r="B3335" t="s">
        <v>425</v>
      </c>
      <c r="C3335" t="s">
        <v>430</v>
      </c>
      <c r="D3335" t="s">
        <v>426</v>
      </c>
      <c r="E3335" t="s">
        <v>427</v>
      </c>
      <c r="F3335" t="s">
        <v>455</v>
      </c>
      <c r="G3335" t="s">
        <v>421</v>
      </c>
      <c r="H3335" t="s">
        <v>429</v>
      </c>
      <c r="I3335" t="s">
        <v>424</v>
      </c>
      <c r="J3335" t="s">
        <v>428</v>
      </c>
      <c r="L3335" t="s">
        <v>421</v>
      </c>
      <c r="M3335" t="s">
        <v>423</v>
      </c>
    </row>
    <row r="3336" spans="1:13" ht="15" customHeight="1" x14ac:dyDescent="0.25">
      <c r="A3336" s="82">
        <v>45611</v>
      </c>
      <c r="B3336" t="s">
        <v>425</v>
      </c>
      <c r="C3336" t="s">
        <v>421</v>
      </c>
      <c r="D3336" t="s">
        <v>427</v>
      </c>
      <c r="E3336" t="s">
        <v>455</v>
      </c>
      <c r="F3336" t="s">
        <v>424</v>
      </c>
      <c r="G3336" t="s">
        <v>429</v>
      </c>
      <c r="H3336" t="s">
        <v>426</v>
      </c>
      <c r="I3336" t="s">
        <v>424</v>
      </c>
      <c r="J3336" t="s">
        <v>425</v>
      </c>
      <c r="L3336" t="s">
        <v>421</v>
      </c>
      <c r="M3336" t="s">
        <v>428</v>
      </c>
    </row>
    <row r="3337" spans="1:13" ht="15" customHeight="1" x14ac:dyDescent="0.25">
      <c r="A3337" s="82">
        <v>45612</v>
      </c>
      <c r="B3337" t="s">
        <v>421</v>
      </c>
      <c r="C3337" t="s">
        <v>427</v>
      </c>
      <c r="D3337" t="s">
        <v>455</v>
      </c>
      <c r="E3337" t="s">
        <v>428</v>
      </c>
      <c r="F3337" t="s">
        <v>424</v>
      </c>
      <c r="G3337" t="s">
        <v>429</v>
      </c>
      <c r="H3337" t="s">
        <v>426</v>
      </c>
      <c r="I3337" t="s">
        <v>430</v>
      </c>
      <c r="J3337" t="s">
        <v>425</v>
      </c>
      <c r="L3337" t="s">
        <v>421</v>
      </c>
      <c r="M3337" t="s">
        <v>428</v>
      </c>
    </row>
    <row r="3338" spans="1:13" ht="15" customHeight="1" x14ac:dyDescent="0.25">
      <c r="A3338" s="82">
        <v>45613</v>
      </c>
      <c r="B3338" t="s">
        <v>421</v>
      </c>
      <c r="C3338" t="s">
        <v>455</v>
      </c>
      <c r="D3338" t="s">
        <v>427</v>
      </c>
      <c r="E3338" t="s">
        <v>428</v>
      </c>
      <c r="F3338" t="s">
        <v>424</v>
      </c>
      <c r="G3338" t="s">
        <v>429</v>
      </c>
      <c r="H3338" t="s">
        <v>426</v>
      </c>
      <c r="I3338" t="s">
        <v>430</v>
      </c>
      <c r="J3338" t="s">
        <v>425</v>
      </c>
      <c r="L3338" t="s">
        <v>421</v>
      </c>
      <c r="M3338" t="s">
        <v>428</v>
      </c>
    </row>
    <row r="3339" spans="1:13" ht="15" customHeight="1" x14ac:dyDescent="0.25">
      <c r="A3339" s="82">
        <v>45614</v>
      </c>
      <c r="B3339" t="s">
        <v>427</v>
      </c>
      <c r="C3339" t="s">
        <v>421</v>
      </c>
      <c r="D3339" t="s">
        <v>455</v>
      </c>
      <c r="E3339" t="s">
        <v>428</v>
      </c>
      <c r="F3339" t="s">
        <v>424</v>
      </c>
      <c r="G3339" t="s">
        <v>429</v>
      </c>
      <c r="H3339" t="s">
        <v>426</v>
      </c>
      <c r="I3339" t="s">
        <v>430</v>
      </c>
      <c r="J3339" t="s">
        <v>425</v>
      </c>
      <c r="L3339" t="s">
        <v>421</v>
      </c>
      <c r="M3339" t="s">
        <v>428</v>
      </c>
    </row>
    <row r="3340" spans="1:13" ht="15" customHeight="1" x14ac:dyDescent="0.25">
      <c r="A3340" s="82">
        <v>45615</v>
      </c>
      <c r="B3340" t="s">
        <v>455</v>
      </c>
      <c r="C3340" t="s">
        <v>427</v>
      </c>
      <c r="D3340" t="s">
        <v>421</v>
      </c>
      <c r="E3340" t="s">
        <v>428</v>
      </c>
      <c r="F3340" t="s">
        <v>424</v>
      </c>
      <c r="G3340" t="s">
        <v>429</v>
      </c>
      <c r="H3340" t="s">
        <v>426</v>
      </c>
      <c r="I3340" t="s">
        <v>430</v>
      </c>
      <c r="J3340" t="s">
        <v>425</v>
      </c>
      <c r="L3340" t="s">
        <v>423</v>
      </c>
      <c r="M3340" t="s">
        <v>421</v>
      </c>
    </row>
    <row r="3341" spans="1:13" ht="15" customHeight="1" x14ac:dyDescent="0.25">
      <c r="A3341" s="82">
        <v>45616</v>
      </c>
      <c r="B3341" t="s">
        <v>427</v>
      </c>
      <c r="C3341" t="s">
        <v>455</v>
      </c>
      <c r="D3341" t="s">
        <v>421</v>
      </c>
      <c r="E3341" t="s">
        <v>428</v>
      </c>
      <c r="F3341" t="s">
        <v>424</v>
      </c>
      <c r="G3341" t="s">
        <v>429</v>
      </c>
      <c r="H3341" t="s">
        <v>426</v>
      </c>
      <c r="I3341" t="s">
        <v>430</v>
      </c>
      <c r="J3341" t="s">
        <v>425</v>
      </c>
      <c r="L3341" t="s">
        <v>423</v>
      </c>
      <c r="M3341" t="s">
        <v>421</v>
      </c>
    </row>
    <row r="3342" spans="1:13" ht="15" customHeight="1" x14ac:dyDescent="0.25">
      <c r="A3342" s="82">
        <v>45617</v>
      </c>
      <c r="B3342" t="s">
        <v>455</v>
      </c>
      <c r="C3342" t="s">
        <v>421</v>
      </c>
      <c r="D3342" t="s">
        <v>427</v>
      </c>
      <c r="E3342" t="s">
        <v>428</v>
      </c>
      <c r="F3342" t="s">
        <v>424</v>
      </c>
      <c r="G3342" t="s">
        <v>429</v>
      </c>
      <c r="H3342" t="s">
        <v>426</v>
      </c>
      <c r="I3342" t="s">
        <v>430</v>
      </c>
      <c r="J3342" t="s">
        <v>425</v>
      </c>
      <c r="L3342" t="s">
        <v>423</v>
      </c>
      <c r="M3342" t="s">
        <v>421</v>
      </c>
    </row>
    <row r="3343" spans="1:13" ht="15" customHeight="1" x14ac:dyDescent="0.25">
      <c r="A3343" s="82">
        <v>45618</v>
      </c>
      <c r="B3343" t="s">
        <v>424</v>
      </c>
      <c r="C3343" t="s">
        <v>429</v>
      </c>
      <c r="D3343" t="s">
        <v>455</v>
      </c>
      <c r="E3343" t="s">
        <v>425</v>
      </c>
      <c r="F3343" t="s">
        <v>424</v>
      </c>
      <c r="G3343" t="s">
        <v>426</v>
      </c>
      <c r="H3343" t="s">
        <v>427</v>
      </c>
      <c r="I3343" t="s">
        <v>421</v>
      </c>
      <c r="J3343" t="s">
        <v>425</v>
      </c>
      <c r="L3343" t="s">
        <v>423</v>
      </c>
      <c r="M3343" t="s">
        <v>421</v>
      </c>
    </row>
    <row r="3344" spans="1:13" ht="15" customHeight="1" x14ac:dyDescent="0.25">
      <c r="A3344" s="82">
        <v>45619</v>
      </c>
      <c r="B3344" t="s">
        <v>424</v>
      </c>
      <c r="C3344" t="s">
        <v>429</v>
      </c>
      <c r="D3344" t="s">
        <v>428</v>
      </c>
      <c r="E3344" t="s">
        <v>425</v>
      </c>
      <c r="F3344" t="s">
        <v>430</v>
      </c>
      <c r="G3344" t="s">
        <v>426</v>
      </c>
      <c r="H3344" t="s">
        <v>455</v>
      </c>
      <c r="I3344" t="s">
        <v>427</v>
      </c>
      <c r="J3344" t="s">
        <v>421</v>
      </c>
      <c r="L3344" t="s">
        <v>423</v>
      </c>
      <c r="M3344" t="s">
        <v>421</v>
      </c>
    </row>
    <row r="3345" spans="1:13" ht="15" customHeight="1" x14ac:dyDescent="0.25">
      <c r="A3345" s="82">
        <v>45620</v>
      </c>
      <c r="B3345" t="s">
        <v>424</v>
      </c>
      <c r="C3345" t="s">
        <v>429</v>
      </c>
      <c r="D3345" t="s">
        <v>428</v>
      </c>
      <c r="E3345" t="s">
        <v>425</v>
      </c>
      <c r="F3345" t="s">
        <v>430</v>
      </c>
      <c r="G3345" t="s">
        <v>426</v>
      </c>
      <c r="H3345" t="s">
        <v>427</v>
      </c>
      <c r="I3345" t="s">
        <v>455</v>
      </c>
      <c r="J3345" t="s">
        <v>421</v>
      </c>
      <c r="L3345" t="s">
        <v>423</v>
      </c>
      <c r="M3345" t="s">
        <v>421</v>
      </c>
    </row>
    <row r="3346" spans="1:13" ht="15" customHeight="1" x14ac:dyDescent="0.25">
      <c r="A3346" s="82">
        <v>45621</v>
      </c>
      <c r="B3346" t="s">
        <v>424</v>
      </c>
      <c r="C3346" t="s">
        <v>429</v>
      </c>
      <c r="D3346" t="s">
        <v>428</v>
      </c>
      <c r="E3346" t="s">
        <v>425</v>
      </c>
      <c r="F3346" t="s">
        <v>430</v>
      </c>
      <c r="G3346" t="s">
        <v>426</v>
      </c>
      <c r="H3346" t="s">
        <v>455</v>
      </c>
      <c r="I3346" t="s">
        <v>421</v>
      </c>
      <c r="J3346" t="s">
        <v>427</v>
      </c>
      <c r="L3346" t="s">
        <v>421</v>
      </c>
      <c r="M3346" t="s">
        <v>423</v>
      </c>
    </row>
    <row r="3347" spans="1:13" ht="15" customHeight="1" x14ac:dyDescent="0.25">
      <c r="A3347" s="82">
        <v>45622</v>
      </c>
      <c r="B3347" t="s">
        <v>424</v>
      </c>
      <c r="C3347" t="s">
        <v>429</v>
      </c>
      <c r="D3347" t="s">
        <v>428</v>
      </c>
      <c r="E3347" t="s">
        <v>425</v>
      </c>
      <c r="F3347" t="s">
        <v>430</v>
      </c>
      <c r="G3347" t="s">
        <v>426</v>
      </c>
      <c r="H3347" t="s">
        <v>421</v>
      </c>
      <c r="I3347" t="s">
        <v>427</v>
      </c>
      <c r="J3347" t="s">
        <v>455</v>
      </c>
      <c r="L3347" t="s">
        <v>421</v>
      </c>
      <c r="M3347" t="s">
        <v>423</v>
      </c>
    </row>
    <row r="3348" spans="1:13" ht="15" customHeight="1" x14ac:dyDescent="0.25">
      <c r="A3348" s="82">
        <v>45623</v>
      </c>
      <c r="B3348" t="s">
        <v>424</v>
      </c>
      <c r="C3348" t="s">
        <v>429</v>
      </c>
      <c r="D3348" t="s">
        <v>428</v>
      </c>
      <c r="E3348" t="s">
        <v>425</v>
      </c>
      <c r="F3348" t="s">
        <v>430</v>
      </c>
      <c r="G3348" t="s">
        <v>426</v>
      </c>
      <c r="H3348" t="s">
        <v>421</v>
      </c>
      <c r="I3348" t="s">
        <v>455</v>
      </c>
      <c r="J3348" t="s">
        <v>427</v>
      </c>
      <c r="L3348" t="s">
        <v>421</v>
      </c>
      <c r="M3348" t="s">
        <v>423</v>
      </c>
    </row>
    <row r="3349" spans="1:13" ht="15" customHeight="1" x14ac:dyDescent="0.25">
      <c r="A3349" s="82">
        <v>45624</v>
      </c>
      <c r="B3349" t="s">
        <v>424</v>
      </c>
      <c r="C3349" t="s">
        <v>429</v>
      </c>
      <c r="D3349" t="s">
        <v>428</v>
      </c>
      <c r="E3349" t="s">
        <v>425</v>
      </c>
      <c r="F3349" t="s">
        <v>430</v>
      </c>
      <c r="G3349" t="s">
        <v>426</v>
      </c>
      <c r="H3349" t="s">
        <v>427</v>
      </c>
      <c r="I3349" t="s">
        <v>421</v>
      </c>
      <c r="J3349" t="s">
        <v>455</v>
      </c>
      <c r="L3349" t="s">
        <v>421</v>
      </c>
      <c r="M3349" t="s">
        <v>423</v>
      </c>
    </row>
    <row r="3350" spans="1:13" ht="15" customHeight="1" x14ac:dyDescent="0.25">
      <c r="A3350" s="82">
        <v>45625</v>
      </c>
      <c r="B3350" t="s">
        <v>424</v>
      </c>
      <c r="C3350" t="s">
        <v>426</v>
      </c>
      <c r="D3350" t="s">
        <v>425</v>
      </c>
      <c r="E3350" t="s">
        <v>425</v>
      </c>
      <c r="F3350" t="s">
        <v>421</v>
      </c>
      <c r="G3350" t="s">
        <v>427</v>
      </c>
      <c r="H3350" t="s">
        <v>455</v>
      </c>
      <c r="I3350" t="s">
        <v>429</v>
      </c>
      <c r="J3350" t="s">
        <v>424</v>
      </c>
      <c r="L3350" t="s">
        <v>423</v>
      </c>
      <c r="M3350" t="s">
        <v>421</v>
      </c>
    </row>
    <row r="3351" spans="1:13" ht="15" customHeight="1" x14ac:dyDescent="0.25">
      <c r="A3351" s="82">
        <v>45626</v>
      </c>
      <c r="B3351" t="s">
        <v>430</v>
      </c>
      <c r="C3351" t="s">
        <v>426</v>
      </c>
      <c r="D3351" t="s">
        <v>425</v>
      </c>
      <c r="E3351" t="s">
        <v>421</v>
      </c>
      <c r="F3351" t="s">
        <v>427</v>
      </c>
      <c r="G3351" t="s">
        <v>455</v>
      </c>
      <c r="H3351" t="s">
        <v>428</v>
      </c>
      <c r="I3351" t="s">
        <v>429</v>
      </c>
      <c r="J3351" t="s">
        <v>424</v>
      </c>
      <c r="L3351" t="s">
        <v>423</v>
      </c>
      <c r="M3351" t="s">
        <v>421</v>
      </c>
    </row>
    <row r="3352" spans="1:13" ht="15" customHeight="1" x14ac:dyDescent="0.25">
      <c r="A3352" s="82">
        <v>45627</v>
      </c>
      <c r="B3352" t="s">
        <v>430</v>
      </c>
      <c r="C3352" t="s">
        <v>426</v>
      </c>
      <c r="D3352" t="s">
        <v>425</v>
      </c>
      <c r="E3352" t="s">
        <v>421</v>
      </c>
      <c r="F3352" t="s">
        <v>455</v>
      </c>
      <c r="G3352" t="s">
        <v>427</v>
      </c>
      <c r="H3352" t="s">
        <v>428</v>
      </c>
      <c r="I3352" t="s">
        <v>429</v>
      </c>
      <c r="J3352" t="s">
        <v>424</v>
      </c>
      <c r="L3352" t="s">
        <v>423</v>
      </c>
      <c r="M3352" t="s">
        <v>421</v>
      </c>
    </row>
    <row r="3353" spans="1:13" ht="15" customHeight="1" x14ac:dyDescent="0.25">
      <c r="A3353" s="82">
        <v>45628</v>
      </c>
      <c r="B3353" t="s">
        <v>430</v>
      </c>
      <c r="C3353" t="s">
        <v>426</v>
      </c>
      <c r="D3353" t="s">
        <v>425</v>
      </c>
      <c r="E3353" t="s">
        <v>427</v>
      </c>
      <c r="F3353" t="s">
        <v>421</v>
      </c>
      <c r="G3353" t="s">
        <v>455</v>
      </c>
      <c r="H3353" t="s">
        <v>428</v>
      </c>
      <c r="I3353" t="s">
        <v>429</v>
      </c>
      <c r="J3353" t="s">
        <v>424</v>
      </c>
      <c r="L3353" t="s">
        <v>423</v>
      </c>
      <c r="M3353" t="s">
        <v>421</v>
      </c>
    </row>
    <row r="3354" spans="1:13" ht="15" customHeight="1" x14ac:dyDescent="0.25">
      <c r="A3354" s="82">
        <v>45629</v>
      </c>
      <c r="B3354" t="s">
        <v>430</v>
      </c>
      <c r="C3354" t="s">
        <v>426</v>
      </c>
      <c r="D3354" t="s">
        <v>425</v>
      </c>
      <c r="E3354" t="s">
        <v>455</v>
      </c>
      <c r="F3354" t="s">
        <v>427</v>
      </c>
      <c r="G3354" t="s">
        <v>421</v>
      </c>
      <c r="H3354" t="s">
        <v>428</v>
      </c>
      <c r="I3354" t="s">
        <v>429</v>
      </c>
      <c r="J3354" t="s">
        <v>424</v>
      </c>
      <c r="L3354" t="s">
        <v>423</v>
      </c>
      <c r="M3354" t="s">
        <v>421</v>
      </c>
    </row>
    <row r="3355" spans="1:13" ht="15" customHeight="1" x14ac:dyDescent="0.25">
      <c r="A3355" s="82">
        <v>45630</v>
      </c>
      <c r="B3355" t="s">
        <v>430</v>
      </c>
      <c r="C3355" t="s">
        <v>426</v>
      </c>
      <c r="D3355" t="s">
        <v>425</v>
      </c>
      <c r="E3355" t="s">
        <v>427</v>
      </c>
      <c r="F3355" t="s">
        <v>455</v>
      </c>
      <c r="G3355" t="s">
        <v>421</v>
      </c>
      <c r="H3355" t="s">
        <v>428</v>
      </c>
      <c r="I3355" t="s">
        <v>429</v>
      </c>
      <c r="J3355" t="s">
        <v>424</v>
      </c>
      <c r="L3355" t="s">
        <v>423</v>
      </c>
      <c r="M3355" t="s">
        <v>421</v>
      </c>
    </row>
    <row r="3356" spans="1:13" ht="15" customHeight="1" x14ac:dyDescent="0.25">
      <c r="A3356" s="82">
        <v>45631</v>
      </c>
      <c r="B3356" t="s">
        <v>430</v>
      </c>
      <c r="C3356" t="s">
        <v>426</v>
      </c>
      <c r="D3356" t="s">
        <v>425</v>
      </c>
      <c r="E3356" t="s">
        <v>455</v>
      </c>
      <c r="F3356" t="s">
        <v>421</v>
      </c>
      <c r="G3356" t="s">
        <v>427</v>
      </c>
      <c r="H3356" t="s">
        <v>428</v>
      </c>
      <c r="I3356" t="s">
        <v>429</v>
      </c>
      <c r="J3356" t="s">
        <v>424</v>
      </c>
      <c r="L3356" t="s">
        <v>421</v>
      </c>
      <c r="M3356" t="s">
        <v>423</v>
      </c>
    </row>
    <row r="3357" spans="1:13" ht="15" customHeight="1" x14ac:dyDescent="0.25">
      <c r="A3357" s="82">
        <v>45632</v>
      </c>
      <c r="B3357" t="s">
        <v>421</v>
      </c>
      <c r="C3357" t="s">
        <v>427</v>
      </c>
      <c r="D3357" t="s">
        <v>425</v>
      </c>
      <c r="E3357" t="s">
        <v>424</v>
      </c>
      <c r="F3357" t="s">
        <v>429</v>
      </c>
      <c r="G3357" t="s">
        <v>455</v>
      </c>
      <c r="H3357" t="s">
        <v>425</v>
      </c>
      <c r="I3357" t="s">
        <v>426</v>
      </c>
      <c r="J3357" t="s">
        <v>424</v>
      </c>
      <c r="L3357" t="s">
        <v>421</v>
      </c>
      <c r="M3357" t="s">
        <v>423</v>
      </c>
    </row>
    <row r="3358" spans="1:13" ht="15" customHeight="1" x14ac:dyDescent="0.25">
      <c r="A3358" s="82">
        <v>45633</v>
      </c>
      <c r="B3358" t="s">
        <v>427</v>
      </c>
      <c r="C3358" t="s">
        <v>455</v>
      </c>
      <c r="D3358" t="s">
        <v>421</v>
      </c>
      <c r="E3358" t="s">
        <v>424</v>
      </c>
      <c r="F3358" t="s">
        <v>429</v>
      </c>
      <c r="G3358" t="s">
        <v>428</v>
      </c>
      <c r="H3358" t="s">
        <v>425</v>
      </c>
      <c r="I3358" t="s">
        <v>426</v>
      </c>
      <c r="J3358" t="s">
        <v>430</v>
      </c>
      <c r="L3358" t="s">
        <v>421</v>
      </c>
      <c r="M3358" t="s">
        <v>423</v>
      </c>
    </row>
    <row r="3359" spans="1:13" ht="15" customHeight="1" x14ac:dyDescent="0.25">
      <c r="A3359" s="82">
        <v>45634</v>
      </c>
      <c r="B3359" t="s">
        <v>455</v>
      </c>
      <c r="C3359" t="s">
        <v>427</v>
      </c>
      <c r="D3359" t="s">
        <v>421</v>
      </c>
      <c r="E3359" t="s">
        <v>424</v>
      </c>
      <c r="F3359" t="s">
        <v>429</v>
      </c>
      <c r="G3359" t="s">
        <v>428</v>
      </c>
      <c r="H3359" t="s">
        <v>425</v>
      </c>
      <c r="I3359" t="s">
        <v>426</v>
      </c>
      <c r="J3359" t="s">
        <v>430</v>
      </c>
      <c r="L3359" t="s">
        <v>421</v>
      </c>
      <c r="M3359" t="s">
        <v>423</v>
      </c>
    </row>
    <row r="3360" spans="1:13" ht="15" customHeight="1" x14ac:dyDescent="0.25">
      <c r="A3360" s="82">
        <v>45635</v>
      </c>
      <c r="B3360" t="s">
        <v>421</v>
      </c>
      <c r="C3360" t="s">
        <v>455</v>
      </c>
      <c r="D3360" t="s">
        <v>427</v>
      </c>
      <c r="E3360" t="s">
        <v>424</v>
      </c>
      <c r="F3360" t="s">
        <v>429</v>
      </c>
      <c r="G3360" t="s">
        <v>428</v>
      </c>
      <c r="H3360" t="s">
        <v>425</v>
      </c>
      <c r="I3360" t="s">
        <v>426</v>
      </c>
      <c r="J3360" t="s">
        <v>430</v>
      </c>
      <c r="L3360" t="s">
        <v>421</v>
      </c>
      <c r="M3360" t="s">
        <v>423</v>
      </c>
    </row>
    <row r="3361" spans="1:13" ht="15" customHeight="1" x14ac:dyDescent="0.25">
      <c r="A3361" s="82">
        <v>45636</v>
      </c>
      <c r="B3361" t="s">
        <v>427</v>
      </c>
      <c r="C3361" t="s">
        <v>421</v>
      </c>
      <c r="D3361" t="s">
        <v>455</v>
      </c>
      <c r="E3361" t="s">
        <v>424</v>
      </c>
      <c r="F3361" t="s">
        <v>429</v>
      </c>
      <c r="G3361" t="s">
        <v>428</v>
      </c>
      <c r="H3361" t="s">
        <v>425</v>
      </c>
      <c r="I3361" t="s">
        <v>426</v>
      </c>
      <c r="J3361" t="s">
        <v>430</v>
      </c>
      <c r="L3361" t="s">
        <v>421</v>
      </c>
      <c r="M3361" t="s">
        <v>423</v>
      </c>
    </row>
    <row r="3362" spans="1:13" ht="15" customHeight="1" x14ac:dyDescent="0.25">
      <c r="A3362" s="82">
        <v>45637</v>
      </c>
      <c r="B3362" t="s">
        <v>455</v>
      </c>
      <c r="C3362" t="s">
        <v>421</v>
      </c>
      <c r="D3362" t="s">
        <v>427</v>
      </c>
      <c r="E3362" t="s">
        <v>424</v>
      </c>
      <c r="F3362" t="s">
        <v>429</v>
      </c>
      <c r="G3362" t="s">
        <v>428</v>
      </c>
      <c r="H3362" t="s">
        <v>425</v>
      </c>
      <c r="I3362" t="s">
        <v>426</v>
      </c>
      <c r="J3362" t="s">
        <v>430</v>
      </c>
      <c r="L3362" t="s">
        <v>423</v>
      </c>
      <c r="M3362" t="s">
        <v>421</v>
      </c>
    </row>
    <row r="3363" spans="1:13" ht="15" customHeight="1" x14ac:dyDescent="0.25">
      <c r="A3363" s="82">
        <v>45638</v>
      </c>
      <c r="B3363" t="s">
        <v>421</v>
      </c>
      <c r="C3363" t="s">
        <v>427</v>
      </c>
      <c r="D3363" t="s">
        <v>455</v>
      </c>
      <c r="E3363" t="s">
        <v>424</v>
      </c>
      <c r="F3363" t="s">
        <v>429</v>
      </c>
      <c r="G3363" t="s">
        <v>428</v>
      </c>
      <c r="H3363" t="s">
        <v>425</v>
      </c>
      <c r="I3363" t="s">
        <v>426</v>
      </c>
      <c r="J3363" t="s">
        <v>430</v>
      </c>
      <c r="L3363" t="s">
        <v>423</v>
      </c>
      <c r="M3363" t="s">
        <v>421</v>
      </c>
    </row>
    <row r="3364" spans="1:13" ht="15" customHeight="1" x14ac:dyDescent="0.25">
      <c r="A3364" s="82">
        <v>45639</v>
      </c>
      <c r="B3364" t="s">
        <v>429</v>
      </c>
      <c r="C3364" t="s">
        <v>455</v>
      </c>
      <c r="D3364" t="s">
        <v>424</v>
      </c>
      <c r="E3364" t="s">
        <v>424</v>
      </c>
      <c r="F3364" t="s">
        <v>426</v>
      </c>
      <c r="G3364" t="s">
        <v>425</v>
      </c>
      <c r="H3364" t="s">
        <v>425</v>
      </c>
      <c r="I3364" t="s">
        <v>427</v>
      </c>
      <c r="J3364" t="s">
        <v>421</v>
      </c>
      <c r="L3364" t="s">
        <v>428</v>
      </c>
      <c r="M3364" t="s">
        <v>421</v>
      </c>
    </row>
    <row r="3365" spans="1:13" ht="15" customHeight="1" x14ac:dyDescent="0.25">
      <c r="A3365" s="82">
        <v>45640</v>
      </c>
      <c r="B3365" t="s">
        <v>429</v>
      </c>
      <c r="C3365" t="s">
        <v>428</v>
      </c>
      <c r="D3365" t="s">
        <v>424</v>
      </c>
      <c r="E3365" t="s">
        <v>430</v>
      </c>
      <c r="F3365" t="s">
        <v>426</v>
      </c>
      <c r="G3365" t="s">
        <v>425</v>
      </c>
      <c r="H3365" t="s">
        <v>421</v>
      </c>
      <c r="I3365" t="s">
        <v>455</v>
      </c>
      <c r="J3365" t="s">
        <v>427</v>
      </c>
      <c r="L3365" t="s">
        <v>428</v>
      </c>
      <c r="M3365" t="s">
        <v>421</v>
      </c>
    </row>
    <row r="3366" spans="1:13" ht="15" customHeight="1" x14ac:dyDescent="0.25">
      <c r="A3366" s="82">
        <v>45641</v>
      </c>
      <c r="B3366" t="s">
        <v>429</v>
      </c>
      <c r="C3366" t="s">
        <v>428</v>
      </c>
      <c r="D3366" t="s">
        <v>424</v>
      </c>
      <c r="E3366" t="s">
        <v>430</v>
      </c>
      <c r="F3366" t="s">
        <v>426</v>
      </c>
      <c r="G3366" t="s">
        <v>425</v>
      </c>
      <c r="H3366" t="s">
        <v>421</v>
      </c>
      <c r="I3366" t="s">
        <v>427</v>
      </c>
      <c r="J3366" t="s">
        <v>455</v>
      </c>
      <c r="L3366" t="s">
        <v>428</v>
      </c>
      <c r="M3366" t="s">
        <v>421</v>
      </c>
    </row>
    <row r="3367" spans="1:13" ht="15" customHeight="1" x14ac:dyDescent="0.25">
      <c r="A3367" s="82">
        <v>45642</v>
      </c>
      <c r="B3367" t="s">
        <v>429</v>
      </c>
      <c r="C3367" t="s">
        <v>428</v>
      </c>
      <c r="D3367" t="s">
        <v>424</v>
      </c>
      <c r="E3367" t="s">
        <v>430</v>
      </c>
      <c r="F3367" t="s">
        <v>426</v>
      </c>
      <c r="G3367" t="s">
        <v>425</v>
      </c>
      <c r="H3367" t="s">
        <v>427</v>
      </c>
      <c r="I3367" t="s">
        <v>455</v>
      </c>
      <c r="J3367" t="s">
        <v>421</v>
      </c>
      <c r="L3367" t="s">
        <v>428</v>
      </c>
      <c r="M3367" t="s">
        <v>421</v>
      </c>
    </row>
    <row r="3368" spans="1:13" ht="15" customHeight="1" x14ac:dyDescent="0.25">
      <c r="A3368" s="82">
        <v>45643</v>
      </c>
      <c r="B3368" t="s">
        <v>429</v>
      </c>
      <c r="C3368" t="s">
        <v>428</v>
      </c>
      <c r="D3368" t="s">
        <v>424</v>
      </c>
      <c r="E3368" t="s">
        <v>430</v>
      </c>
      <c r="F3368" t="s">
        <v>426</v>
      </c>
      <c r="G3368" t="s">
        <v>425</v>
      </c>
      <c r="H3368" t="s">
        <v>455</v>
      </c>
      <c r="I3368" t="s">
        <v>421</v>
      </c>
      <c r="J3368" t="s">
        <v>427</v>
      </c>
      <c r="L3368" t="s">
        <v>421</v>
      </c>
      <c r="M3368" t="s">
        <v>423</v>
      </c>
    </row>
    <row r="3369" spans="1:13" ht="15" customHeight="1" x14ac:dyDescent="0.25">
      <c r="A3369" s="82">
        <v>45644</v>
      </c>
      <c r="B3369" t="s">
        <v>429</v>
      </c>
      <c r="C3369" t="s">
        <v>428</v>
      </c>
      <c r="D3369" t="s">
        <v>424</v>
      </c>
      <c r="E3369" t="s">
        <v>430</v>
      </c>
      <c r="F3369" t="s">
        <v>426</v>
      </c>
      <c r="G3369" t="s">
        <v>425</v>
      </c>
      <c r="H3369" t="s">
        <v>427</v>
      </c>
      <c r="I3369" t="s">
        <v>421</v>
      </c>
      <c r="J3369" t="s">
        <v>455</v>
      </c>
      <c r="L3369" t="s">
        <v>421</v>
      </c>
      <c r="M3369" t="s">
        <v>423</v>
      </c>
    </row>
    <row r="3370" spans="1:13" ht="15" customHeight="1" x14ac:dyDescent="0.25">
      <c r="A3370" s="82">
        <v>45645</v>
      </c>
      <c r="B3370" t="s">
        <v>429</v>
      </c>
      <c r="C3370" t="s">
        <v>428</v>
      </c>
      <c r="D3370" t="s">
        <v>424</v>
      </c>
      <c r="E3370" t="s">
        <v>430</v>
      </c>
      <c r="F3370" t="s">
        <v>426</v>
      </c>
      <c r="G3370" t="s">
        <v>425</v>
      </c>
      <c r="H3370" t="s">
        <v>455</v>
      </c>
      <c r="I3370" t="s">
        <v>427</v>
      </c>
      <c r="J3370" t="s">
        <v>421</v>
      </c>
      <c r="L3370" t="s">
        <v>421</v>
      </c>
      <c r="M3370" t="s">
        <v>423</v>
      </c>
    </row>
    <row r="3371" spans="1:13" ht="15" customHeight="1" x14ac:dyDescent="0.25">
      <c r="A3371" s="82">
        <v>45646</v>
      </c>
      <c r="B3371" t="s">
        <v>426</v>
      </c>
      <c r="C3371" t="s">
        <v>425</v>
      </c>
      <c r="D3371" t="s">
        <v>424</v>
      </c>
      <c r="E3371" t="s">
        <v>421</v>
      </c>
      <c r="F3371" t="s">
        <v>427</v>
      </c>
      <c r="G3371" t="s">
        <v>425</v>
      </c>
      <c r="H3371" t="s">
        <v>424</v>
      </c>
      <c r="I3371" t="s">
        <v>455</v>
      </c>
      <c r="J3371" t="s">
        <v>429</v>
      </c>
      <c r="L3371" t="s">
        <v>421</v>
      </c>
      <c r="M3371" t="s">
        <v>423</v>
      </c>
    </row>
    <row r="3372" spans="1:13" ht="15" customHeight="1" x14ac:dyDescent="0.25">
      <c r="A3372" s="82">
        <v>45647</v>
      </c>
      <c r="B3372" t="s">
        <v>426</v>
      </c>
      <c r="C3372" t="s">
        <v>425</v>
      </c>
      <c r="D3372" t="s">
        <v>430</v>
      </c>
      <c r="E3372" t="s">
        <v>427</v>
      </c>
      <c r="F3372" t="s">
        <v>455</v>
      </c>
      <c r="G3372" t="s">
        <v>421</v>
      </c>
      <c r="H3372" t="s">
        <v>424</v>
      </c>
      <c r="I3372" t="s">
        <v>428</v>
      </c>
      <c r="J3372" t="s">
        <v>429</v>
      </c>
      <c r="L3372" t="s">
        <v>421</v>
      </c>
      <c r="M3372" t="s">
        <v>423</v>
      </c>
    </row>
    <row r="3373" spans="1:13" ht="15" customHeight="1" x14ac:dyDescent="0.25">
      <c r="A3373" s="82">
        <v>45648</v>
      </c>
      <c r="B3373" t="s">
        <v>426</v>
      </c>
      <c r="C3373" t="s">
        <v>425</v>
      </c>
      <c r="D3373" t="s">
        <v>430</v>
      </c>
      <c r="E3373" t="s">
        <v>455</v>
      </c>
      <c r="F3373" t="s">
        <v>427</v>
      </c>
      <c r="G3373" t="s">
        <v>421</v>
      </c>
      <c r="H3373" t="s">
        <v>424</v>
      </c>
      <c r="I3373" t="s">
        <v>428</v>
      </c>
      <c r="J3373" t="s">
        <v>429</v>
      </c>
      <c r="L3373" t="s">
        <v>421</v>
      </c>
      <c r="M3373" t="s">
        <v>423</v>
      </c>
    </row>
    <row r="3374" spans="1:13" ht="15" customHeight="1" x14ac:dyDescent="0.25">
      <c r="A3374" s="82">
        <v>45649</v>
      </c>
      <c r="B3374" t="s">
        <v>426</v>
      </c>
      <c r="C3374" t="s">
        <v>425</v>
      </c>
      <c r="D3374" t="s">
        <v>430</v>
      </c>
      <c r="E3374" t="s">
        <v>427</v>
      </c>
      <c r="F3374" t="s">
        <v>455</v>
      </c>
      <c r="G3374" t="s">
        <v>421</v>
      </c>
      <c r="H3374" t="s">
        <v>424</v>
      </c>
      <c r="I3374" t="s">
        <v>428</v>
      </c>
      <c r="J3374" t="s">
        <v>429</v>
      </c>
      <c r="L3374" t="s">
        <v>423</v>
      </c>
      <c r="M3374" t="s">
        <v>421</v>
      </c>
    </row>
    <row r="3375" spans="1:13" ht="15" customHeight="1" x14ac:dyDescent="0.25">
      <c r="A3375" s="82">
        <v>45650</v>
      </c>
      <c r="B3375" t="s">
        <v>426</v>
      </c>
      <c r="C3375" t="s">
        <v>425</v>
      </c>
      <c r="D3375" t="s">
        <v>430</v>
      </c>
      <c r="E3375" t="s">
        <v>455</v>
      </c>
      <c r="F3375" t="s">
        <v>421</v>
      </c>
      <c r="G3375" t="s">
        <v>427</v>
      </c>
      <c r="H3375" t="s">
        <v>424</v>
      </c>
      <c r="I3375" t="s">
        <v>428</v>
      </c>
      <c r="J3375" t="s">
        <v>429</v>
      </c>
      <c r="L3375" t="s">
        <v>423</v>
      </c>
      <c r="M3375" t="s">
        <v>421</v>
      </c>
    </row>
    <row r="3376" spans="1:13" ht="15" customHeight="1" x14ac:dyDescent="0.25">
      <c r="A3376" s="82">
        <v>45651</v>
      </c>
      <c r="B3376" t="s">
        <v>426</v>
      </c>
      <c r="C3376" t="s">
        <v>425</v>
      </c>
      <c r="D3376" t="s">
        <v>430</v>
      </c>
      <c r="E3376" t="s">
        <v>427</v>
      </c>
      <c r="F3376" t="s">
        <v>421</v>
      </c>
      <c r="G3376" t="s">
        <v>455</v>
      </c>
      <c r="H3376" t="s">
        <v>424</v>
      </c>
      <c r="I3376" t="s">
        <v>428</v>
      </c>
      <c r="J3376" t="s">
        <v>429</v>
      </c>
      <c r="L3376" t="s">
        <v>423</v>
      </c>
      <c r="M3376" t="s">
        <v>421</v>
      </c>
    </row>
    <row r="3377" spans="1:13" ht="15" customHeight="1" x14ac:dyDescent="0.25">
      <c r="A3377" s="82">
        <v>45652</v>
      </c>
      <c r="B3377" t="s">
        <v>426</v>
      </c>
      <c r="C3377" t="s">
        <v>425</v>
      </c>
      <c r="D3377" t="s">
        <v>430</v>
      </c>
      <c r="E3377" t="s">
        <v>455</v>
      </c>
      <c r="F3377" t="s">
        <v>421</v>
      </c>
      <c r="G3377" t="s">
        <v>427</v>
      </c>
      <c r="H3377" t="s">
        <v>424</v>
      </c>
      <c r="I3377" t="s">
        <v>428</v>
      </c>
      <c r="J3377" t="s">
        <v>429</v>
      </c>
      <c r="L3377" t="s">
        <v>423</v>
      </c>
      <c r="M3377" t="s">
        <v>421</v>
      </c>
    </row>
    <row r="3378" spans="1:13" ht="15" customHeight="1" x14ac:dyDescent="0.25">
      <c r="A3378" s="82">
        <v>45653</v>
      </c>
      <c r="B3378" t="s">
        <v>427</v>
      </c>
      <c r="C3378" t="s">
        <v>425</v>
      </c>
      <c r="D3378" t="s">
        <v>421</v>
      </c>
      <c r="E3378" t="s">
        <v>430</v>
      </c>
      <c r="F3378" t="s">
        <v>429</v>
      </c>
      <c r="G3378" t="s">
        <v>455</v>
      </c>
      <c r="H3378" t="s">
        <v>424</v>
      </c>
      <c r="I3378" t="s">
        <v>425</v>
      </c>
      <c r="J3378" t="s">
        <v>426</v>
      </c>
      <c r="L3378" t="s">
        <v>421</v>
      </c>
      <c r="M3378" t="s">
        <v>423</v>
      </c>
    </row>
    <row r="3379" spans="1:13" ht="15" customHeight="1" x14ac:dyDescent="0.25">
      <c r="A3379" s="82">
        <v>45654</v>
      </c>
      <c r="B3379" t="s">
        <v>455</v>
      </c>
      <c r="C3379" t="s">
        <v>424</v>
      </c>
      <c r="D3379" t="s">
        <v>427</v>
      </c>
      <c r="E3379" t="s">
        <v>430</v>
      </c>
      <c r="F3379" t="s">
        <v>428</v>
      </c>
      <c r="G3379" t="s">
        <v>429</v>
      </c>
      <c r="H3379" t="s">
        <v>421</v>
      </c>
      <c r="I3379" t="s">
        <v>425</v>
      </c>
      <c r="J3379" t="s">
        <v>426</v>
      </c>
      <c r="L3379" t="s">
        <v>421</v>
      </c>
      <c r="M3379" t="s">
        <v>423</v>
      </c>
    </row>
    <row r="3380" spans="1:13" ht="15" customHeight="1" x14ac:dyDescent="0.25">
      <c r="A3380" s="82">
        <v>45655</v>
      </c>
      <c r="B3380" t="s">
        <v>427</v>
      </c>
      <c r="C3380" t="s">
        <v>424</v>
      </c>
      <c r="D3380" t="s">
        <v>455</v>
      </c>
      <c r="E3380" t="s">
        <v>430</v>
      </c>
      <c r="F3380" t="s">
        <v>428</v>
      </c>
      <c r="G3380" t="s">
        <v>429</v>
      </c>
      <c r="H3380" t="s">
        <v>421</v>
      </c>
      <c r="I3380" t="s">
        <v>425</v>
      </c>
      <c r="J3380" t="s">
        <v>426</v>
      </c>
      <c r="L3380" t="s">
        <v>421</v>
      </c>
      <c r="M3380" t="s">
        <v>423</v>
      </c>
    </row>
    <row r="3381" spans="1:13" ht="15" customHeight="1" x14ac:dyDescent="0.25">
      <c r="A3381" s="82">
        <v>45656</v>
      </c>
      <c r="B3381" t="s">
        <v>455</v>
      </c>
      <c r="C3381" t="s">
        <v>424</v>
      </c>
      <c r="D3381" t="s">
        <v>421</v>
      </c>
      <c r="E3381" t="s">
        <v>430</v>
      </c>
      <c r="F3381" t="s">
        <v>428</v>
      </c>
      <c r="G3381" t="s">
        <v>429</v>
      </c>
      <c r="H3381" t="s">
        <v>427</v>
      </c>
      <c r="I3381" t="s">
        <v>425</v>
      </c>
      <c r="J3381" t="s">
        <v>426</v>
      </c>
      <c r="L3381" t="s">
        <v>421</v>
      </c>
      <c r="M3381" t="s">
        <v>423</v>
      </c>
    </row>
    <row r="3382" spans="1:13" ht="15" customHeight="1" x14ac:dyDescent="0.25">
      <c r="A3382" s="82">
        <v>45657</v>
      </c>
      <c r="B3382" t="s">
        <v>421</v>
      </c>
      <c r="C3382" t="s">
        <v>424</v>
      </c>
      <c r="D3382" t="s">
        <v>427</v>
      </c>
      <c r="E3382" t="s">
        <v>430</v>
      </c>
      <c r="F3382" t="s">
        <v>428</v>
      </c>
      <c r="G3382" t="s">
        <v>429</v>
      </c>
      <c r="H3382" t="s">
        <v>455</v>
      </c>
      <c r="I3382" t="s">
        <v>425</v>
      </c>
      <c r="J3382" t="s">
        <v>426</v>
      </c>
      <c r="L3382" t="s">
        <v>421</v>
      </c>
      <c r="M3382" t="s">
        <v>423</v>
      </c>
    </row>
    <row r="3383" spans="1:13" ht="15" customHeight="1" x14ac:dyDescent="0.25">
      <c r="A3383" s="82">
        <v>45658</v>
      </c>
      <c r="B3383" t="s">
        <v>427</v>
      </c>
      <c r="C3383" t="s">
        <v>424</v>
      </c>
      <c r="D3383" t="s">
        <v>455</v>
      </c>
      <c r="E3383" t="s">
        <v>430</v>
      </c>
      <c r="F3383" t="s">
        <v>428</v>
      </c>
      <c r="G3383" t="s">
        <v>429</v>
      </c>
      <c r="H3383" t="s">
        <v>421</v>
      </c>
      <c r="I3383" t="s">
        <v>425</v>
      </c>
      <c r="J3383" t="s">
        <v>426</v>
      </c>
      <c r="L3383" t="s">
        <v>421</v>
      </c>
      <c r="M3383" t="s">
        <v>423</v>
      </c>
    </row>
    <row r="3384" spans="1:13" ht="15" customHeight="1" x14ac:dyDescent="0.25">
      <c r="A3384" s="82">
        <v>45659</v>
      </c>
      <c r="B3384" t="s">
        <v>455</v>
      </c>
      <c r="C3384" t="s">
        <v>424</v>
      </c>
      <c r="D3384" t="s">
        <v>421</v>
      </c>
      <c r="E3384" t="s">
        <v>430</v>
      </c>
      <c r="F3384" t="s">
        <v>428</v>
      </c>
      <c r="G3384" t="s">
        <v>429</v>
      </c>
      <c r="H3384" t="s">
        <v>427</v>
      </c>
      <c r="I3384" t="s">
        <v>425</v>
      </c>
      <c r="J3384" t="s">
        <v>426</v>
      </c>
      <c r="L3384" t="s">
        <v>423</v>
      </c>
      <c r="M3384" t="s">
        <v>421</v>
      </c>
    </row>
    <row r="3385" spans="1:13" ht="15" customHeight="1" x14ac:dyDescent="0.25">
      <c r="A3385" s="82">
        <v>45660</v>
      </c>
      <c r="B3385" t="s">
        <v>424</v>
      </c>
      <c r="C3385" t="s">
        <v>421</v>
      </c>
      <c r="D3385" t="s">
        <v>429</v>
      </c>
      <c r="E3385" t="s">
        <v>426</v>
      </c>
      <c r="F3385" t="s">
        <v>425</v>
      </c>
      <c r="G3385" t="s">
        <v>430</v>
      </c>
      <c r="H3385" t="s">
        <v>455</v>
      </c>
      <c r="I3385" t="s">
        <v>425</v>
      </c>
      <c r="J3385" t="s">
        <v>427</v>
      </c>
      <c r="L3385" t="s">
        <v>423</v>
      </c>
      <c r="M3385" t="s">
        <v>421</v>
      </c>
    </row>
    <row r="3386" spans="1:13" ht="15" customHeight="1" x14ac:dyDescent="0.25">
      <c r="A3386" s="82">
        <v>45661</v>
      </c>
      <c r="B3386" t="s">
        <v>428</v>
      </c>
      <c r="C3386" t="s">
        <v>424</v>
      </c>
      <c r="D3386" t="s">
        <v>429</v>
      </c>
      <c r="E3386" t="s">
        <v>426</v>
      </c>
      <c r="F3386" t="s">
        <v>425</v>
      </c>
      <c r="G3386" t="s">
        <v>430</v>
      </c>
      <c r="H3386" t="s">
        <v>427</v>
      </c>
      <c r="I3386" t="s">
        <v>421</v>
      </c>
      <c r="J3386" t="s">
        <v>455</v>
      </c>
      <c r="L3386" t="s">
        <v>423</v>
      </c>
      <c r="M3386" t="s">
        <v>421</v>
      </c>
    </row>
    <row r="3387" spans="1:13" ht="15" customHeight="1" x14ac:dyDescent="0.25">
      <c r="A3387" s="82">
        <v>45662</v>
      </c>
      <c r="B3387" t="s">
        <v>428</v>
      </c>
      <c r="C3387" t="s">
        <v>424</v>
      </c>
      <c r="D3387" t="s">
        <v>429</v>
      </c>
      <c r="E3387" t="s">
        <v>426</v>
      </c>
      <c r="F3387" t="s">
        <v>425</v>
      </c>
      <c r="G3387" t="s">
        <v>430</v>
      </c>
      <c r="H3387" t="s">
        <v>455</v>
      </c>
      <c r="I3387" t="s">
        <v>421</v>
      </c>
      <c r="J3387" t="s">
        <v>427</v>
      </c>
      <c r="L3387" t="s">
        <v>423</v>
      </c>
      <c r="M3387" t="s">
        <v>421</v>
      </c>
    </row>
    <row r="3388" spans="1:13" ht="15" customHeight="1" x14ac:dyDescent="0.25">
      <c r="A3388" s="82">
        <v>45663</v>
      </c>
      <c r="B3388" t="s">
        <v>428</v>
      </c>
      <c r="C3388" t="s">
        <v>527</v>
      </c>
      <c r="D3388" t="s">
        <v>424</v>
      </c>
      <c r="E3388" t="s">
        <v>430</v>
      </c>
      <c r="F3388" t="s">
        <v>425</v>
      </c>
      <c r="G3388" t="s">
        <v>429</v>
      </c>
      <c r="H3388" t="s">
        <v>421</v>
      </c>
      <c r="I3388" t="s">
        <v>427</v>
      </c>
      <c r="J3388" t="s">
        <v>455</v>
      </c>
      <c r="L3388" t="s">
        <v>423</v>
      </c>
      <c r="M3388" t="s">
        <v>421</v>
      </c>
    </row>
    <row r="3389" spans="1:13" ht="15" customHeight="1" x14ac:dyDescent="0.25">
      <c r="A3389" s="82">
        <v>45664</v>
      </c>
      <c r="B3389" t="s">
        <v>428</v>
      </c>
      <c r="C3389" t="s">
        <v>527</v>
      </c>
      <c r="D3389" t="s">
        <v>424</v>
      </c>
      <c r="E3389" t="s">
        <v>421</v>
      </c>
      <c r="F3389" t="s">
        <v>425</v>
      </c>
      <c r="G3389" t="s">
        <v>429</v>
      </c>
      <c r="H3389" t="s">
        <v>427</v>
      </c>
      <c r="I3389" t="s">
        <v>455</v>
      </c>
      <c r="J3389" t="s">
        <v>430</v>
      </c>
      <c r="L3389" t="s">
        <v>423</v>
      </c>
      <c r="M3389" t="s">
        <v>421</v>
      </c>
    </row>
    <row r="3390" spans="1:13" ht="15" customHeight="1" x14ac:dyDescent="0.25">
      <c r="A3390" s="82">
        <v>45665</v>
      </c>
      <c r="B3390" t="s">
        <v>428</v>
      </c>
      <c r="C3390" t="s">
        <v>527</v>
      </c>
      <c r="D3390" t="s">
        <v>424</v>
      </c>
      <c r="E3390" t="s">
        <v>421</v>
      </c>
      <c r="F3390" t="s">
        <v>425</v>
      </c>
      <c r="G3390" t="s">
        <v>429</v>
      </c>
      <c r="H3390" t="s">
        <v>455</v>
      </c>
      <c r="I3390" t="s">
        <v>427</v>
      </c>
      <c r="J3390" t="s">
        <v>430</v>
      </c>
      <c r="L3390" t="s">
        <v>421</v>
      </c>
      <c r="M3390" t="s">
        <v>423</v>
      </c>
    </row>
    <row r="3391" spans="1:13" ht="15" customHeight="1" x14ac:dyDescent="0.25">
      <c r="A3391" s="82">
        <v>45666</v>
      </c>
      <c r="B3391" t="s">
        <v>428</v>
      </c>
      <c r="C3391" t="s">
        <v>527</v>
      </c>
      <c r="D3391" t="s">
        <v>424</v>
      </c>
      <c r="E3391" t="s">
        <v>430</v>
      </c>
      <c r="F3391" t="s">
        <v>425</v>
      </c>
      <c r="G3391" t="s">
        <v>429</v>
      </c>
      <c r="H3391" t="s">
        <v>427</v>
      </c>
      <c r="I3391" t="s">
        <v>455</v>
      </c>
      <c r="J3391" t="s">
        <v>421</v>
      </c>
      <c r="L3391" t="s">
        <v>421</v>
      </c>
      <c r="M3391" t="s">
        <v>423</v>
      </c>
    </row>
    <row r="3392" spans="1:13" ht="15" customHeight="1" x14ac:dyDescent="0.25">
      <c r="A3392" s="82">
        <v>45667</v>
      </c>
      <c r="B3392" t="s">
        <v>425</v>
      </c>
      <c r="C3392" t="s">
        <v>527</v>
      </c>
      <c r="D3392" t="s">
        <v>427</v>
      </c>
      <c r="E3392" t="s">
        <v>430</v>
      </c>
      <c r="F3392" t="s">
        <v>425</v>
      </c>
      <c r="G3392" t="s">
        <v>421</v>
      </c>
      <c r="H3392" t="s">
        <v>455</v>
      </c>
      <c r="I3392" t="s">
        <v>429</v>
      </c>
      <c r="J3392" t="s">
        <v>428</v>
      </c>
      <c r="L3392" t="s">
        <v>421</v>
      </c>
      <c r="M3392" t="s">
        <v>428</v>
      </c>
    </row>
    <row r="3393" spans="1:13" ht="15" customHeight="1" x14ac:dyDescent="0.25">
      <c r="A3393" s="82">
        <v>45668</v>
      </c>
      <c r="B3393" t="s">
        <v>425</v>
      </c>
      <c r="C3393" t="s">
        <v>527</v>
      </c>
      <c r="D3393" t="s">
        <v>455</v>
      </c>
      <c r="E3393" t="s">
        <v>430</v>
      </c>
      <c r="F3393" t="s">
        <v>421</v>
      </c>
      <c r="G3393" t="s">
        <v>427</v>
      </c>
      <c r="H3393" t="s">
        <v>424</v>
      </c>
      <c r="I3393" t="s">
        <v>429</v>
      </c>
      <c r="J3393" t="s">
        <v>428</v>
      </c>
      <c r="L3393" t="s">
        <v>421</v>
      </c>
      <c r="M3393" t="s">
        <v>428</v>
      </c>
    </row>
    <row r="3394" spans="1:13" ht="15" customHeight="1" x14ac:dyDescent="0.25">
      <c r="A3394" s="82">
        <v>45669</v>
      </c>
      <c r="B3394" t="s">
        <v>425</v>
      </c>
      <c r="C3394" t="s">
        <v>527</v>
      </c>
      <c r="D3394" t="s">
        <v>427</v>
      </c>
      <c r="E3394" t="s">
        <v>430</v>
      </c>
      <c r="F3394" t="s">
        <v>421</v>
      </c>
      <c r="G3394" t="s">
        <v>455</v>
      </c>
      <c r="H3394" t="s">
        <v>424</v>
      </c>
      <c r="I3394" t="s">
        <v>429</v>
      </c>
      <c r="J3394" t="s">
        <v>428</v>
      </c>
      <c r="L3394" t="s">
        <v>421</v>
      </c>
      <c r="M3394" t="s">
        <v>428</v>
      </c>
    </row>
    <row r="3395" spans="1:13" ht="15" customHeight="1" x14ac:dyDescent="0.25">
      <c r="A3395" s="82">
        <v>45670</v>
      </c>
      <c r="B3395" t="s">
        <v>425</v>
      </c>
      <c r="C3395" t="s">
        <v>527</v>
      </c>
      <c r="D3395" t="s">
        <v>455</v>
      </c>
      <c r="E3395" t="s">
        <v>430</v>
      </c>
      <c r="F3395" t="s">
        <v>427</v>
      </c>
      <c r="G3395" t="s">
        <v>421</v>
      </c>
      <c r="H3395" t="s">
        <v>424</v>
      </c>
      <c r="I3395" t="s">
        <v>429</v>
      </c>
      <c r="J3395" t="s">
        <v>428</v>
      </c>
      <c r="L3395" t="s">
        <v>421</v>
      </c>
      <c r="M3395" t="s">
        <v>428</v>
      </c>
    </row>
    <row r="3396" spans="1:13" ht="15" customHeight="1" x14ac:dyDescent="0.25">
      <c r="A3396" s="82">
        <v>45671</v>
      </c>
      <c r="B3396" t="s">
        <v>425</v>
      </c>
      <c r="C3396" t="s">
        <v>527</v>
      </c>
      <c r="D3396" t="s">
        <v>421</v>
      </c>
      <c r="E3396" t="s">
        <v>430</v>
      </c>
      <c r="F3396" t="s">
        <v>455</v>
      </c>
      <c r="G3396" t="s">
        <v>427</v>
      </c>
      <c r="H3396" t="s">
        <v>424</v>
      </c>
      <c r="I3396" t="s">
        <v>429</v>
      </c>
      <c r="J3396" t="s">
        <v>428</v>
      </c>
      <c r="L3396" t="s">
        <v>423</v>
      </c>
      <c r="M3396" t="s">
        <v>421</v>
      </c>
    </row>
    <row r="3397" spans="1:13" ht="15" customHeight="1" x14ac:dyDescent="0.25">
      <c r="A3397" s="82">
        <v>45672</v>
      </c>
      <c r="B3397" t="s">
        <v>425</v>
      </c>
      <c r="C3397" t="s">
        <v>527</v>
      </c>
      <c r="D3397" t="s">
        <v>421</v>
      </c>
      <c r="E3397" t="s">
        <v>427</v>
      </c>
      <c r="F3397" t="s">
        <v>430</v>
      </c>
      <c r="G3397" t="s">
        <v>455</v>
      </c>
      <c r="H3397" t="s">
        <v>424</v>
      </c>
      <c r="I3397" t="s">
        <v>429</v>
      </c>
      <c r="J3397" t="s">
        <v>428</v>
      </c>
      <c r="L3397" t="s">
        <v>423</v>
      </c>
      <c r="M3397" t="s">
        <v>421</v>
      </c>
    </row>
    <row r="3398" spans="1:13" ht="15" customHeight="1" x14ac:dyDescent="0.25">
      <c r="A3398" s="82">
        <v>45673</v>
      </c>
      <c r="B3398" t="s">
        <v>425</v>
      </c>
      <c r="C3398" t="s">
        <v>527</v>
      </c>
      <c r="D3398" t="s">
        <v>430</v>
      </c>
      <c r="E3398" t="s">
        <v>455</v>
      </c>
      <c r="F3398" t="s">
        <v>430</v>
      </c>
      <c r="G3398" t="s">
        <v>427</v>
      </c>
      <c r="H3398" t="s">
        <v>424</v>
      </c>
      <c r="I3398" t="s">
        <v>429</v>
      </c>
      <c r="J3398" t="s">
        <v>428</v>
      </c>
      <c r="L3398" t="s">
        <v>423</v>
      </c>
      <c r="M3398" t="s">
        <v>421</v>
      </c>
    </row>
    <row r="3399" spans="1:13" ht="15" customHeight="1" x14ac:dyDescent="0.25">
      <c r="A3399" s="82">
        <v>45674</v>
      </c>
      <c r="B3399" t="s">
        <v>425</v>
      </c>
      <c r="C3399" t="s">
        <v>527</v>
      </c>
      <c r="D3399" t="s">
        <v>430</v>
      </c>
      <c r="E3399" t="s">
        <v>428</v>
      </c>
      <c r="F3399" t="s">
        <v>429</v>
      </c>
      <c r="G3399" t="s">
        <v>455</v>
      </c>
      <c r="H3399" t="s">
        <v>427</v>
      </c>
      <c r="I3399" t="s">
        <v>528</v>
      </c>
      <c r="J3399" t="s">
        <v>425</v>
      </c>
      <c r="L3399" t="s">
        <v>423</v>
      </c>
      <c r="M3399" t="s">
        <v>421</v>
      </c>
    </row>
    <row r="3400" spans="1:13" ht="15" customHeight="1" x14ac:dyDescent="0.25">
      <c r="A3400" s="82">
        <v>45675</v>
      </c>
      <c r="B3400" t="s">
        <v>421</v>
      </c>
      <c r="C3400" t="s">
        <v>527</v>
      </c>
      <c r="D3400" t="s">
        <v>430</v>
      </c>
      <c r="E3400" t="s">
        <v>428</v>
      </c>
      <c r="F3400" t="s">
        <v>429</v>
      </c>
      <c r="G3400" t="s">
        <v>424</v>
      </c>
      <c r="H3400" t="s">
        <v>455</v>
      </c>
      <c r="I3400" t="s">
        <v>427</v>
      </c>
      <c r="J3400" t="s">
        <v>425</v>
      </c>
      <c r="L3400" t="s">
        <v>423</v>
      </c>
      <c r="M3400" t="s">
        <v>421</v>
      </c>
    </row>
    <row r="3401" spans="1:13" ht="15" customHeight="1" x14ac:dyDescent="0.25">
      <c r="A3401" s="82">
        <v>45676</v>
      </c>
      <c r="B3401" t="s">
        <v>421</v>
      </c>
      <c r="C3401" t="s">
        <v>527</v>
      </c>
      <c r="D3401" t="s">
        <v>430</v>
      </c>
      <c r="E3401" t="s">
        <v>428</v>
      </c>
      <c r="F3401" t="s">
        <v>429</v>
      </c>
      <c r="G3401" t="s">
        <v>424</v>
      </c>
      <c r="H3401" t="s">
        <v>427</v>
      </c>
      <c r="I3401" t="s">
        <v>455</v>
      </c>
      <c r="J3401" t="s">
        <v>425</v>
      </c>
      <c r="L3401" t="s">
        <v>423</v>
      </c>
      <c r="M3401" t="s">
        <v>421</v>
      </c>
    </row>
    <row r="3402" spans="1:13" ht="15" customHeight="1" x14ac:dyDescent="0.25">
      <c r="A3402" s="82">
        <v>45677</v>
      </c>
      <c r="B3402" t="s">
        <v>427</v>
      </c>
      <c r="C3402" t="s">
        <v>527</v>
      </c>
      <c r="D3402" t="s">
        <v>430</v>
      </c>
      <c r="E3402" t="s">
        <v>428</v>
      </c>
      <c r="F3402" t="s">
        <v>429</v>
      </c>
      <c r="G3402" t="s">
        <v>424</v>
      </c>
      <c r="H3402" t="s">
        <v>455</v>
      </c>
      <c r="I3402" t="s">
        <v>421</v>
      </c>
      <c r="J3402" t="s">
        <v>425</v>
      </c>
      <c r="L3402" t="s">
        <v>421</v>
      </c>
      <c r="M3402" t="s">
        <v>423</v>
      </c>
    </row>
    <row r="3403" spans="1:13" ht="15" customHeight="1" x14ac:dyDescent="0.25">
      <c r="A3403" s="82">
        <v>45678</v>
      </c>
      <c r="B3403" t="s">
        <v>455</v>
      </c>
      <c r="C3403" t="s">
        <v>527</v>
      </c>
      <c r="D3403" t="s">
        <v>430</v>
      </c>
      <c r="E3403" t="s">
        <v>428</v>
      </c>
      <c r="F3403" t="s">
        <v>429</v>
      </c>
      <c r="G3403" t="s">
        <v>424</v>
      </c>
      <c r="H3403" t="s">
        <v>421</v>
      </c>
      <c r="I3403" t="s">
        <v>427</v>
      </c>
      <c r="J3403" t="s">
        <v>425</v>
      </c>
      <c r="L3403" t="s">
        <v>421</v>
      </c>
      <c r="M3403" t="s">
        <v>423</v>
      </c>
    </row>
    <row r="3404" spans="1:13" ht="15" customHeight="1" x14ac:dyDescent="0.25">
      <c r="A3404" s="82">
        <v>45679</v>
      </c>
      <c r="B3404" t="s">
        <v>427</v>
      </c>
      <c r="C3404" t="s">
        <v>527</v>
      </c>
      <c r="D3404" t="s">
        <v>430</v>
      </c>
      <c r="E3404" t="s">
        <v>428</v>
      </c>
      <c r="F3404" t="s">
        <v>429</v>
      </c>
      <c r="G3404" t="s">
        <v>424</v>
      </c>
      <c r="H3404" t="s">
        <v>421</v>
      </c>
      <c r="I3404" t="s">
        <v>455</v>
      </c>
      <c r="J3404" t="s">
        <v>425</v>
      </c>
      <c r="L3404" t="s">
        <v>421</v>
      </c>
      <c r="M3404" t="s">
        <v>423</v>
      </c>
    </row>
    <row r="3405" spans="1:13" ht="15" customHeight="1" x14ac:dyDescent="0.25">
      <c r="A3405" s="82">
        <v>45680</v>
      </c>
      <c r="B3405" t="s">
        <v>455</v>
      </c>
      <c r="C3405" t="s">
        <v>527</v>
      </c>
      <c r="D3405" t="s">
        <v>421</v>
      </c>
      <c r="E3405" t="s">
        <v>428</v>
      </c>
      <c r="F3405" t="s">
        <v>429</v>
      </c>
      <c r="G3405" t="s">
        <v>424</v>
      </c>
      <c r="H3405" t="s">
        <v>430</v>
      </c>
      <c r="I3405" t="s">
        <v>427</v>
      </c>
      <c r="J3405" t="s">
        <v>425</v>
      </c>
      <c r="L3405" t="s">
        <v>421</v>
      </c>
      <c r="M3405" t="s">
        <v>423</v>
      </c>
    </row>
    <row r="3406" spans="1:13" ht="15" customHeight="1" x14ac:dyDescent="0.25">
      <c r="A3406" s="82">
        <v>45681</v>
      </c>
      <c r="B3406" t="s">
        <v>429</v>
      </c>
      <c r="C3406" t="s">
        <v>527</v>
      </c>
      <c r="D3406" t="s">
        <v>428</v>
      </c>
      <c r="E3406" t="s">
        <v>425</v>
      </c>
      <c r="F3406" t="s">
        <v>421</v>
      </c>
      <c r="G3406" t="s">
        <v>427</v>
      </c>
      <c r="H3406" t="s">
        <v>430</v>
      </c>
      <c r="I3406" t="s">
        <v>455</v>
      </c>
      <c r="J3406" t="s">
        <v>425</v>
      </c>
      <c r="L3406" t="s">
        <v>423</v>
      </c>
      <c r="M3406" t="s">
        <v>421</v>
      </c>
    </row>
    <row r="3407" spans="1:13" ht="15" customHeight="1" x14ac:dyDescent="0.25">
      <c r="A3407" s="82">
        <v>45682</v>
      </c>
      <c r="B3407" t="s">
        <v>429</v>
      </c>
      <c r="C3407" t="s">
        <v>527</v>
      </c>
      <c r="D3407" t="s">
        <v>428</v>
      </c>
      <c r="E3407" t="s">
        <v>425</v>
      </c>
      <c r="F3407" t="s">
        <v>427</v>
      </c>
      <c r="G3407" t="s">
        <v>455</v>
      </c>
      <c r="H3407" t="s">
        <v>430</v>
      </c>
      <c r="I3407" t="s">
        <v>424</v>
      </c>
      <c r="J3407" t="s">
        <v>421</v>
      </c>
      <c r="L3407" t="s">
        <v>423</v>
      </c>
      <c r="M3407" t="s">
        <v>421</v>
      </c>
    </row>
    <row r="3408" spans="1:13" ht="15" customHeight="1" x14ac:dyDescent="0.25">
      <c r="A3408" s="82">
        <v>45683</v>
      </c>
      <c r="B3408" t="s">
        <v>429</v>
      </c>
      <c r="C3408" t="s">
        <v>527</v>
      </c>
      <c r="D3408" t="s">
        <v>428</v>
      </c>
      <c r="E3408" t="s">
        <v>425</v>
      </c>
      <c r="F3408" t="s">
        <v>455</v>
      </c>
      <c r="G3408" t="s">
        <v>427</v>
      </c>
      <c r="H3408" t="s">
        <v>430</v>
      </c>
      <c r="I3408" t="s">
        <v>424</v>
      </c>
      <c r="J3408" t="s">
        <v>421</v>
      </c>
      <c r="L3408" t="s">
        <v>423</v>
      </c>
      <c r="M3408" t="s">
        <v>421</v>
      </c>
    </row>
    <row r="3409" spans="1:13" ht="15" customHeight="1" x14ac:dyDescent="0.25">
      <c r="A3409" s="82">
        <v>45684</v>
      </c>
      <c r="B3409" t="s">
        <v>429</v>
      </c>
      <c r="C3409" t="s">
        <v>527</v>
      </c>
      <c r="D3409" t="s">
        <v>428</v>
      </c>
      <c r="E3409" t="s">
        <v>425</v>
      </c>
      <c r="F3409" t="s">
        <v>421</v>
      </c>
      <c r="G3409" t="s">
        <v>455</v>
      </c>
      <c r="H3409" t="s">
        <v>430</v>
      </c>
      <c r="I3409" t="s">
        <v>424</v>
      </c>
      <c r="J3409" t="s">
        <v>427</v>
      </c>
      <c r="L3409" t="s">
        <v>423</v>
      </c>
      <c r="M3409" t="s">
        <v>421</v>
      </c>
    </row>
    <row r="3410" spans="1:13" ht="15" customHeight="1" x14ac:dyDescent="0.25">
      <c r="A3410" s="82">
        <v>45685</v>
      </c>
      <c r="B3410" t="s">
        <v>429</v>
      </c>
      <c r="C3410" t="s">
        <v>527</v>
      </c>
      <c r="D3410" t="s">
        <v>428</v>
      </c>
      <c r="E3410" t="s">
        <v>425</v>
      </c>
      <c r="F3410" t="s">
        <v>427</v>
      </c>
      <c r="G3410" t="s">
        <v>421</v>
      </c>
      <c r="H3410" t="s">
        <v>430</v>
      </c>
      <c r="I3410" t="s">
        <v>424</v>
      </c>
      <c r="J3410" t="s">
        <v>455</v>
      </c>
      <c r="L3410" t="s">
        <v>423</v>
      </c>
      <c r="M3410" t="s">
        <v>421</v>
      </c>
    </row>
    <row r="3411" spans="1:13" ht="15" customHeight="1" x14ac:dyDescent="0.25">
      <c r="A3411" s="82">
        <v>45686</v>
      </c>
      <c r="B3411" t="s">
        <v>429</v>
      </c>
      <c r="C3411" t="s">
        <v>527</v>
      </c>
      <c r="D3411" t="s">
        <v>428</v>
      </c>
      <c r="E3411" t="s">
        <v>425</v>
      </c>
      <c r="F3411" t="s">
        <v>455</v>
      </c>
      <c r="G3411" t="s">
        <v>421</v>
      </c>
      <c r="H3411" t="s">
        <v>430</v>
      </c>
      <c r="I3411" t="s">
        <v>424</v>
      </c>
      <c r="J3411" t="s">
        <v>427</v>
      </c>
      <c r="L3411" t="s">
        <v>423</v>
      </c>
      <c r="M3411" t="s">
        <v>421</v>
      </c>
    </row>
    <row r="3412" spans="1:13" ht="15" customHeight="1" x14ac:dyDescent="0.25">
      <c r="A3412" s="82">
        <v>45687</v>
      </c>
      <c r="B3412" t="s">
        <v>429</v>
      </c>
      <c r="C3412" t="s">
        <v>527</v>
      </c>
      <c r="D3412" t="s">
        <v>428</v>
      </c>
      <c r="E3412" t="s">
        <v>425</v>
      </c>
      <c r="F3412" t="s">
        <v>427</v>
      </c>
      <c r="G3412" t="s">
        <v>430</v>
      </c>
      <c r="H3412" t="s">
        <v>421</v>
      </c>
      <c r="I3412" t="s">
        <v>424</v>
      </c>
      <c r="J3412" t="s">
        <v>455</v>
      </c>
      <c r="L3412" t="s">
        <v>421</v>
      </c>
      <c r="M3412" t="s">
        <v>423</v>
      </c>
    </row>
    <row r="3413" spans="1:13" ht="15" customHeight="1" x14ac:dyDescent="0.25">
      <c r="A3413" s="82">
        <v>45688</v>
      </c>
      <c r="B3413" t="s">
        <v>421</v>
      </c>
      <c r="C3413" t="s">
        <v>527</v>
      </c>
      <c r="D3413" t="s">
        <v>425</v>
      </c>
      <c r="E3413" t="s">
        <v>425</v>
      </c>
      <c r="F3413" t="s">
        <v>455</v>
      </c>
      <c r="G3413" t="s">
        <v>430</v>
      </c>
      <c r="H3413" t="s">
        <v>428</v>
      </c>
      <c r="I3413" t="s">
        <v>427</v>
      </c>
      <c r="J3413" t="s">
        <v>429</v>
      </c>
      <c r="L3413" t="s">
        <v>421</v>
      </c>
      <c r="M3413" t="s">
        <v>423</v>
      </c>
    </row>
    <row r="3414" spans="1:13" ht="15" customHeight="1" x14ac:dyDescent="0.25">
      <c r="A3414" s="82">
        <v>45689</v>
      </c>
      <c r="B3414" t="s">
        <v>427</v>
      </c>
      <c r="C3414" t="s">
        <v>527</v>
      </c>
      <c r="D3414" t="s">
        <v>425</v>
      </c>
      <c r="E3414" t="s">
        <v>421</v>
      </c>
      <c r="F3414" t="s">
        <v>424</v>
      </c>
      <c r="G3414" t="s">
        <v>430</v>
      </c>
      <c r="H3414" t="s">
        <v>428</v>
      </c>
      <c r="I3414" t="s">
        <v>455</v>
      </c>
      <c r="J3414" t="s">
        <v>429</v>
      </c>
      <c r="L3414" t="s">
        <v>421</v>
      </c>
      <c r="M3414" t="s">
        <v>423</v>
      </c>
    </row>
    <row r="3415" spans="1:13" ht="15" customHeight="1" x14ac:dyDescent="0.25">
      <c r="A3415" s="82">
        <v>45690</v>
      </c>
      <c r="B3415" t="s">
        <v>455</v>
      </c>
      <c r="C3415" t="s">
        <v>527</v>
      </c>
      <c r="D3415" t="s">
        <v>425</v>
      </c>
      <c r="E3415" t="s">
        <v>421</v>
      </c>
      <c r="F3415" t="s">
        <v>424</v>
      </c>
      <c r="G3415" t="s">
        <v>430</v>
      </c>
      <c r="H3415" t="s">
        <v>428</v>
      </c>
      <c r="I3415" t="s">
        <v>427</v>
      </c>
      <c r="J3415" t="s">
        <v>429</v>
      </c>
      <c r="L3415" t="s">
        <v>421</v>
      </c>
      <c r="M3415" t="s">
        <v>423</v>
      </c>
    </row>
    <row r="3416" spans="1:13" ht="15" customHeight="1" x14ac:dyDescent="0.25">
      <c r="A3416" s="82">
        <v>45691</v>
      </c>
      <c r="B3416" t="s">
        <v>421</v>
      </c>
      <c r="C3416" t="s">
        <v>527</v>
      </c>
      <c r="D3416" t="s">
        <v>425</v>
      </c>
      <c r="E3416" t="s">
        <v>427</v>
      </c>
      <c r="F3416" t="s">
        <v>424</v>
      </c>
      <c r="G3416" t="s">
        <v>430</v>
      </c>
      <c r="H3416" t="s">
        <v>428</v>
      </c>
      <c r="I3416" t="s">
        <v>455</v>
      </c>
      <c r="J3416" t="s">
        <v>429</v>
      </c>
      <c r="L3416" t="s">
        <v>421</v>
      </c>
      <c r="M3416" t="s">
        <v>423</v>
      </c>
    </row>
    <row r="3417" spans="1:13" ht="15" customHeight="1" x14ac:dyDescent="0.25">
      <c r="A3417" s="82">
        <v>45692</v>
      </c>
      <c r="B3417" t="s">
        <v>427</v>
      </c>
      <c r="C3417" t="s">
        <v>527</v>
      </c>
      <c r="D3417" t="s">
        <v>425</v>
      </c>
      <c r="E3417" t="s">
        <v>455</v>
      </c>
      <c r="F3417" t="s">
        <v>424</v>
      </c>
      <c r="G3417" t="s">
        <v>430</v>
      </c>
      <c r="H3417" t="s">
        <v>428</v>
      </c>
      <c r="I3417" t="s">
        <v>421</v>
      </c>
      <c r="J3417" t="s">
        <v>429</v>
      </c>
      <c r="L3417" t="s">
        <v>421</v>
      </c>
      <c r="M3417" t="s">
        <v>423</v>
      </c>
    </row>
    <row r="3418" spans="1:13" ht="15" customHeight="1" x14ac:dyDescent="0.25">
      <c r="A3418" s="82">
        <v>45693</v>
      </c>
      <c r="B3418" t="s">
        <v>455</v>
      </c>
      <c r="C3418" t="s">
        <v>527</v>
      </c>
      <c r="D3418" t="s">
        <v>425</v>
      </c>
      <c r="E3418" t="s">
        <v>427</v>
      </c>
      <c r="F3418" t="s">
        <v>424</v>
      </c>
      <c r="G3418" t="s">
        <v>430</v>
      </c>
      <c r="H3418" t="s">
        <v>428</v>
      </c>
      <c r="I3418" t="s">
        <v>421</v>
      </c>
      <c r="J3418" t="s">
        <v>429</v>
      </c>
      <c r="L3418" t="s">
        <v>423</v>
      </c>
      <c r="M3418" t="s">
        <v>421</v>
      </c>
    </row>
    <row r="3419" spans="1:13" ht="15" customHeight="1" x14ac:dyDescent="0.25">
      <c r="A3419" s="82">
        <v>45694</v>
      </c>
      <c r="B3419" t="s">
        <v>427</v>
      </c>
      <c r="C3419" t="s">
        <v>527</v>
      </c>
      <c r="D3419" t="s">
        <v>425</v>
      </c>
      <c r="E3419" t="s">
        <v>455</v>
      </c>
      <c r="F3419" t="s">
        <v>424</v>
      </c>
      <c r="G3419" t="s">
        <v>421</v>
      </c>
      <c r="H3419" t="s">
        <v>428</v>
      </c>
      <c r="I3419" t="s">
        <v>430</v>
      </c>
      <c r="J3419" t="s">
        <v>429</v>
      </c>
      <c r="L3419" t="s">
        <v>423</v>
      </c>
      <c r="M3419" t="s">
        <v>421</v>
      </c>
    </row>
    <row r="3420" spans="1:13" ht="15" customHeight="1" x14ac:dyDescent="0.25">
      <c r="A3420" s="82">
        <v>45695</v>
      </c>
      <c r="B3420" t="s">
        <v>455</v>
      </c>
      <c r="C3420" t="s">
        <v>527</v>
      </c>
      <c r="D3420" t="s">
        <v>425</v>
      </c>
      <c r="E3420" t="s">
        <v>429</v>
      </c>
      <c r="F3420" t="s">
        <v>427</v>
      </c>
      <c r="G3420" t="s">
        <v>428</v>
      </c>
      <c r="H3420" t="s">
        <v>425</v>
      </c>
      <c r="I3420" t="s">
        <v>430</v>
      </c>
      <c r="J3420" t="s">
        <v>421</v>
      </c>
      <c r="L3420" t="s">
        <v>428</v>
      </c>
      <c r="M3420" t="s">
        <v>421</v>
      </c>
    </row>
    <row r="3421" spans="1:13" ht="15" customHeight="1" x14ac:dyDescent="0.25">
      <c r="A3421" s="82">
        <v>45696</v>
      </c>
      <c r="B3421" t="s">
        <v>424</v>
      </c>
      <c r="C3421" t="s">
        <v>527</v>
      </c>
      <c r="D3421" t="s">
        <v>421</v>
      </c>
      <c r="E3421" t="s">
        <v>429</v>
      </c>
      <c r="F3421" t="s">
        <v>455</v>
      </c>
      <c r="G3421" t="s">
        <v>428</v>
      </c>
      <c r="H3421" t="s">
        <v>425</v>
      </c>
      <c r="I3421" t="s">
        <v>430</v>
      </c>
      <c r="J3421" t="s">
        <v>427</v>
      </c>
      <c r="L3421" t="s">
        <v>428</v>
      </c>
      <c r="M3421" t="s">
        <v>421</v>
      </c>
    </row>
    <row r="3422" spans="1:13" ht="15" customHeight="1" x14ac:dyDescent="0.25">
      <c r="A3422" s="82">
        <v>45697</v>
      </c>
      <c r="B3422" t="s">
        <v>424</v>
      </c>
      <c r="C3422" t="s">
        <v>527</v>
      </c>
      <c r="D3422" t="s">
        <v>421</v>
      </c>
      <c r="E3422" t="s">
        <v>429</v>
      </c>
      <c r="F3422" t="s">
        <v>427</v>
      </c>
      <c r="G3422" t="s">
        <v>428</v>
      </c>
      <c r="H3422" t="s">
        <v>425</v>
      </c>
      <c r="I3422" t="s">
        <v>430</v>
      </c>
      <c r="J3422" t="s">
        <v>455</v>
      </c>
      <c r="L3422" t="s">
        <v>428</v>
      </c>
      <c r="M3422" t="s">
        <v>421</v>
      </c>
    </row>
    <row r="3423" spans="1:13" ht="15" customHeight="1" x14ac:dyDescent="0.25">
      <c r="A3423" s="82">
        <v>45698</v>
      </c>
      <c r="B3423" t="s">
        <v>424</v>
      </c>
      <c r="C3423" t="s">
        <v>527</v>
      </c>
      <c r="D3423" t="s">
        <v>427</v>
      </c>
      <c r="E3423" t="s">
        <v>429</v>
      </c>
      <c r="F3423" t="s">
        <v>455</v>
      </c>
      <c r="G3423" t="s">
        <v>428</v>
      </c>
      <c r="H3423" t="s">
        <v>425</v>
      </c>
      <c r="I3423" t="s">
        <v>430</v>
      </c>
      <c r="J3423" t="s">
        <v>421</v>
      </c>
      <c r="L3423" t="s">
        <v>428</v>
      </c>
      <c r="M3423" t="s">
        <v>421</v>
      </c>
    </row>
    <row r="3424" spans="1:13" ht="15" customHeight="1" x14ac:dyDescent="0.25">
      <c r="A3424" s="82">
        <v>45699</v>
      </c>
      <c r="B3424" t="s">
        <v>424</v>
      </c>
      <c r="C3424" t="s">
        <v>527</v>
      </c>
      <c r="D3424" t="s">
        <v>455</v>
      </c>
      <c r="E3424" t="s">
        <v>429</v>
      </c>
      <c r="F3424" t="s">
        <v>421</v>
      </c>
      <c r="G3424" t="s">
        <v>428</v>
      </c>
      <c r="H3424" t="s">
        <v>425</v>
      </c>
      <c r="I3424" t="s">
        <v>430</v>
      </c>
      <c r="J3424" t="s">
        <v>427</v>
      </c>
      <c r="L3424" t="s">
        <v>421</v>
      </c>
      <c r="M3424" t="s">
        <v>423</v>
      </c>
    </row>
    <row r="3425" spans="1:13" ht="15" customHeight="1" x14ac:dyDescent="0.25">
      <c r="A3425" s="82">
        <v>45700</v>
      </c>
      <c r="B3425" t="s">
        <v>424</v>
      </c>
      <c r="C3425" t="s">
        <v>527</v>
      </c>
      <c r="D3425" t="s">
        <v>427</v>
      </c>
      <c r="E3425" t="s">
        <v>429</v>
      </c>
      <c r="F3425" t="s">
        <v>421</v>
      </c>
      <c r="G3425" t="s">
        <v>428</v>
      </c>
      <c r="H3425" t="s">
        <v>425</v>
      </c>
      <c r="I3425" t="s">
        <v>430</v>
      </c>
      <c r="J3425" t="s">
        <v>455</v>
      </c>
      <c r="L3425" t="s">
        <v>421</v>
      </c>
      <c r="M3425" t="s">
        <v>423</v>
      </c>
    </row>
    <row r="3426" spans="1:13" ht="15" customHeight="1" x14ac:dyDescent="0.25">
      <c r="A3426" s="82">
        <v>45701</v>
      </c>
      <c r="B3426" t="s">
        <v>424</v>
      </c>
      <c r="C3426" t="s">
        <v>527</v>
      </c>
      <c r="D3426" t="s">
        <v>455</v>
      </c>
      <c r="E3426" t="s">
        <v>429</v>
      </c>
      <c r="F3426" t="s">
        <v>430</v>
      </c>
      <c r="G3426" t="s">
        <v>428</v>
      </c>
      <c r="H3426" t="s">
        <v>425</v>
      </c>
      <c r="I3426" t="s">
        <v>421</v>
      </c>
      <c r="J3426" t="s">
        <v>427</v>
      </c>
      <c r="L3426" t="s">
        <v>421</v>
      </c>
      <c r="M3426" t="s">
        <v>423</v>
      </c>
    </row>
    <row r="3427" spans="1:13" ht="15" customHeight="1" x14ac:dyDescent="0.25">
      <c r="A3427" s="82">
        <v>45702</v>
      </c>
      <c r="B3427" t="s">
        <v>427</v>
      </c>
      <c r="C3427" t="s">
        <v>527</v>
      </c>
      <c r="D3427" t="s">
        <v>429</v>
      </c>
      <c r="E3427" t="s">
        <v>421</v>
      </c>
      <c r="F3427" t="s">
        <v>430</v>
      </c>
      <c r="G3427" t="s">
        <v>425</v>
      </c>
      <c r="H3427" t="s">
        <v>425</v>
      </c>
      <c r="I3427" t="s">
        <v>428</v>
      </c>
      <c r="J3427" t="s">
        <v>455</v>
      </c>
      <c r="L3427" t="s">
        <v>421</v>
      </c>
      <c r="M3427" t="s">
        <v>423</v>
      </c>
    </row>
    <row r="3428" spans="1:13" ht="15" customHeight="1" x14ac:dyDescent="0.25">
      <c r="A3428" s="82">
        <v>45703</v>
      </c>
      <c r="B3428" t="s">
        <v>455</v>
      </c>
      <c r="C3428" t="s">
        <v>527</v>
      </c>
      <c r="D3428" t="s">
        <v>429</v>
      </c>
      <c r="E3428" t="s">
        <v>427</v>
      </c>
      <c r="F3428" t="s">
        <v>430</v>
      </c>
      <c r="G3428" t="s">
        <v>425</v>
      </c>
      <c r="H3428" t="s">
        <v>421</v>
      </c>
      <c r="I3428" t="s">
        <v>428</v>
      </c>
      <c r="J3428" t="s">
        <v>424</v>
      </c>
      <c r="L3428" t="s">
        <v>421</v>
      </c>
      <c r="M3428" t="s">
        <v>423</v>
      </c>
    </row>
    <row r="3429" spans="1:13" ht="15" customHeight="1" x14ac:dyDescent="0.25">
      <c r="A3429" s="82">
        <v>45704</v>
      </c>
      <c r="B3429" t="s">
        <v>427</v>
      </c>
      <c r="C3429" t="s">
        <v>527</v>
      </c>
      <c r="D3429" t="s">
        <v>429</v>
      </c>
      <c r="E3429" t="s">
        <v>455</v>
      </c>
      <c r="F3429" t="s">
        <v>430</v>
      </c>
      <c r="G3429" t="s">
        <v>425</v>
      </c>
      <c r="H3429" t="s">
        <v>421</v>
      </c>
      <c r="I3429" t="s">
        <v>428</v>
      </c>
      <c r="J3429" t="s">
        <v>424</v>
      </c>
      <c r="L3429" t="s">
        <v>421</v>
      </c>
      <c r="M3429" t="s">
        <v>423</v>
      </c>
    </row>
    <row r="3430" spans="1:13" ht="15" customHeight="1" x14ac:dyDescent="0.25">
      <c r="A3430" s="82">
        <v>45705</v>
      </c>
      <c r="B3430" t="s">
        <v>455</v>
      </c>
      <c r="C3430" t="s">
        <v>527</v>
      </c>
      <c r="D3430" t="s">
        <v>429</v>
      </c>
      <c r="E3430" t="s">
        <v>421</v>
      </c>
      <c r="F3430" t="s">
        <v>430</v>
      </c>
      <c r="G3430" t="s">
        <v>425</v>
      </c>
      <c r="H3430" t="s">
        <v>427</v>
      </c>
      <c r="I3430" t="s">
        <v>428</v>
      </c>
      <c r="J3430" t="s">
        <v>424</v>
      </c>
      <c r="L3430" t="s">
        <v>423</v>
      </c>
      <c r="M3430" t="s">
        <v>421</v>
      </c>
    </row>
    <row r="3431" spans="1:13" ht="15" customHeight="1" x14ac:dyDescent="0.25">
      <c r="A3431" s="82">
        <v>45706</v>
      </c>
      <c r="B3431" t="s">
        <v>421</v>
      </c>
      <c r="C3431" t="s">
        <v>527</v>
      </c>
      <c r="D3431" t="s">
        <v>429</v>
      </c>
      <c r="E3431" t="s">
        <v>427</v>
      </c>
      <c r="F3431" t="s">
        <v>430</v>
      </c>
      <c r="G3431" t="s">
        <v>425</v>
      </c>
      <c r="H3431" t="s">
        <v>455</v>
      </c>
      <c r="I3431" t="s">
        <v>428</v>
      </c>
      <c r="J3431" t="s">
        <v>424</v>
      </c>
      <c r="L3431" t="s">
        <v>423</v>
      </c>
      <c r="M3431" t="s">
        <v>421</v>
      </c>
    </row>
    <row r="3432" spans="1:13" ht="15" customHeight="1" x14ac:dyDescent="0.25">
      <c r="A3432" s="82">
        <v>45707</v>
      </c>
      <c r="B3432" t="s">
        <v>421</v>
      </c>
      <c r="C3432" t="s">
        <v>527</v>
      </c>
      <c r="D3432" t="s">
        <v>429</v>
      </c>
      <c r="E3432" t="s">
        <v>455</v>
      </c>
      <c r="F3432" t="s">
        <v>430</v>
      </c>
      <c r="G3432" t="s">
        <v>425</v>
      </c>
      <c r="H3432" t="s">
        <v>427</v>
      </c>
      <c r="I3432" t="s">
        <v>428</v>
      </c>
      <c r="J3432" t="s">
        <v>424</v>
      </c>
      <c r="L3432" t="s">
        <v>423</v>
      </c>
      <c r="M3432" t="s">
        <v>421</v>
      </c>
    </row>
    <row r="3433" spans="1:13" ht="15" customHeight="1" x14ac:dyDescent="0.25">
      <c r="A3433" s="82">
        <v>45708</v>
      </c>
      <c r="B3433" t="s">
        <v>430</v>
      </c>
      <c r="C3433" t="s">
        <v>527</v>
      </c>
      <c r="D3433" t="s">
        <v>429</v>
      </c>
      <c r="E3433" t="s">
        <v>427</v>
      </c>
      <c r="F3433" t="s">
        <v>421</v>
      </c>
      <c r="G3433" t="s">
        <v>425</v>
      </c>
      <c r="H3433" t="s">
        <v>455</v>
      </c>
      <c r="I3433" t="s">
        <v>428</v>
      </c>
      <c r="J3433" t="s">
        <v>424</v>
      </c>
      <c r="L3433" t="s">
        <v>423</v>
      </c>
      <c r="M3433" t="s">
        <v>421</v>
      </c>
    </row>
    <row r="3434" spans="1:13" ht="15" customHeight="1" x14ac:dyDescent="0.25">
      <c r="A3434" s="82">
        <v>45709</v>
      </c>
      <c r="B3434" t="s">
        <v>430</v>
      </c>
      <c r="C3434" t="s">
        <v>527</v>
      </c>
      <c r="D3434" t="s">
        <v>421</v>
      </c>
      <c r="E3434" t="s">
        <v>455</v>
      </c>
      <c r="F3434" t="s">
        <v>428</v>
      </c>
      <c r="G3434" t="s">
        <v>425</v>
      </c>
      <c r="H3434" t="s">
        <v>429</v>
      </c>
      <c r="I3434" t="s">
        <v>425</v>
      </c>
      <c r="J3434" t="s">
        <v>427</v>
      </c>
      <c r="L3434" t="s">
        <v>421</v>
      </c>
      <c r="M3434" t="s">
        <v>423</v>
      </c>
    </row>
    <row r="3435" spans="1:13" ht="15" customHeight="1" x14ac:dyDescent="0.25">
      <c r="A3435" s="82">
        <v>45710</v>
      </c>
      <c r="B3435" t="s">
        <v>430</v>
      </c>
      <c r="C3435" t="s">
        <v>527</v>
      </c>
      <c r="D3435" t="s">
        <v>427</v>
      </c>
      <c r="E3435" t="s">
        <v>424</v>
      </c>
      <c r="F3435" t="s">
        <v>428</v>
      </c>
      <c r="G3435" t="s">
        <v>421</v>
      </c>
      <c r="H3435" t="s">
        <v>429</v>
      </c>
      <c r="I3435" t="s">
        <v>425</v>
      </c>
      <c r="J3435" t="s">
        <v>455</v>
      </c>
      <c r="L3435" t="s">
        <v>421</v>
      </c>
      <c r="M3435" t="s">
        <v>423</v>
      </c>
    </row>
    <row r="3436" spans="1:13" ht="15" customHeight="1" x14ac:dyDescent="0.25">
      <c r="A3436" s="82">
        <v>45711</v>
      </c>
      <c r="B3436" t="s">
        <v>430</v>
      </c>
      <c r="C3436" t="s">
        <v>527</v>
      </c>
      <c r="D3436" t="s">
        <v>455</v>
      </c>
      <c r="E3436" t="s">
        <v>424</v>
      </c>
      <c r="F3436" t="s">
        <v>428</v>
      </c>
      <c r="G3436" t="s">
        <v>421</v>
      </c>
      <c r="H3436" t="s">
        <v>429</v>
      </c>
      <c r="I3436" t="s">
        <v>425</v>
      </c>
      <c r="J3436" t="s">
        <v>427</v>
      </c>
      <c r="L3436" t="s">
        <v>421</v>
      </c>
      <c r="M3436" t="s">
        <v>423</v>
      </c>
    </row>
    <row r="3437" spans="1:13" ht="15" customHeight="1" x14ac:dyDescent="0.25">
      <c r="A3437" s="82">
        <v>45712</v>
      </c>
      <c r="B3437" t="s">
        <v>430</v>
      </c>
      <c r="C3437" t="s">
        <v>527</v>
      </c>
      <c r="D3437" t="s">
        <v>421</v>
      </c>
      <c r="E3437" t="s">
        <v>424</v>
      </c>
      <c r="F3437" t="s">
        <v>428</v>
      </c>
      <c r="G3437" t="s">
        <v>427</v>
      </c>
      <c r="H3437" t="s">
        <v>429</v>
      </c>
      <c r="I3437" t="s">
        <v>425</v>
      </c>
      <c r="J3437" t="s">
        <v>455</v>
      </c>
      <c r="L3437" t="s">
        <v>421</v>
      </c>
      <c r="M3437" t="s">
        <v>423</v>
      </c>
    </row>
    <row r="3438" spans="1:13" ht="15" customHeight="1" x14ac:dyDescent="0.25">
      <c r="A3438" s="82">
        <v>45713</v>
      </c>
      <c r="B3438" t="s">
        <v>430</v>
      </c>
      <c r="C3438" t="s">
        <v>527</v>
      </c>
      <c r="D3438" t="s">
        <v>427</v>
      </c>
      <c r="E3438" t="s">
        <v>424</v>
      </c>
      <c r="F3438" t="s">
        <v>428</v>
      </c>
      <c r="G3438" t="s">
        <v>455</v>
      </c>
      <c r="H3438" t="s">
        <v>429</v>
      </c>
      <c r="I3438" t="s">
        <v>425</v>
      </c>
      <c r="J3438" t="s">
        <v>421</v>
      </c>
      <c r="L3438" t="s">
        <v>421</v>
      </c>
      <c r="M3438" t="s">
        <v>423</v>
      </c>
    </row>
    <row r="3439" spans="1:13" ht="15" customHeight="1" x14ac:dyDescent="0.25">
      <c r="A3439" s="82">
        <v>45714</v>
      </c>
      <c r="B3439" t="s">
        <v>430</v>
      </c>
      <c r="C3439" t="s">
        <v>527</v>
      </c>
      <c r="D3439" t="s">
        <v>455</v>
      </c>
      <c r="E3439" t="s">
        <v>424</v>
      </c>
      <c r="F3439" t="s">
        <v>428</v>
      </c>
      <c r="G3439" t="s">
        <v>427</v>
      </c>
      <c r="H3439" t="s">
        <v>429</v>
      </c>
      <c r="I3439" t="s">
        <v>425</v>
      </c>
      <c r="J3439" t="s">
        <v>421</v>
      </c>
      <c r="L3439" t="s">
        <v>421</v>
      </c>
      <c r="M3439" t="s">
        <v>423</v>
      </c>
    </row>
    <row r="3440" spans="1:13" ht="15" customHeight="1" x14ac:dyDescent="0.25">
      <c r="A3440" s="82">
        <v>45715</v>
      </c>
      <c r="B3440" t="s">
        <v>421</v>
      </c>
      <c r="C3440" t="s">
        <v>527</v>
      </c>
      <c r="D3440" t="s">
        <v>427</v>
      </c>
      <c r="E3440" t="s">
        <v>424</v>
      </c>
      <c r="F3440" t="s">
        <v>428</v>
      </c>
      <c r="G3440" t="s">
        <v>455</v>
      </c>
      <c r="H3440" t="s">
        <v>429</v>
      </c>
      <c r="I3440" t="s">
        <v>425</v>
      </c>
      <c r="J3440" t="s">
        <v>430</v>
      </c>
      <c r="L3440" t="s">
        <v>423</v>
      </c>
      <c r="M3440" t="s">
        <v>421</v>
      </c>
    </row>
    <row r="3441" spans="1:13" ht="15" customHeight="1" x14ac:dyDescent="0.25">
      <c r="A3441" s="82">
        <v>45716</v>
      </c>
      <c r="B3441" t="s">
        <v>428</v>
      </c>
      <c r="C3441" t="s">
        <v>527</v>
      </c>
      <c r="D3441" t="s">
        <v>455</v>
      </c>
      <c r="E3441" t="s">
        <v>427</v>
      </c>
      <c r="F3441" t="s">
        <v>425</v>
      </c>
      <c r="G3441" t="s">
        <v>429</v>
      </c>
      <c r="H3441" t="s">
        <v>421</v>
      </c>
      <c r="I3441" t="s">
        <v>425</v>
      </c>
      <c r="J3441" t="s">
        <v>430</v>
      </c>
      <c r="L3441" t="s">
        <v>423</v>
      </c>
      <c r="M3441" t="s">
        <v>421</v>
      </c>
    </row>
    <row r="3442" spans="1:13" ht="15" customHeight="1" x14ac:dyDescent="0.25">
      <c r="A3442" s="82">
        <v>45717</v>
      </c>
      <c r="B3442" t="s">
        <v>428</v>
      </c>
      <c r="C3442" t="s">
        <v>527</v>
      </c>
      <c r="D3442" t="s">
        <v>424</v>
      </c>
      <c r="E3442" t="s">
        <v>455</v>
      </c>
      <c r="F3442" t="s">
        <v>425</v>
      </c>
      <c r="G3442" t="s">
        <v>429</v>
      </c>
      <c r="H3442" t="s">
        <v>427</v>
      </c>
      <c r="I3442" t="s">
        <v>421</v>
      </c>
      <c r="J3442" t="s">
        <v>430</v>
      </c>
      <c r="L3442" t="s">
        <v>423</v>
      </c>
      <c r="M3442" t="s">
        <v>421</v>
      </c>
    </row>
    <row r="3443" spans="1:13" ht="15" customHeight="1" x14ac:dyDescent="0.25">
      <c r="A3443" s="82">
        <v>45718</v>
      </c>
      <c r="B3443" t="s">
        <v>428</v>
      </c>
      <c r="C3443" t="s">
        <v>527</v>
      </c>
      <c r="D3443" t="s">
        <v>424</v>
      </c>
      <c r="E3443" t="s">
        <v>427</v>
      </c>
      <c r="F3443" t="s">
        <v>425</v>
      </c>
      <c r="G3443" t="s">
        <v>429</v>
      </c>
      <c r="H3443" t="s">
        <v>455</v>
      </c>
      <c r="I3443" t="s">
        <v>421</v>
      </c>
      <c r="J3443" t="s">
        <v>430</v>
      </c>
      <c r="L3443" t="s">
        <v>423</v>
      </c>
      <c r="M3443" t="s">
        <v>421</v>
      </c>
    </row>
    <row r="3444" spans="1:13" ht="15" customHeight="1" x14ac:dyDescent="0.25">
      <c r="A3444" s="82">
        <v>45719</v>
      </c>
      <c r="B3444" t="s">
        <v>428</v>
      </c>
      <c r="C3444" t="s">
        <v>527</v>
      </c>
      <c r="D3444" t="s">
        <v>424</v>
      </c>
      <c r="E3444" t="s">
        <v>455</v>
      </c>
      <c r="F3444" t="s">
        <v>425</v>
      </c>
      <c r="G3444" t="s">
        <v>429</v>
      </c>
      <c r="H3444" t="s">
        <v>421</v>
      </c>
      <c r="I3444" t="s">
        <v>427</v>
      </c>
      <c r="J3444" t="s">
        <v>430</v>
      </c>
      <c r="L3444" t="s">
        <v>423</v>
      </c>
      <c r="M3444" t="s">
        <v>421</v>
      </c>
    </row>
    <row r="3445" spans="1:13" ht="15" customHeight="1" x14ac:dyDescent="0.25">
      <c r="A3445" s="82">
        <v>45720</v>
      </c>
      <c r="B3445" t="s">
        <v>428</v>
      </c>
      <c r="C3445" t="s">
        <v>527</v>
      </c>
      <c r="D3445" t="s">
        <v>424</v>
      </c>
      <c r="E3445" t="s">
        <v>421</v>
      </c>
      <c r="F3445" t="s">
        <v>425</v>
      </c>
      <c r="G3445" t="s">
        <v>429</v>
      </c>
      <c r="H3445" t="s">
        <v>427</v>
      </c>
      <c r="I3445" t="s">
        <v>455</v>
      </c>
      <c r="J3445" t="s">
        <v>430</v>
      </c>
      <c r="L3445" t="s">
        <v>423</v>
      </c>
      <c r="M3445" t="s">
        <v>421</v>
      </c>
    </row>
    <row r="3446" spans="1:13" ht="15" customHeight="1" x14ac:dyDescent="0.25">
      <c r="A3446" s="82">
        <v>45721</v>
      </c>
      <c r="B3446" t="s">
        <v>428</v>
      </c>
      <c r="C3446" t="s">
        <v>527</v>
      </c>
      <c r="D3446" t="s">
        <v>424</v>
      </c>
      <c r="E3446" t="s">
        <v>421</v>
      </c>
      <c r="F3446" t="s">
        <v>425</v>
      </c>
      <c r="G3446" t="s">
        <v>429</v>
      </c>
      <c r="H3446" t="s">
        <v>455</v>
      </c>
      <c r="I3446" t="s">
        <v>427</v>
      </c>
      <c r="J3446" t="s">
        <v>430</v>
      </c>
      <c r="L3446" t="s">
        <v>421</v>
      </c>
      <c r="M3446" t="s">
        <v>423</v>
      </c>
    </row>
    <row r="3447" spans="1:13" ht="15" customHeight="1" x14ac:dyDescent="0.25">
      <c r="A3447" s="82">
        <v>45722</v>
      </c>
      <c r="B3447" t="s">
        <v>428</v>
      </c>
      <c r="C3447" t="s">
        <v>527</v>
      </c>
      <c r="D3447" t="s">
        <v>424</v>
      </c>
      <c r="E3447" t="s">
        <v>430</v>
      </c>
      <c r="F3447" t="s">
        <v>425</v>
      </c>
      <c r="G3447" t="s">
        <v>429</v>
      </c>
      <c r="H3447" t="s">
        <v>427</v>
      </c>
      <c r="I3447" t="s">
        <v>455</v>
      </c>
      <c r="J3447" t="s">
        <v>421</v>
      </c>
      <c r="L3447" t="s">
        <v>421</v>
      </c>
      <c r="M3447" t="s">
        <v>423</v>
      </c>
    </row>
    <row r="3448" spans="1:13" ht="15" customHeight="1" x14ac:dyDescent="0.25">
      <c r="A3448" s="82">
        <v>45723</v>
      </c>
      <c r="B3448" t="s">
        <v>425</v>
      </c>
      <c r="C3448" t="s">
        <v>527</v>
      </c>
      <c r="D3448" t="s">
        <v>427</v>
      </c>
      <c r="E3448" t="s">
        <v>430</v>
      </c>
      <c r="F3448" t="s">
        <v>425</v>
      </c>
      <c r="G3448" t="s">
        <v>421</v>
      </c>
      <c r="H3448" t="s">
        <v>455</v>
      </c>
      <c r="I3448" t="s">
        <v>429</v>
      </c>
      <c r="J3448" t="s">
        <v>428</v>
      </c>
      <c r="L3448" t="s">
        <v>421</v>
      </c>
      <c r="M3448" t="s">
        <v>428</v>
      </c>
    </row>
    <row r="3449" spans="1:13" ht="15" customHeight="1" x14ac:dyDescent="0.25">
      <c r="A3449" s="82">
        <v>45724</v>
      </c>
      <c r="B3449" t="s">
        <v>425</v>
      </c>
      <c r="C3449" t="s">
        <v>527</v>
      </c>
      <c r="D3449" t="s">
        <v>455</v>
      </c>
      <c r="E3449" t="s">
        <v>430</v>
      </c>
      <c r="F3449" t="s">
        <v>421</v>
      </c>
      <c r="G3449" t="s">
        <v>427</v>
      </c>
      <c r="H3449" t="s">
        <v>424</v>
      </c>
      <c r="I3449" t="s">
        <v>429</v>
      </c>
      <c r="J3449" t="s">
        <v>428</v>
      </c>
      <c r="L3449" t="s">
        <v>421</v>
      </c>
      <c r="M3449" t="s">
        <v>428</v>
      </c>
    </row>
    <row r="3450" spans="1:13" ht="15" customHeight="1" x14ac:dyDescent="0.25">
      <c r="A3450" s="82">
        <v>45725</v>
      </c>
      <c r="B3450" t="s">
        <v>425</v>
      </c>
      <c r="C3450" t="s">
        <v>527</v>
      </c>
      <c r="D3450" t="s">
        <v>427</v>
      </c>
      <c r="E3450" t="s">
        <v>430</v>
      </c>
      <c r="F3450" t="s">
        <v>421</v>
      </c>
      <c r="G3450" t="s">
        <v>455</v>
      </c>
      <c r="H3450" t="s">
        <v>424</v>
      </c>
      <c r="I3450" t="s">
        <v>429</v>
      </c>
      <c r="J3450" t="s">
        <v>428</v>
      </c>
      <c r="L3450" t="s">
        <v>421</v>
      </c>
      <c r="M3450" t="s">
        <v>428</v>
      </c>
    </row>
    <row r="3451" spans="1:13" ht="15" customHeight="1" x14ac:dyDescent="0.25">
      <c r="A3451" s="82">
        <v>45726</v>
      </c>
      <c r="B3451" t="s">
        <v>425</v>
      </c>
      <c r="C3451" t="s">
        <v>527</v>
      </c>
      <c r="D3451" t="s">
        <v>455</v>
      </c>
      <c r="E3451" t="s">
        <v>430</v>
      </c>
      <c r="F3451" t="s">
        <v>427</v>
      </c>
      <c r="G3451" t="s">
        <v>421</v>
      </c>
      <c r="H3451" t="s">
        <v>424</v>
      </c>
      <c r="I3451" t="s">
        <v>429</v>
      </c>
      <c r="J3451" t="s">
        <v>428</v>
      </c>
      <c r="L3451" t="s">
        <v>421</v>
      </c>
      <c r="M3451" t="s">
        <v>428</v>
      </c>
    </row>
    <row r="3452" spans="1:13" ht="15" customHeight="1" x14ac:dyDescent="0.25">
      <c r="A3452" s="82">
        <v>45727</v>
      </c>
      <c r="B3452" t="s">
        <v>425</v>
      </c>
      <c r="C3452" t="s">
        <v>527</v>
      </c>
      <c r="D3452" t="s">
        <v>421</v>
      </c>
      <c r="E3452" t="s">
        <v>430</v>
      </c>
      <c r="F3452" t="s">
        <v>455</v>
      </c>
      <c r="G3452" t="s">
        <v>427</v>
      </c>
      <c r="H3452" t="s">
        <v>424</v>
      </c>
      <c r="I3452" t="s">
        <v>429</v>
      </c>
      <c r="J3452" t="s">
        <v>428</v>
      </c>
      <c r="L3452" t="s">
        <v>423</v>
      </c>
      <c r="M3452" t="s">
        <v>421</v>
      </c>
    </row>
    <row r="3453" spans="1:13" ht="15" customHeight="1" x14ac:dyDescent="0.25">
      <c r="A3453" s="82">
        <v>45728</v>
      </c>
      <c r="B3453" t="s">
        <v>425</v>
      </c>
      <c r="C3453" t="s">
        <v>527</v>
      </c>
      <c r="D3453" t="s">
        <v>421</v>
      </c>
      <c r="E3453" t="s">
        <v>430</v>
      </c>
      <c r="F3453" t="s">
        <v>427</v>
      </c>
      <c r="G3453" t="s">
        <v>455</v>
      </c>
      <c r="H3453" t="s">
        <v>424</v>
      </c>
      <c r="I3453" t="s">
        <v>429</v>
      </c>
      <c r="J3453" t="s">
        <v>428</v>
      </c>
      <c r="L3453" t="s">
        <v>423</v>
      </c>
      <c r="M3453" t="s">
        <v>421</v>
      </c>
    </row>
    <row r="3454" spans="1:13" ht="15" customHeight="1" x14ac:dyDescent="0.25">
      <c r="A3454" s="82">
        <v>45729</v>
      </c>
      <c r="B3454" t="s">
        <v>425</v>
      </c>
      <c r="C3454" t="s">
        <v>527</v>
      </c>
      <c r="D3454" t="s">
        <v>430</v>
      </c>
      <c r="E3454" t="s">
        <v>421</v>
      </c>
      <c r="F3454" t="s">
        <v>455</v>
      </c>
      <c r="G3454" t="s">
        <v>427</v>
      </c>
      <c r="H3454" t="s">
        <v>424</v>
      </c>
      <c r="I3454" t="s">
        <v>429</v>
      </c>
      <c r="J3454" t="s">
        <v>428</v>
      </c>
      <c r="L3454" t="s">
        <v>423</v>
      </c>
      <c r="M3454" t="s">
        <v>421</v>
      </c>
    </row>
    <row r="3455" spans="1:13" ht="15" customHeight="1" x14ac:dyDescent="0.25">
      <c r="A3455" s="82">
        <v>45730</v>
      </c>
      <c r="B3455" t="s">
        <v>425</v>
      </c>
      <c r="C3455" t="s">
        <v>527</v>
      </c>
      <c r="D3455" t="s">
        <v>430</v>
      </c>
      <c r="E3455" t="s">
        <v>428</v>
      </c>
      <c r="F3455" t="s">
        <v>429</v>
      </c>
      <c r="G3455" t="s">
        <v>455</v>
      </c>
      <c r="H3455" t="s">
        <v>427</v>
      </c>
      <c r="I3455" t="s">
        <v>421</v>
      </c>
      <c r="J3455" t="s">
        <v>425</v>
      </c>
      <c r="L3455" t="s">
        <v>423</v>
      </c>
      <c r="M3455" t="s">
        <v>421</v>
      </c>
    </row>
    <row r="3456" spans="1:13" ht="15" customHeight="1" x14ac:dyDescent="0.25">
      <c r="A3456" s="82">
        <v>45731</v>
      </c>
      <c r="B3456" t="s">
        <v>421</v>
      </c>
      <c r="C3456" t="s">
        <v>527</v>
      </c>
      <c r="D3456" t="s">
        <v>430</v>
      </c>
      <c r="E3456" t="s">
        <v>428</v>
      </c>
      <c r="F3456" t="s">
        <v>429</v>
      </c>
      <c r="G3456" t="s">
        <v>424</v>
      </c>
      <c r="H3456" t="s">
        <v>455</v>
      </c>
      <c r="I3456" t="s">
        <v>427</v>
      </c>
      <c r="J3456" t="s">
        <v>425</v>
      </c>
      <c r="L3456" t="s">
        <v>423</v>
      </c>
      <c r="M3456" t="s">
        <v>421</v>
      </c>
    </row>
    <row r="3457" spans="1:13" ht="15" customHeight="1" x14ac:dyDescent="0.25">
      <c r="A3457" s="82">
        <v>45732</v>
      </c>
      <c r="B3457" t="s">
        <v>421</v>
      </c>
      <c r="C3457" t="s">
        <v>527</v>
      </c>
      <c r="D3457" t="s">
        <v>430</v>
      </c>
      <c r="E3457" t="s">
        <v>428</v>
      </c>
      <c r="F3457" t="s">
        <v>429</v>
      </c>
      <c r="G3457" t="s">
        <v>424</v>
      </c>
      <c r="H3457" t="s">
        <v>427</v>
      </c>
      <c r="I3457" t="s">
        <v>455</v>
      </c>
      <c r="J3457" t="s">
        <v>425</v>
      </c>
      <c r="L3457" t="s">
        <v>423</v>
      </c>
      <c r="M3457" t="s">
        <v>421</v>
      </c>
    </row>
    <row r="3458" spans="1:13" ht="15" customHeight="1" x14ac:dyDescent="0.25">
      <c r="A3458" s="82">
        <v>45733</v>
      </c>
      <c r="B3458" t="s">
        <v>427</v>
      </c>
      <c r="C3458" t="s">
        <v>527</v>
      </c>
      <c r="D3458" t="s">
        <v>430</v>
      </c>
      <c r="E3458" t="s">
        <v>428</v>
      </c>
      <c r="F3458" t="s">
        <v>429</v>
      </c>
      <c r="G3458" t="s">
        <v>424</v>
      </c>
      <c r="H3458" t="s">
        <v>455</v>
      </c>
      <c r="I3458" t="s">
        <v>421</v>
      </c>
      <c r="J3458" t="s">
        <v>425</v>
      </c>
      <c r="L3458" t="s">
        <v>421</v>
      </c>
      <c r="M3458" t="s">
        <v>423</v>
      </c>
    </row>
    <row r="3459" spans="1:13" ht="15" customHeight="1" x14ac:dyDescent="0.25">
      <c r="A3459" s="82">
        <v>45734</v>
      </c>
      <c r="B3459" t="s">
        <v>455</v>
      </c>
      <c r="C3459" t="s">
        <v>527</v>
      </c>
      <c r="D3459" t="s">
        <v>430</v>
      </c>
      <c r="E3459" t="s">
        <v>428</v>
      </c>
      <c r="F3459" t="s">
        <v>429</v>
      </c>
      <c r="G3459" t="s">
        <v>424</v>
      </c>
      <c r="H3459" t="s">
        <v>421</v>
      </c>
      <c r="I3459" t="s">
        <v>427</v>
      </c>
      <c r="J3459" t="s">
        <v>425</v>
      </c>
      <c r="L3459" t="s">
        <v>421</v>
      </c>
      <c r="M3459" t="s">
        <v>423</v>
      </c>
    </row>
    <row r="3460" spans="1:13" ht="15" customHeight="1" x14ac:dyDescent="0.25">
      <c r="A3460" s="82">
        <v>45735</v>
      </c>
      <c r="B3460" t="s">
        <v>427</v>
      </c>
      <c r="C3460" t="s">
        <v>527</v>
      </c>
      <c r="D3460" t="s">
        <v>430</v>
      </c>
      <c r="E3460" t="s">
        <v>428</v>
      </c>
      <c r="F3460" t="s">
        <v>429</v>
      </c>
      <c r="G3460" t="s">
        <v>424</v>
      </c>
      <c r="H3460" t="s">
        <v>421</v>
      </c>
      <c r="I3460" t="s">
        <v>455</v>
      </c>
      <c r="J3460" t="s">
        <v>425</v>
      </c>
      <c r="L3460" t="s">
        <v>421</v>
      </c>
      <c r="M3460" t="s">
        <v>423</v>
      </c>
    </row>
    <row r="3461" spans="1:13" ht="15" customHeight="1" x14ac:dyDescent="0.25">
      <c r="A3461" s="82">
        <v>45736</v>
      </c>
      <c r="B3461" t="s">
        <v>455</v>
      </c>
      <c r="C3461" t="s">
        <v>527</v>
      </c>
      <c r="D3461" t="s">
        <v>421</v>
      </c>
      <c r="E3461" t="s">
        <v>428</v>
      </c>
      <c r="F3461" t="s">
        <v>429</v>
      </c>
      <c r="G3461" t="s">
        <v>424</v>
      </c>
      <c r="H3461" t="s">
        <v>430</v>
      </c>
      <c r="I3461" t="s">
        <v>427</v>
      </c>
      <c r="J3461" t="s">
        <v>425</v>
      </c>
      <c r="L3461" t="s">
        <v>421</v>
      </c>
      <c r="M3461" t="s">
        <v>423</v>
      </c>
    </row>
    <row r="3462" spans="1:13" ht="15" customHeight="1" x14ac:dyDescent="0.25">
      <c r="A3462" s="82">
        <v>45737</v>
      </c>
      <c r="B3462" t="s">
        <v>429</v>
      </c>
      <c r="C3462" t="s">
        <v>527</v>
      </c>
      <c r="D3462" t="s">
        <v>428</v>
      </c>
      <c r="E3462" t="s">
        <v>425</v>
      </c>
      <c r="F3462" t="s">
        <v>421</v>
      </c>
      <c r="G3462" t="s">
        <v>427</v>
      </c>
      <c r="H3462" t="s">
        <v>430</v>
      </c>
      <c r="I3462" t="s">
        <v>455</v>
      </c>
      <c r="J3462" t="s">
        <v>425</v>
      </c>
      <c r="L3462" t="s">
        <v>423</v>
      </c>
      <c r="M3462" t="s">
        <v>421</v>
      </c>
    </row>
    <row r="3463" spans="1:13" ht="15" customHeight="1" x14ac:dyDescent="0.25">
      <c r="A3463" s="82">
        <v>45738</v>
      </c>
      <c r="B3463" t="s">
        <v>429</v>
      </c>
      <c r="C3463" t="s">
        <v>527</v>
      </c>
      <c r="D3463" t="s">
        <v>428</v>
      </c>
      <c r="E3463" t="s">
        <v>425</v>
      </c>
      <c r="F3463" t="s">
        <v>427</v>
      </c>
      <c r="G3463" t="s">
        <v>455</v>
      </c>
      <c r="H3463" t="s">
        <v>430</v>
      </c>
      <c r="I3463" t="s">
        <v>424</v>
      </c>
      <c r="J3463" t="s">
        <v>421</v>
      </c>
      <c r="L3463" t="s">
        <v>423</v>
      </c>
      <c r="M3463" t="s">
        <v>421</v>
      </c>
    </row>
    <row r="3464" spans="1:13" ht="15" customHeight="1" x14ac:dyDescent="0.25">
      <c r="A3464" s="82">
        <v>45739</v>
      </c>
      <c r="B3464" t="s">
        <v>429</v>
      </c>
      <c r="C3464" t="s">
        <v>527</v>
      </c>
      <c r="D3464" t="s">
        <v>428</v>
      </c>
      <c r="E3464" t="s">
        <v>425</v>
      </c>
      <c r="F3464" t="s">
        <v>455</v>
      </c>
      <c r="G3464" t="s">
        <v>427</v>
      </c>
      <c r="H3464" t="s">
        <v>430</v>
      </c>
      <c r="I3464" t="s">
        <v>424</v>
      </c>
      <c r="J3464" t="s">
        <v>421</v>
      </c>
      <c r="L3464" t="s">
        <v>423</v>
      </c>
      <c r="M3464" t="s">
        <v>421</v>
      </c>
    </row>
    <row r="3465" spans="1:13" ht="15" customHeight="1" x14ac:dyDescent="0.25">
      <c r="A3465" s="82">
        <v>45740</v>
      </c>
      <c r="B3465" t="s">
        <v>430</v>
      </c>
      <c r="C3465" t="s">
        <v>457</v>
      </c>
      <c r="D3465" t="s">
        <v>428</v>
      </c>
      <c r="E3465" t="s">
        <v>425</v>
      </c>
      <c r="F3465" t="s">
        <v>421</v>
      </c>
      <c r="G3465" t="s">
        <v>455</v>
      </c>
      <c r="H3465" t="s">
        <v>426</v>
      </c>
      <c r="I3465" t="s">
        <v>429</v>
      </c>
      <c r="J3465" t="s">
        <v>427</v>
      </c>
      <c r="L3465" t="s">
        <v>423</v>
      </c>
      <c r="M3465" t="s">
        <v>421</v>
      </c>
    </row>
    <row r="3466" spans="1:13" ht="15" customHeight="1" x14ac:dyDescent="0.25">
      <c r="A3466" s="82">
        <v>45741</v>
      </c>
      <c r="B3466" t="s">
        <v>430</v>
      </c>
      <c r="C3466" t="s">
        <v>457</v>
      </c>
      <c r="D3466" t="s">
        <v>428</v>
      </c>
      <c r="E3466" t="s">
        <v>425</v>
      </c>
      <c r="F3466" t="s">
        <v>427</v>
      </c>
      <c r="G3466" t="s">
        <v>421</v>
      </c>
      <c r="H3466" t="s">
        <v>426</v>
      </c>
      <c r="I3466" t="s">
        <v>429</v>
      </c>
      <c r="J3466" t="s">
        <v>455</v>
      </c>
      <c r="L3466" t="s">
        <v>423</v>
      </c>
      <c r="M3466" t="s">
        <v>421</v>
      </c>
    </row>
    <row r="3467" spans="1:13" ht="15" customHeight="1" x14ac:dyDescent="0.25">
      <c r="A3467" s="82">
        <v>45742</v>
      </c>
      <c r="B3467" t="s">
        <v>430</v>
      </c>
      <c r="C3467" t="s">
        <v>457</v>
      </c>
      <c r="D3467" t="s">
        <v>428</v>
      </c>
      <c r="E3467" t="s">
        <v>425</v>
      </c>
      <c r="F3467" t="s">
        <v>455</v>
      </c>
      <c r="G3467" t="s">
        <v>421</v>
      </c>
      <c r="H3467" t="s">
        <v>426</v>
      </c>
      <c r="I3467" t="s">
        <v>429</v>
      </c>
      <c r="J3467" t="s">
        <v>427</v>
      </c>
      <c r="L3467" t="s">
        <v>423</v>
      </c>
      <c r="M3467" t="s">
        <v>421</v>
      </c>
    </row>
    <row r="3468" spans="1:13" ht="15" customHeight="1" x14ac:dyDescent="0.25">
      <c r="A3468" s="82">
        <v>45743</v>
      </c>
      <c r="B3468" t="s">
        <v>430</v>
      </c>
      <c r="C3468" t="s">
        <v>457</v>
      </c>
      <c r="D3468" t="s">
        <v>428</v>
      </c>
      <c r="E3468" t="s">
        <v>425</v>
      </c>
      <c r="F3468" t="s">
        <v>427</v>
      </c>
      <c r="G3468" t="s">
        <v>426</v>
      </c>
      <c r="H3468" t="s">
        <v>421</v>
      </c>
      <c r="I3468" t="s">
        <v>429</v>
      </c>
      <c r="J3468" t="s">
        <v>455</v>
      </c>
      <c r="L3468" t="s">
        <v>421</v>
      </c>
      <c r="M3468" t="s">
        <v>423</v>
      </c>
    </row>
    <row r="3469" spans="1:13" ht="15" customHeight="1" x14ac:dyDescent="0.25">
      <c r="A3469" s="82">
        <v>45744</v>
      </c>
      <c r="B3469" t="s">
        <v>429</v>
      </c>
      <c r="C3469" t="s">
        <v>457</v>
      </c>
      <c r="D3469" t="s">
        <v>421</v>
      </c>
      <c r="E3469" t="s">
        <v>425</v>
      </c>
      <c r="F3469" t="s">
        <v>455</v>
      </c>
      <c r="G3469" t="s">
        <v>426</v>
      </c>
      <c r="H3469" t="s">
        <v>427</v>
      </c>
      <c r="I3469" t="s">
        <v>425</v>
      </c>
      <c r="J3469" t="s">
        <v>430</v>
      </c>
      <c r="L3469" t="s">
        <v>421</v>
      </c>
      <c r="M3469" t="s">
        <v>423</v>
      </c>
    </row>
    <row r="3470" spans="1:13" ht="15" customHeight="1" x14ac:dyDescent="0.25">
      <c r="A3470" s="82">
        <v>45745</v>
      </c>
      <c r="B3470" t="s">
        <v>429</v>
      </c>
      <c r="C3470" t="s">
        <v>457</v>
      </c>
      <c r="D3470" t="s">
        <v>427</v>
      </c>
      <c r="E3470" t="s">
        <v>421</v>
      </c>
      <c r="F3470" t="s">
        <v>430</v>
      </c>
      <c r="G3470" t="s">
        <v>426</v>
      </c>
      <c r="H3470" t="s">
        <v>455</v>
      </c>
      <c r="I3470" t="s">
        <v>425</v>
      </c>
      <c r="J3470" t="s">
        <v>428</v>
      </c>
      <c r="L3470" t="s">
        <v>421</v>
      </c>
      <c r="M3470" t="s">
        <v>423</v>
      </c>
    </row>
    <row r="3471" spans="1:13" ht="15" customHeight="1" x14ac:dyDescent="0.25">
      <c r="A3471" s="82">
        <v>45746</v>
      </c>
      <c r="B3471" t="s">
        <v>429</v>
      </c>
      <c r="C3471" t="s">
        <v>457</v>
      </c>
      <c r="D3471" t="s">
        <v>455</v>
      </c>
      <c r="E3471" t="s">
        <v>421</v>
      </c>
      <c r="F3471" t="s">
        <v>430</v>
      </c>
      <c r="G3471" t="s">
        <v>426</v>
      </c>
      <c r="H3471" t="s">
        <v>427</v>
      </c>
      <c r="I3471" t="s">
        <v>425</v>
      </c>
      <c r="J3471" t="s">
        <v>428</v>
      </c>
      <c r="L3471" t="s">
        <v>421</v>
      </c>
      <c r="M3471" t="s">
        <v>423</v>
      </c>
    </row>
    <row r="3472" spans="1:13" ht="15" customHeight="1" x14ac:dyDescent="0.25">
      <c r="A3472" s="82">
        <v>45747</v>
      </c>
      <c r="B3472" t="s">
        <v>424</v>
      </c>
      <c r="C3472" t="s">
        <v>429</v>
      </c>
      <c r="D3472" t="s">
        <v>428</v>
      </c>
      <c r="E3472" t="s">
        <v>427</v>
      </c>
      <c r="F3472" t="s">
        <v>430</v>
      </c>
      <c r="G3472" t="s">
        <v>426</v>
      </c>
      <c r="H3472" t="s">
        <v>455</v>
      </c>
      <c r="I3472" t="s">
        <v>425</v>
      </c>
      <c r="J3472" t="s">
        <v>421</v>
      </c>
      <c r="L3472" t="s">
        <v>421</v>
      </c>
      <c r="M3472" t="s">
        <v>423</v>
      </c>
    </row>
    <row r="3473" spans="1:13" ht="15" customHeight="1" x14ac:dyDescent="0.25">
      <c r="A3473" s="82">
        <v>45748</v>
      </c>
      <c r="B3473" t="s">
        <v>424</v>
      </c>
      <c r="C3473" t="s">
        <v>429</v>
      </c>
      <c r="D3473" t="s">
        <v>428</v>
      </c>
      <c r="E3473" t="s">
        <v>455</v>
      </c>
      <c r="F3473" t="s">
        <v>430</v>
      </c>
      <c r="G3473" t="s">
        <v>426</v>
      </c>
      <c r="H3473" t="s">
        <v>421</v>
      </c>
      <c r="I3473" t="s">
        <v>425</v>
      </c>
      <c r="J3473" t="s">
        <v>427</v>
      </c>
      <c r="L3473" t="s">
        <v>421</v>
      </c>
      <c r="M3473" t="s">
        <v>423</v>
      </c>
    </row>
    <row r="3474" spans="1:13" ht="15" customHeight="1" x14ac:dyDescent="0.25">
      <c r="A3474" s="82">
        <v>45749</v>
      </c>
      <c r="B3474" t="s">
        <v>424</v>
      </c>
      <c r="C3474" t="s">
        <v>429</v>
      </c>
      <c r="D3474" t="s">
        <v>427</v>
      </c>
      <c r="E3474" t="s">
        <v>421</v>
      </c>
      <c r="F3474" t="s">
        <v>430</v>
      </c>
      <c r="G3474" t="s">
        <v>426</v>
      </c>
      <c r="H3474" t="s">
        <v>428</v>
      </c>
      <c r="I3474" t="s">
        <v>425</v>
      </c>
      <c r="J3474" t="s">
        <v>455</v>
      </c>
      <c r="L3474" t="s">
        <v>423</v>
      </c>
      <c r="M3474" t="s">
        <v>421</v>
      </c>
    </row>
    <row r="3475" spans="1:13" ht="15" customHeight="1" x14ac:dyDescent="0.25">
      <c r="A3475" s="82">
        <v>45750</v>
      </c>
      <c r="B3475" t="s">
        <v>424</v>
      </c>
      <c r="C3475" t="s">
        <v>429</v>
      </c>
      <c r="D3475" t="s">
        <v>455</v>
      </c>
      <c r="E3475" t="s">
        <v>427</v>
      </c>
      <c r="F3475" t="s">
        <v>430</v>
      </c>
      <c r="G3475" t="s">
        <v>426</v>
      </c>
      <c r="H3475" t="s">
        <v>428</v>
      </c>
      <c r="I3475" t="s">
        <v>425</v>
      </c>
      <c r="J3475" t="s">
        <v>421</v>
      </c>
      <c r="L3475" t="s">
        <v>423</v>
      </c>
      <c r="M3475" t="s">
        <v>421</v>
      </c>
    </row>
    <row r="3476" spans="1:13" ht="15" customHeight="1" x14ac:dyDescent="0.25">
      <c r="A3476" s="82">
        <v>45751</v>
      </c>
      <c r="B3476" t="s">
        <v>430</v>
      </c>
      <c r="C3476" t="s">
        <v>426</v>
      </c>
      <c r="D3476" t="s">
        <v>425</v>
      </c>
      <c r="E3476" t="s">
        <v>455</v>
      </c>
      <c r="F3476" t="s">
        <v>421</v>
      </c>
      <c r="G3476" t="s">
        <v>427</v>
      </c>
      <c r="H3476" t="s">
        <v>428</v>
      </c>
      <c r="I3476" t="s">
        <v>425</v>
      </c>
      <c r="J3476" t="s">
        <v>424</v>
      </c>
      <c r="L3476" t="s">
        <v>428</v>
      </c>
      <c r="M3476" t="s">
        <v>421</v>
      </c>
    </row>
    <row r="3477" spans="1:13" ht="15" customHeight="1" x14ac:dyDescent="0.25">
      <c r="A3477" s="82">
        <v>45752</v>
      </c>
      <c r="B3477" t="s">
        <v>430</v>
      </c>
      <c r="C3477" t="s">
        <v>426</v>
      </c>
      <c r="D3477" t="s">
        <v>425</v>
      </c>
      <c r="E3477" t="s">
        <v>429</v>
      </c>
      <c r="F3477" t="s">
        <v>427</v>
      </c>
      <c r="G3477" t="s">
        <v>455</v>
      </c>
      <c r="H3477" t="s">
        <v>428</v>
      </c>
      <c r="I3477" t="s">
        <v>421</v>
      </c>
      <c r="J3477" t="s">
        <v>424</v>
      </c>
      <c r="L3477" t="s">
        <v>428</v>
      </c>
      <c r="M3477" t="s">
        <v>421</v>
      </c>
    </row>
    <row r="3478" spans="1:13" ht="15" customHeight="1" x14ac:dyDescent="0.25">
      <c r="A3478" s="82">
        <v>45753</v>
      </c>
      <c r="B3478" t="s">
        <v>430</v>
      </c>
      <c r="C3478" t="s">
        <v>426</v>
      </c>
      <c r="D3478" t="s">
        <v>425</v>
      </c>
      <c r="E3478" t="s">
        <v>429</v>
      </c>
      <c r="F3478" t="s">
        <v>455</v>
      </c>
      <c r="G3478" t="s">
        <v>427</v>
      </c>
      <c r="H3478" t="s">
        <v>428</v>
      </c>
      <c r="I3478" t="s">
        <v>421</v>
      </c>
      <c r="J3478" t="s">
        <v>424</v>
      </c>
      <c r="L3478" t="s">
        <v>428</v>
      </c>
      <c r="M3478" t="s">
        <v>421</v>
      </c>
    </row>
    <row r="3479" spans="1:13" ht="15" customHeight="1" x14ac:dyDescent="0.25">
      <c r="A3479" s="82">
        <v>45754</v>
      </c>
      <c r="B3479" t="s">
        <v>430</v>
      </c>
      <c r="C3479" t="s">
        <v>426</v>
      </c>
      <c r="D3479" t="s">
        <v>425</v>
      </c>
      <c r="E3479" t="s">
        <v>427</v>
      </c>
      <c r="F3479" t="s">
        <v>421</v>
      </c>
      <c r="G3479" t="s">
        <v>455</v>
      </c>
      <c r="H3479" t="s">
        <v>428</v>
      </c>
      <c r="I3479" t="s">
        <v>429</v>
      </c>
      <c r="J3479" t="s">
        <v>424</v>
      </c>
      <c r="L3479" t="s">
        <v>428</v>
      </c>
      <c r="M3479" t="s">
        <v>421</v>
      </c>
    </row>
    <row r="3480" spans="1:13" ht="15" customHeight="1" x14ac:dyDescent="0.25">
      <c r="A3480" s="82">
        <v>45755</v>
      </c>
      <c r="B3480" t="s">
        <v>430</v>
      </c>
      <c r="C3480" t="s">
        <v>426</v>
      </c>
      <c r="D3480" t="s">
        <v>425</v>
      </c>
      <c r="E3480" t="s">
        <v>455</v>
      </c>
      <c r="F3480" t="s">
        <v>427</v>
      </c>
      <c r="G3480" t="s">
        <v>421</v>
      </c>
      <c r="H3480" t="s">
        <v>428</v>
      </c>
      <c r="I3480" t="s">
        <v>429</v>
      </c>
      <c r="J3480" t="s">
        <v>424</v>
      </c>
      <c r="L3480" t="s">
        <v>421</v>
      </c>
      <c r="M3480" t="s">
        <v>423</v>
      </c>
    </row>
    <row r="3481" spans="1:13" ht="15" customHeight="1" x14ac:dyDescent="0.25">
      <c r="A3481" s="82">
        <v>45756</v>
      </c>
      <c r="B3481" t="s">
        <v>430</v>
      </c>
      <c r="C3481" t="s">
        <v>426</v>
      </c>
      <c r="D3481" t="s">
        <v>425</v>
      </c>
      <c r="E3481" t="s">
        <v>427</v>
      </c>
      <c r="F3481" t="s">
        <v>455</v>
      </c>
      <c r="G3481" t="s">
        <v>421</v>
      </c>
      <c r="H3481" t="s">
        <v>428</v>
      </c>
      <c r="I3481" t="s">
        <v>429</v>
      </c>
      <c r="J3481" t="s">
        <v>424</v>
      </c>
      <c r="L3481" t="s">
        <v>421</v>
      </c>
      <c r="M3481" t="s">
        <v>423</v>
      </c>
    </row>
    <row r="3482" spans="1:13" ht="15" customHeight="1" x14ac:dyDescent="0.25">
      <c r="A3482" s="82">
        <v>45757</v>
      </c>
      <c r="B3482" t="s">
        <v>430</v>
      </c>
      <c r="C3482" t="s">
        <v>426</v>
      </c>
      <c r="D3482" t="s">
        <v>425</v>
      </c>
      <c r="E3482" t="s">
        <v>455</v>
      </c>
      <c r="F3482" t="s">
        <v>421</v>
      </c>
      <c r="G3482" t="s">
        <v>427</v>
      </c>
      <c r="H3482" t="s">
        <v>428</v>
      </c>
      <c r="I3482" t="s">
        <v>429</v>
      </c>
      <c r="J3482" t="s">
        <v>424</v>
      </c>
      <c r="L3482" t="s">
        <v>421</v>
      </c>
      <c r="M3482" t="s">
        <v>423</v>
      </c>
    </row>
    <row r="3483" spans="1:13" ht="15" customHeight="1" x14ac:dyDescent="0.25">
      <c r="A3483" s="82">
        <v>45758</v>
      </c>
      <c r="B3483" t="s">
        <v>421</v>
      </c>
      <c r="C3483" t="s">
        <v>427</v>
      </c>
      <c r="D3483" t="s">
        <v>425</v>
      </c>
      <c r="E3483" t="s">
        <v>424</v>
      </c>
      <c r="F3483" t="s">
        <v>429</v>
      </c>
      <c r="G3483" t="s">
        <v>455</v>
      </c>
      <c r="H3483" t="s">
        <v>425</v>
      </c>
      <c r="I3483" t="s">
        <v>426</v>
      </c>
      <c r="J3483" t="s">
        <v>430</v>
      </c>
      <c r="L3483" t="s">
        <v>421</v>
      </c>
      <c r="M3483" t="s">
        <v>423</v>
      </c>
    </row>
    <row r="3484" spans="1:13" ht="15" customHeight="1" x14ac:dyDescent="0.25">
      <c r="A3484" s="82">
        <v>45759</v>
      </c>
      <c r="B3484" t="s">
        <v>427</v>
      </c>
      <c r="C3484" t="s">
        <v>455</v>
      </c>
      <c r="D3484" t="s">
        <v>421</v>
      </c>
      <c r="E3484" t="s">
        <v>424</v>
      </c>
      <c r="F3484" t="s">
        <v>429</v>
      </c>
      <c r="G3484" t="s">
        <v>428</v>
      </c>
      <c r="H3484" t="s">
        <v>425</v>
      </c>
      <c r="I3484" t="s">
        <v>426</v>
      </c>
      <c r="J3484" t="s">
        <v>430</v>
      </c>
      <c r="L3484" t="s">
        <v>421</v>
      </c>
      <c r="M3484" t="s">
        <v>423</v>
      </c>
    </row>
    <row r="3485" spans="1:13" ht="15" customHeight="1" x14ac:dyDescent="0.25">
      <c r="A3485" s="82">
        <v>45760</v>
      </c>
      <c r="B3485" t="s">
        <v>455</v>
      </c>
      <c r="C3485" t="s">
        <v>427</v>
      </c>
      <c r="D3485" t="s">
        <v>421</v>
      </c>
      <c r="E3485" t="s">
        <v>424</v>
      </c>
      <c r="F3485" t="s">
        <v>429</v>
      </c>
      <c r="G3485" t="s">
        <v>428</v>
      </c>
      <c r="H3485" t="s">
        <v>425</v>
      </c>
      <c r="I3485" t="s">
        <v>426</v>
      </c>
      <c r="J3485" t="s">
        <v>430</v>
      </c>
      <c r="L3485" t="s">
        <v>421</v>
      </c>
      <c r="M3485" t="s">
        <v>423</v>
      </c>
    </row>
    <row r="3486" spans="1:13" ht="15" customHeight="1" x14ac:dyDescent="0.25">
      <c r="A3486" s="82">
        <v>45761</v>
      </c>
      <c r="B3486" t="s">
        <v>421</v>
      </c>
      <c r="C3486" t="s">
        <v>455</v>
      </c>
      <c r="D3486" t="s">
        <v>427</v>
      </c>
      <c r="E3486" t="s">
        <v>424</v>
      </c>
      <c r="F3486" t="s">
        <v>429</v>
      </c>
      <c r="G3486" t="s">
        <v>428</v>
      </c>
      <c r="H3486" t="s">
        <v>425</v>
      </c>
      <c r="I3486" t="s">
        <v>426</v>
      </c>
      <c r="J3486" t="s">
        <v>430</v>
      </c>
      <c r="L3486" t="s">
        <v>423</v>
      </c>
      <c r="M3486" t="s">
        <v>421</v>
      </c>
    </row>
    <row r="3487" spans="1:13" ht="15" customHeight="1" x14ac:dyDescent="0.25">
      <c r="A3487" s="82">
        <v>45762</v>
      </c>
      <c r="B3487" t="s">
        <v>427</v>
      </c>
      <c r="C3487" t="s">
        <v>421</v>
      </c>
      <c r="D3487" t="s">
        <v>455</v>
      </c>
      <c r="E3487" t="s">
        <v>424</v>
      </c>
      <c r="F3487" t="s">
        <v>429</v>
      </c>
      <c r="G3487" t="s">
        <v>428</v>
      </c>
      <c r="H3487" t="s">
        <v>425</v>
      </c>
      <c r="I3487" t="s">
        <v>426</v>
      </c>
      <c r="J3487" t="s">
        <v>430</v>
      </c>
      <c r="L3487" t="s">
        <v>423</v>
      </c>
      <c r="M3487" t="s">
        <v>421</v>
      </c>
    </row>
    <row r="3488" spans="1:13" ht="15" customHeight="1" x14ac:dyDescent="0.25">
      <c r="A3488" s="82">
        <v>45763</v>
      </c>
      <c r="B3488" t="s">
        <v>455</v>
      </c>
      <c r="C3488" t="s">
        <v>421</v>
      </c>
      <c r="D3488" t="s">
        <v>427</v>
      </c>
      <c r="E3488" t="s">
        <v>424</v>
      </c>
      <c r="F3488" t="s">
        <v>429</v>
      </c>
      <c r="G3488" t="s">
        <v>428</v>
      </c>
      <c r="H3488" t="s">
        <v>425</v>
      </c>
      <c r="I3488" t="s">
        <v>426</v>
      </c>
      <c r="J3488" t="s">
        <v>430</v>
      </c>
      <c r="L3488" t="s">
        <v>423</v>
      </c>
      <c r="M3488" t="s">
        <v>421</v>
      </c>
    </row>
    <row r="3489" spans="1:13" ht="15" customHeight="1" x14ac:dyDescent="0.25">
      <c r="A3489" s="82">
        <v>45764</v>
      </c>
      <c r="B3489" t="s">
        <v>421</v>
      </c>
      <c r="C3489" t="s">
        <v>427</v>
      </c>
      <c r="D3489" t="s">
        <v>455</v>
      </c>
      <c r="E3489" t="s">
        <v>430</v>
      </c>
      <c r="F3489" t="s">
        <v>429</v>
      </c>
      <c r="G3489" t="s">
        <v>428</v>
      </c>
      <c r="H3489" t="s">
        <v>425</v>
      </c>
      <c r="I3489" t="s">
        <v>426</v>
      </c>
      <c r="J3489" t="s">
        <v>430</v>
      </c>
      <c r="L3489" t="s">
        <v>423</v>
      </c>
      <c r="M3489" t="s">
        <v>421</v>
      </c>
    </row>
    <row r="3490" spans="1:13" ht="15" customHeight="1" x14ac:dyDescent="0.25">
      <c r="A3490" s="82">
        <v>45765</v>
      </c>
      <c r="B3490" t="s">
        <v>429</v>
      </c>
      <c r="C3490" t="s">
        <v>455</v>
      </c>
      <c r="D3490" t="s">
        <v>424</v>
      </c>
      <c r="E3490" t="s">
        <v>430</v>
      </c>
      <c r="F3490" t="s">
        <v>426</v>
      </c>
      <c r="G3490" t="s">
        <v>425</v>
      </c>
      <c r="H3490" t="s">
        <v>425</v>
      </c>
      <c r="I3490" t="s">
        <v>427</v>
      </c>
      <c r="J3490" t="s">
        <v>421</v>
      </c>
      <c r="L3490" t="s">
        <v>421</v>
      </c>
      <c r="M3490" t="s">
        <v>423</v>
      </c>
    </row>
    <row r="3491" spans="1:13" ht="15" customHeight="1" x14ac:dyDescent="0.25">
      <c r="A3491" s="82">
        <v>45766</v>
      </c>
      <c r="B3491" t="s">
        <v>429</v>
      </c>
      <c r="C3491" t="s">
        <v>428</v>
      </c>
      <c r="D3491" t="s">
        <v>424</v>
      </c>
      <c r="E3491" t="s">
        <v>430</v>
      </c>
      <c r="F3491" t="s">
        <v>426</v>
      </c>
      <c r="G3491" t="s">
        <v>425</v>
      </c>
      <c r="H3491" t="s">
        <v>421</v>
      </c>
      <c r="I3491" t="s">
        <v>455</v>
      </c>
      <c r="J3491" t="s">
        <v>427</v>
      </c>
      <c r="L3491" t="s">
        <v>421</v>
      </c>
      <c r="M3491" t="s">
        <v>423</v>
      </c>
    </row>
    <row r="3492" spans="1:13" ht="15" customHeight="1" x14ac:dyDescent="0.25">
      <c r="A3492" s="82">
        <v>45767</v>
      </c>
      <c r="B3492" t="s">
        <v>429</v>
      </c>
      <c r="C3492" t="s">
        <v>428</v>
      </c>
      <c r="D3492" t="s">
        <v>424</v>
      </c>
      <c r="E3492" t="s">
        <v>430</v>
      </c>
      <c r="F3492" t="s">
        <v>426</v>
      </c>
      <c r="G3492" t="s">
        <v>425</v>
      </c>
      <c r="H3492" t="s">
        <v>421</v>
      </c>
      <c r="I3492" t="s">
        <v>427</v>
      </c>
      <c r="J3492" t="s">
        <v>455</v>
      </c>
      <c r="L3492" t="s">
        <v>421</v>
      </c>
      <c r="M3492" t="s">
        <v>423</v>
      </c>
    </row>
    <row r="3493" spans="1:13" ht="15" customHeight="1" x14ac:dyDescent="0.25">
      <c r="A3493" s="82">
        <v>45768</v>
      </c>
      <c r="B3493" t="s">
        <v>429</v>
      </c>
      <c r="C3493" t="s">
        <v>428</v>
      </c>
      <c r="D3493" t="s">
        <v>424</v>
      </c>
      <c r="E3493" t="s">
        <v>430</v>
      </c>
      <c r="F3493" t="s">
        <v>426</v>
      </c>
      <c r="G3493" t="s">
        <v>425</v>
      </c>
      <c r="H3493" t="s">
        <v>427</v>
      </c>
      <c r="I3493" t="s">
        <v>455</v>
      </c>
      <c r="J3493" t="s">
        <v>421</v>
      </c>
      <c r="L3493" t="s">
        <v>421</v>
      </c>
      <c r="M3493" t="s">
        <v>423</v>
      </c>
    </row>
    <row r="3494" spans="1:13" ht="15" customHeight="1" x14ac:dyDescent="0.25">
      <c r="A3494" s="82">
        <v>45769</v>
      </c>
      <c r="B3494" t="s">
        <v>429</v>
      </c>
      <c r="C3494" t="s">
        <v>424</v>
      </c>
      <c r="D3494" t="s">
        <v>424</v>
      </c>
      <c r="E3494" t="s">
        <v>430</v>
      </c>
      <c r="F3494" t="s">
        <v>426</v>
      </c>
      <c r="G3494" t="s">
        <v>425</v>
      </c>
      <c r="H3494" t="s">
        <v>455</v>
      </c>
      <c r="I3494" t="s">
        <v>421</v>
      </c>
      <c r="J3494" t="s">
        <v>427</v>
      </c>
      <c r="L3494" t="s">
        <v>421</v>
      </c>
      <c r="M3494" t="s">
        <v>423</v>
      </c>
    </row>
    <row r="3495" spans="1:13" ht="15" customHeight="1" x14ac:dyDescent="0.25">
      <c r="A3495" s="82">
        <v>45770</v>
      </c>
      <c r="B3495" t="s">
        <v>429</v>
      </c>
      <c r="C3495" t="s">
        <v>424</v>
      </c>
      <c r="D3495" t="s">
        <v>424</v>
      </c>
      <c r="E3495" t="s">
        <v>430</v>
      </c>
      <c r="F3495" t="s">
        <v>426</v>
      </c>
      <c r="G3495" t="s">
        <v>425</v>
      </c>
      <c r="H3495" t="s">
        <v>427</v>
      </c>
      <c r="I3495" t="s">
        <v>421</v>
      </c>
      <c r="J3495" t="s">
        <v>455</v>
      </c>
      <c r="L3495" t="s">
        <v>421</v>
      </c>
      <c r="M3495" t="s">
        <v>423</v>
      </c>
    </row>
    <row r="3496" spans="1:13" ht="15" customHeight="1" x14ac:dyDescent="0.25">
      <c r="A3496" s="82">
        <v>45771</v>
      </c>
      <c r="B3496" t="s">
        <v>429</v>
      </c>
      <c r="C3496" t="s">
        <v>428</v>
      </c>
      <c r="D3496" t="s">
        <v>424</v>
      </c>
      <c r="E3496" t="s">
        <v>430</v>
      </c>
      <c r="F3496" t="s">
        <v>426</v>
      </c>
      <c r="G3496" t="s">
        <v>425</v>
      </c>
      <c r="H3496" t="s">
        <v>455</v>
      </c>
      <c r="I3496" t="s">
        <v>427</v>
      </c>
      <c r="J3496" t="s">
        <v>421</v>
      </c>
      <c r="L3496" t="s">
        <v>423</v>
      </c>
      <c r="M3496" t="s">
        <v>421</v>
      </c>
    </row>
    <row r="3497" spans="1:13" ht="15" customHeight="1" x14ac:dyDescent="0.25">
      <c r="A3497" s="82">
        <v>45772</v>
      </c>
      <c r="B3497" t="s">
        <v>426</v>
      </c>
      <c r="C3497" t="s">
        <v>425</v>
      </c>
      <c r="D3497" t="s">
        <v>430</v>
      </c>
      <c r="E3497" t="s">
        <v>421</v>
      </c>
      <c r="F3497" t="s">
        <v>427</v>
      </c>
      <c r="G3497" t="s">
        <v>425</v>
      </c>
      <c r="H3497" t="s">
        <v>424</v>
      </c>
      <c r="I3497" t="s">
        <v>455</v>
      </c>
      <c r="J3497" t="s">
        <v>429</v>
      </c>
      <c r="L3497" t="s">
        <v>423</v>
      </c>
      <c r="M3497" t="s">
        <v>421</v>
      </c>
    </row>
    <row r="3498" spans="1:13" ht="15" customHeight="1" x14ac:dyDescent="0.25">
      <c r="A3498" s="82">
        <v>45773</v>
      </c>
      <c r="B3498" t="s">
        <v>426</v>
      </c>
      <c r="C3498" t="s">
        <v>425</v>
      </c>
      <c r="D3498" t="s">
        <v>430</v>
      </c>
      <c r="E3498" t="s">
        <v>427</v>
      </c>
      <c r="F3498" t="s">
        <v>455</v>
      </c>
      <c r="G3498" t="s">
        <v>421</v>
      </c>
      <c r="H3498" t="s">
        <v>424</v>
      </c>
      <c r="I3498" t="s">
        <v>428</v>
      </c>
      <c r="J3498" t="s">
        <v>429</v>
      </c>
      <c r="L3498" t="s">
        <v>423</v>
      </c>
      <c r="M3498" t="s">
        <v>421</v>
      </c>
    </row>
    <row r="3499" spans="1:13" ht="15" customHeight="1" x14ac:dyDescent="0.25">
      <c r="A3499" s="82">
        <v>45774</v>
      </c>
      <c r="B3499" t="s">
        <v>426</v>
      </c>
      <c r="C3499" t="s">
        <v>425</v>
      </c>
      <c r="D3499" t="s">
        <v>430</v>
      </c>
      <c r="E3499" t="s">
        <v>455</v>
      </c>
      <c r="F3499" t="s">
        <v>427</v>
      </c>
      <c r="G3499" t="s">
        <v>421</v>
      </c>
      <c r="H3499" t="s">
        <v>424</v>
      </c>
      <c r="I3499" t="s">
        <v>428</v>
      </c>
      <c r="J3499" t="s">
        <v>429</v>
      </c>
      <c r="L3499" t="s">
        <v>423</v>
      </c>
      <c r="M3499" t="s">
        <v>421</v>
      </c>
    </row>
    <row r="3500" spans="1:13" ht="15" customHeight="1" x14ac:dyDescent="0.25">
      <c r="A3500" s="82">
        <v>45775</v>
      </c>
      <c r="B3500" t="s">
        <v>426</v>
      </c>
      <c r="C3500" t="s">
        <v>425</v>
      </c>
      <c r="D3500" t="s">
        <v>430</v>
      </c>
      <c r="E3500" t="s">
        <v>421</v>
      </c>
      <c r="F3500" t="s">
        <v>455</v>
      </c>
      <c r="G3500" t="s">
        <v>427</v>
      </c>
      <c r="H3500" t="s">
        <v>424</v>
      </c>
      <c r="I3500" t="s">
        <v>428</v>
      </c>
      <c r="J3500" t="s">
        <v>429</v>
      </c>
      <c r="L3500" t="s">
        <v>423</v>
      </c>
      <c r="M3500" t="s">
        <v>421</v>
      </c>
    </row>
    <row r="3501" spans="1:13" ht="15" customHeight="1" x14ac:dyDescent="0.25">
      <c r="A3501" s="82">
        <v>45776</v>
      </c>
      <c r="B3501" t="s">
        <v>426</v>
      </c>
      <c r="C3501" t="s">
        <v>425</v>
      </c>
      <c r="D3501" t="s">
        <v>430</v>
      </c>
      <c r="E3501" t="s">
        <v>427</v>
      </c>
      <c r="F3501" t="s">
        <v>421</v>
      </c>
      <c r="G3501" t="s">
        <v>455</v>
      </c>
      <c r="H3501" t="s">
        <v>424</v>
      </c>
      <c r="I3501" t="s">
        <v>428</v>
      </c>
      <c r="J3501" t="s">
        <v>429</v>
      </c>
      <c r="L3501" t="s">
        <v>423</v>
      </c>
      <c r="M3501" t="s">
        <v>421</v>
      </c>
    </row>
    <row r="3502" spans="1:13" ht="15" customHeight="1" x14ac:dyDescent="0.25">
      <c r="A3502" s="82">
        <v>45777</v>
      </c>
      <c r="B3502" t="s">
        <v>426</v>
      </c>
      <c r="C3502" t="s">
        <v>425</v>
      </c>
      <c r="D3502" t="s">
        <v>430</v>
      </c>
      <c r="E3502" t="s">
        <v>455</v>
      </c>
      <c r="F3502" t="s">
        <v>421</v>
      </c>
      <c r="G3502" t="s">
        <v>427</v>
      </c>
      <c r="H3502" t="s">
        <v>424</v>
      </c>
      <c r="I3502" t="s">
        <v>428</v>
      </c>
      <c r="J3502" t="s">
        <v>429</v>
      </c>
      <c r="L3502" t="s">
        <v>421</v>
      </c>
      <c r="M3502" t="s">
        <v>423</v>
      </c>
    </row>
    <row r="3503" spans="1:13" ht="15" customHeight="1" x14ac:dyDescent="0.25">
      <c r="A3503" s="82">
        <v>45778</v>
      </c>
      <c r="B3503" t="s">
        <v>426</v>
      </c>
      <c r="C3503" t="s">
        <v>425</v>
      </c>
      <c r="D3503" t="s">
        <v>430</v>
      </c>
      <c r="E3503" t="s">
        <v>421</v>
      </c>
      <c r="F3503" t="s">
        <v>427</v>
      </c>
      <c r="G3503" t="s">
        <v>455</v>
      </c>
      <c r="H3503" t="s">
        <v>424</v>
      </c>
      <c r="I3503" t="s">
        <v>428</v>
      </c>
      <c r="J3503" t="s">
        <v>429</v>
      </c>
      <c r="L3503" t="s">
        <v>421</v>
      </c>
      <c r="M3503" t="s">
        <v>423</v>
      </c>
    </row>
    <row r="3504" spans="1:13" ht="15" customHeight="1" x14ac:dyDescent="0.25">
      <c r="A3504" s="82">
        <v>45779</v>
      </c>
      <c r="B3504" t="s">
        <v>427</v>
      </c>
      <c r="C3504" t="s">
        <v>425</v>
      </c>
      <c r="D3504" t="s">
        <v>421</v>
      </c>
      <c r="E3504" t="s">
        <v>429</v>
      </c>
      <c r="F3504" t="s">
        <v>455</v>
      </c>
      <c r="G3504" t="s">
        <v>424</v>
      </c>
      <c r="H3504" t="s">
        <v>430</v>
      </c>
      <c r="I3504" t="s">
        <v>425</v>
      </c>
      <c r="J3504" t="s">
        <v>426</v>
      </c>
      <c r="L3504" t="s">
        <v>421</v>
      </c>
      <c r="M3504" t="s">
        <v>428</v>
      </c>
    </row>
    <row r="3505" spans="1:13" ht="15" customHeight="1" x14ac:dyDescent="0.25">
      <c r="A3505" s="82">
        <v>45780</v>
      </c>
      <c r="B3505" t="s">
        <v>455</v>
      </c>
      <c r="C3505" t="s">
        <v>421</v>
      </c>
      <c r="D3505" t="s">
        <v>427</v>
      </c>
      <c r="E3505" t="s">
        <v>429</v>
      </c>
      <c r="F3505" t="s">
        <v>428</v>
      </c>
      <c r="G3505" t="s">
        <v>424</v>
      </c>
      <c r="H3505" t="s">
        <v>430</v>
      </c>
      <c r="I3505" t="s">
        <v>425</v>
      </c>
      <c r="J3505" t="s">
        <v>426</v>
      </c>
      <c r="L3505" t="s">
        <v>421</v>
      </c>
      <c r="M3505" t="s">
        <v>428</v>
      </c>
    </row>
    <row r="3506" spans="1:13" ht="15" customHeight="1" x14ac:dyDescent="0.25">
      <c r="A3506" s="82">
        <v>45781</v>
      </c>
      <c r="B3506" t="s">
        <v>421</v>
      </c>
      <c r="C3506" t="s">
        <v>427</v>
      </c>
      <c r="D3506" t="s">
        <v>455</v>
      </c>
      <c r="E3506" t="s">
        <v>429</v>
      </c>
      <c r="F3506" t="s">
        <v>428</v>
      </c>
      <c r="G3506" t="s">
        <v>424</v>
      </c>
      <c r="H3506" t="s">
        <v>430</v>
      </c>
      <c r="I3506" t="s">
        <v>425</v>
      </c>
      <c r="J3506" t="s">
        <v>426</v>
      </c>
      <c r="L3506" t="s">
        <v>421</v>
      </c>
      <c r="M3506" t="s">
        <v>428</v>
      </c>
    </row>
    <row r="3507" spans="1:13" ht="15" customHeight="1" x14ac:dyDescent="0.25">
      <c r="A3507" s="82">
        <v>45782</v>
      </c>
      <c r="B3507" t="s">
        <v>427</v>
      </c>
      <c r="C3507" t="s">
        <v>455</v>
      </c>
      <c r="D3507" t="s">
        <v>421</v>
      </c>
      <c r="E3507" t="s">
        <v>429</v>
      </c>
      <c r="F3507" t="s">
        <v>428</v>
      </c>
      <c r="G3507" t="s">
        <v>424</v>
      </c>
      <c r="H3507" t="s">
        <v>430</v>
      </c>
      <c r="I3507" t="s">
        <v>425</v>
      </c>
      <c r="J3507" t="s">
        <v>426</v>
      </c>
      <c r="L3507" t="s">
        <v>421</v>
      </c>
      <c r="M3507" t="s">
        <v>428</v>
      </c>
    </row>
    <row r="3508" spans="1:13" ht="15" customHeight="1" x14ac:dyDescent="0.25">
      <c r="A3508" s="82">
        <v>45783</v>
      </c>
      <c r="B3508" t="s">
        <v>455</v>
      </c>
      <c r="C3508" t="s">
        <v>421</v>
      </c>
      <c r="D3508" t="s">
        <v>427</v>
      </c>
      <c r="E3508" t="s">
        <v>429</v>
      </c>
      <c r="F3508" t="s">
        <v>428</v>
      </c>
      <c r="G3508" t="s">
        <v>424</v>
      </c>
      <c r="H3508" t="s">
        <v>430</v>
      </c>
      <c r="I3508" t="s">
        <v>425</v>
      </c>
      <c r="J3508" t="s">
        <v>426</v>
      </c>
      <c r="L3508" t="s">
        <v>423</v>
      </c>
      <c r="M3508" t="s">
        <v>421</v>
      </c>
    </row>
    <row r="3509" spans="1:13" ht="15" customHeight="1" x14ac:dyDescent="0.25">
      <c r="A3509" s="82">
        <v>45784</v>
      </c>
      <c r="B3509" t="s">
        <v>421</v>
      </c>
      <c r="C3509" t="s">
        <v>427</v>
      </c>
      <c r="D3509" t="s">
        <v>455</v>
      </c>
      <c r="E3509" t="s">
        <v>429</v>
      </c>
      <c r="F3509" t="s">
        <v>428</v>
      </c>
      <c r="G3509" t="s">
        <v>424</v>
      </c>
      <c r="H3509" t="s">
        <v>430</v>
      </c>
      <c r="I3509" t="s">
        <v>425</v>
      </c>
      <c r="J3509" t="s">
        <v>426</v>
      </c>
      <c r="L3509" t="s">
        <v>423</v>
      </c>
      <c r="M3509" t="s">
        <v>421</v>
      </c>
    </row>
    <row r="3510" spans="1:13" ht="15" customHeight="1" x14ac:dyDescent="0.25">
      <c r="A3510" s="82">
        <v>45785</v>
      </c>
      <c r="B3510" t="s">
        <v>427</v>
      </c>
      <c r="C3510" t="s">
        <v>455</v>
      </c>
      <c r="D3510" t="s">
        <v>421</v>
      </c>
      <c r="E3510" t="s">
        <v>429</v>
      </c>
      <c r="F3510" t="s">
        <v>428</v>
      </c>
      <c r="G3510" t="s">
        <v>424</v>
      </c>
      <c r="H3510" t="s">
        <v>430</v>
      </c>
      <c r="I3510" t="s">
        <v>425</v>
      </c>
      <c r="J3510" t="s">
        <v>426</v>
      </c>
      <c r="L3510" t="s">
        <v>423</v>
      </c>
      <c r="M3510" t="s">
        <v>421</v>
      </c>
    </row>
    <row r="3511" spans="1:13" ht="15" customHeight="1" x14ac:dyDescent="0.25">
      <c r="A3511" s="82">
        <v>45786</v>
      </c>
      <c r="B3511" t="s">
        <v>455</v>
      </c>
      <c r="C3511" t="s">
        <v>424</v>
      </c>
      <c r="D3511" t="s">
        <v>429</v>
      </c>
      <c r="E3511" t="s">
        <v>426</v>
      </c>
      <c r="F3511" t="s">
        <v>425</v>
      </c>
      <c r="G3511" t="s">
        <v>430</v>
      </c>
      <c r="H3511" t="s">
        <v>421</v>
      </c>
      <c r="I3511" t="s">
        <v>425</v>
      </c>
      <c r="J3511" t="s">
        <v>427</v>
      </c>
      <c r="L3511" t="s">
        <v>423</v>
      </c>
      <c r="M3511" t="s">
        <v>421</v>
      </c>
    </row>
    <row r="3512" spans="1:13" ht="15" customHeight="1" x14ac:dyDescent="0.25">
      <c r="A3512" s="82">
        <v>45787</v>
      </c>
      <c r="B3512" t="s">
        <v>428</v>
      </c>
      <c r="C3512" t="s">
        <v>424</v>
      </c>
      <c r="D3512" t="s">
        <v>429</v>
      </c>
      <c r="E3512" t="s">
        <v>426</v>
      </c>
      <c r="F3512" t="s">
        <v>425</v>
      </c>
      <c r="G3512" t="s">
        <v>430</v>
      </c>
      <c r="H3512" t="s">
        <v>427</v>
      </c>
      <c r="I3512" t="s">
        <v>421</v>
      </c>
      <c r="J3512" t="s">
        <v>455</v>
      </c>
      <c r="L3512" t="s">
        <v>423</v>
      </c>
      <c r="M3512" t="s">
        <v>421</v>
      </c>
    </row>
    <row r="3513" spans="1:13" ht="15" customHeight="1" x14ac:dyDescent="0.25">
      <c r="A3513" s="82">
        <v>45788</v>
      </c>
      <c r="B3513" t="s">
        <v>428</v>
      </c>
      <c r="C3513" t="s">
        <v>424</v>
      </c>
      <c r="D3513" t="s">
        <v>429</v>
      </c>
      <c r="E3513" t="s">
        <v>426</v>
      </c>
      <c r="F3513" t="s">
        <v>425</v>
      </c>
      <c r="G3513" t="s">
        <v>430</v>
      </c>
      <c r="H3513" t="s">
        <v>455</v>
      </c>
      <c r="I3513" t="s">
        <v>421</v>
      </c>
      <c r="J3513" t="s">
        <v>427</v>
      </c>
      <c r="L3513" t="s">
        <v>423</v>
      </c>
      <c r="M3513" t="s">
        <v>421</v>
      </c>
    </row>
    <row r="3514" spans="1:13" ht="15" customHeight="1" x14ac:dyDescent="0.25">
      <c r="A3514" s="82">
        <v>45789</v>
      </c>
      <c r="B3514" t="s">
        <v>428</v>
      </c>
      <c r="C3514" t="s">
        <v>424</v>
      </c>
      <c r="D3514" t="s">
        <v>429</v>
      </c>
      <c r="E3514" t="s">
        <v>426</v>
      </c>
      <c r="F3514" t="s">
        <v>425</v>
      </c>
      <c r="G3514" t="s">
        <v>430</v>
      </c>
      <c r="H3514" t="s">
        <v>421</v>
      </c>
      <c r="I3514" t="s">
        <v>427</v>
      </c>
      <c r="J3514" t="s">
        <v>455</v>
      </c>
      <c r="L3514" t="s">
        <v>421</v>
      </c>
      <c r="M3514" t="s">
        <v>423</v>
      </c>
    </row>
    <row r="3515" spans="1:13" ht="15" customHeight="1" x14ac:dyDescent="0.25">
      <c r="A3515" s="82">
        <v>45790</v>
      </c>
      <c r="B3515" t="s">
        <v>428</v>
      </c>
      <c r="C3515" t="s">
        <v>424</v>
      </c>
      <c r="D3515" t="s">
        <v>429</v>
      </c>
      <c r="E3515" t="s">
        <v>426</v>
      </c>
      <c r="F3515" t="s">
        <v>425</v>
      </c>
      <c r="G3515" t="s">
        <v>430</v>
      </c>
      <c r="H3515" t="s">
        <v>427</v>
      </c>
      <c r="I3515" t="s">
        <v>455</v>
      </c>
      <c r="J3515" t="s">
        <v>421</v>
      </c>
      <c r="L3515" t="s">
        <v>421</v>
      </c>
      <c r="M3515" t="s">
        <v>423</v>
      </c>
    </row>
    <row r="3516" spans="1:13" ht="15" customHeight="1" x14ac:dyDescent="0.25">
      <c r="A3516" s="82">
        <v>45791</v>
      </c>
      <c r="B3516" t="s">
        <v>428</v>
      </c>
      <c r="C3516" t="s">
        <v>424</v>
      </c>
      <c r="D3516" t="s">
        <v>429</v>
      </c>
      <c r="E3516" t="s">
        <v>426</v>
      </c>
      <c r="F3516" t="s">
        <v>425</v>
      </c>
      <c r="G3516" t="s">
        <v>430</v>
      </c>
      <c r="H3516" t="s">
        <v>455</v>
      </c>
      <c r="I3516" t="s">
        <v>427</v>
      </c>
      <c r="J3516" t="s">
        <v>421</v>
      </c>
      <c r="L3516" t="s">
        <v>421</v>
      </c>
      <c r="M3516" t="s">
        <v>423</v>
      </c>
    </row>
    <row r="3517" spans="1:13" ht="15" customHeight="1" x14ac:dyDescent="0.25">
      <c r="A3517" s="82">
        <v>45792</v>
      </c>
      <c r="B3517" t="s">
        <v>428</v>
      </c>
      <c r="C3517" t="s">
        <v>424</v>
      </c>
      <c r="D3517" t="s">
        <v>429</v>
      </c>
      <c r="E3517" t="s">
        <v>426</v>
      </c>
      <c r="F3517" t="s">
        <v>425</v>
      </c>
      <c r="G3517" t="s">
        <v>430</v>
      </c>
      <c r="H3517" t="s">
        <v>421</v>
      </c>
      <c r="I3517" t="s">
        <v>455</v>
      </c>
      <c r="J3517" t="s">
        <v>427</v>
      </c>
      <c r="L3517" t="s">
        <v>421</v>
      </c>
      <c r="M3517" t="s">
        <v>423</v>
      </c>
    </row>
    <row r="3518" spans="1:13" ht="15" customHeight="1" x14ac:dyDescent="0.25">
      <c r="A3518" s="82">
        <v>45793</v>
      </c>
      <c r="B3518" t="s">
        <v>425</v>
      </c>
      <c r="C3518" t="s">
        <v>430</v>
      </c>
      <c r="D3518" t="s">
        <v>426</v>
      </c>
      <c r="E3518" t="s">
        <v>427</v>
      </c>
      <c r="F3518" t="s">
        <v>425</v>
      </c>
      <c r="G3518" t="s">
        <v>421</v>
      </c>
      <c r="H3518" t="s">
        <v>429</v>
      </c>
      <c r="I3518" t="s">
        <v>424</v>
      </c>
      <c r="J3518" t="s">
        <v>455</v>
      </c>
      <c r="L3518" t="s">
        <v>423</v>
      </c>
      <c r="M3518" t="s">
        <v>421</v>
      </c>
    </row>
    <row r="3519" spans="1:13" ht="15" customHeight="1" x14ac:dyDescent="0.25">
      <c r="A3519" s="82">
        <v>45794</v>
      </c>
      <c r="B3519" t="s">
        <v>425</v>
      </c>
      <c r="C3519" t="s">
        <v>430</v>
      </c>
      <c r="D3519" t="s">
        <v>426</v>
      </c>
      <c r="E3519" t="s">
        <v>455</v>
      </c>
      <c r="F3519" t="s">
        <v>421</v>
      </c>
      <c r="G3519" t="s">
        <v>427</v>
      </c>
      <c r="H3519" t="s">
        <v>429</v>
      </c>
      <c r="I3519" t="s">
        <v>424</v>
      </c>
      <c r="J3519" t="s">
        <v>428</v>
      </c>
      <c r="L3519" t="s">
        <v>423</v>
      </c>
      <c r="M3519" t="s">
        <v>421</v>
      </c>
    </row>
    <row r="3520" spans="1:13" ht="15" customHeight="1" x14ac:dyDescent="0.25">
      <c r="A3520" s="82">
        <v>45795</v>
      </c>
      <c r="B3520" t="s">
        <v>425</v>
      </c>
      <c r="C3520" t="s">
        <v>430</v>
      </c>
      <c r="D3520" t="s">
        <v>426</v>
      </c>
      <c r="E3520" t="s">
        <v>427</v>
      </c>
      <c r="F3520" t="s">
        <v>421</v>
      </c>
      <c r="G3520" t="s">
        <v>455</v>
      </c>
      <c r="H3520" t="s">
        <v>429</v>
      </c>
      <c r="I3520" t="s">
        <v>424</v>
      </c>
      <c r="J3520" t="s">
        <v>428</v>
      </c>
      <c r="L3520" t="s">
        <v>423</v>
      </c>
      <c r="M3520" t="s">
        <v>421</v>
      </c>
    </row>
    <row r="3521" spans="1:14" ht="15" customHeight="1" x14ac:dyDescent="0.25">
      <c r="A3521" s="82">
        <v>45796</v>
      </c>
      <c r="B3521" t="s">
        <v>425</v>
      </c>
      <c r="C3521" t="s">
        <v>430</v>
      </c>
      <c r="D3521" t="s">
        <v>426</v>
      </c>
      <c r="E3521" t="s">
        <v>455</v>
      </c>
      <c r="F3521" t="s">
        <v>427</v>
      </c>
      <c r="G3521" t="s">
        <v>421</v>
      </c>
      <c r="H3521" t="s">
        <v>429</v>
      </c>
      <c r="I3521" t="s">
        <v>424</v>
      </c>
      <c r="J3521" t="s">
        <v>428</v>
      </c>
      <c r="L3521" t="s">
        <v>423</v>
      </c>
      <c r="M3521" t="s">
        <v>421</v>
      </c>
      <c r="N3521" t="s">
        <v>424</v>
      </c>
    </row>
    <row r="3522" spans="1:14" ht="15" customHeight="1" x14ac:dyDescent="0.25">
      <c r="A3522" s="82">
        <v>45797</v>
      </c>
      <c r="B3522" t="s">
        <v>425</v>
      </c>
      <c r="C3522" t="s">
        <v>430</v>
      </c>
      <c r="D3522" t="s">
        <v>426</v>
      </c>
      <c r="E3522" t="s">
        <v>421</v>
      </c>
      <c r="F3522" t="s">
        <v>455</v>
      </c>
      <c r="G3522" t="s">
        <v>427</v>
      </c>
      <c r="H3522" t="s">
        <v>429</v>
      </c>
      <c r="I3522" t="s">
        <v>424</v>
      </c>
      <c r="J3522" t="s">
        <v>428</v>
      </c>
      <c r="L3522" t="s">
        <v>423</v>
      </c>
      <c r="M3522" t="s">
        <v>421</v>
      </c>
      <c r="N3522" t="s">
        <v>424</v>
      </c>
    </row>
    <row r="3523" spans="1:14" ht="15" customHeight="1" x14ac:dyDescent="0.25">
      <c r="A3523" s="82">
        <v>45798</v>
      </c>
      <c r="B3523" t="s">
        <v>425</v>
      </c>
      <c r="C3523" t="s">
        <v>430</v>
      </c>
      <c r="D3523" t="s">
        <v>426</v>
      </c>
      <c r="E3523" t="s">
        <v>421</v>
      </c>
      <c r="F3523" t="s">
        <v>427</v>
      </c>
      <c r="G3523" t="s">
        <v>455</v>
      </c>
      <c r="H3523" t="s">
        <v>429</v>
      </c>
      <c r="I3523" t="s">
        <v>424</v>
      </c>
      <c r="J3523" t="s">
        <v>428</v>
      </c>
      <c r="L3523" t="s">
        <v>423</v>
      </c>
      <c r="M3523" t="s">
        <v>421</v>
      </c>
      <c r="N3523" t="s">
        <v>424</v>
      </c>
    </row>
    <row r="3524" spans="1:14" ht="15" customHeight="1" x14ac:dyDescent="0.25">
      <c r="A3524" s="82">
        <v>45799</v>
      </c>
      <c r="B3524" t="s">
        <v>425</v>
      </c>
      <c r="C3524" t="s">
        <v>430</v>
      </c>
      <c r="D3524" t="s">
        <v>426</v>
      </c>
      <c r="E3524" t="s">
        <v>427</v>
      </c>
      <c r="F3524" t="s">
        <v>455</v>
      </c>
      <c r="G3524" t="s">
        <v>421</v>
      </c>
      <c r="H3524" t="s">
        <v>429</v>
      </c>
      <c r="I3524" t="s">
        <v>424</v>
      </c>
      <c r="J3524" t="s">
        <v>428</v>
      </c>
      <c r="L3524" t="s">
        <v>423</v>
      </c>
      <c r="M3524" t="s">
        <v>421</v>
      </c>
      <c r="N3524" t="s">
        <v>424</v>
      </c>
    </row>
    <row r="3525" spans="1:14" ht="15" customHeight="1" x14ac:dyDescent="0.25">
      <c r="A3525" s="82">
        <v>45800</v>
      </c>
      <c r="B3525" t="s">
        <v>425</v>
      </c>
      <c r="C3525" t="s">
        <v>421</v>
      </c>
      <c r="D3525" t="s">
        <v>427</v>
      </c>
      <c r="E3525" t="s">
        <v>455</v>
      </c>
      <c r="F3525" t="s">
        <v>424</v>
      </c>
      <c r="G3525" t="s">
        <v>429</v>
      </c>
      <c r="H3525" t="s">
        <v>426</v>
      </c>
      <c r="I3525" t="s">
        <v>430</v>
      </c>
      <c r="J3525" t="s">
        <v>425</v>
      </c>
      <c r="L3525" t="s">
        <v>428</v>
      </c>
      <c r="M3525" t="s">
        <v>423</v>
      </c>
      <c r="N3525" t="s">
        <v>421</v>
      </c>
    </row>
    <row r="3526" spans="1:14" ht="15" customHeight="1" x14ac:dyDescent="0.25">
      <c r="A3526" s="82">
        <v>45801</v>
      </c>
      <c r="B3526" t="s">
        <v>421</v>
      </c>
      <c r="C3526" t="s">
        <v>427</v>
      </c>
      <c r="D3526" t="s">
        <v>455</v>
      </c>
      <c r="E3526" t="s">
        <v>428</v>
      </c>
      <c r="F3526" t="s">
        <v>424</v>
      </c>
      <c r="G3526" t="s">
        <v>429</v>
      </c>
      <c r="H3526" t="s">
        <v>426</v>
      </c>
      <c r="I3526" t="s">
        <v>430</v>
      </c>
      <c r="J3526" t="s">
        <v>425</v>
      </c>
      <c r="L3526" t="s">
        <v>428</v>
      </c>
      <c r="M3526" t="s">
        <v>423</v>
      </c>
      <c r="N3526" t="s">
        <v>421</v>
      </c>
    </row>
    <row r="3527" spans="1:14" ht="15" customHeight="1" x14ac:dyDescent="0.25">
      <c r="A3527" s="82">
        <v>45802</v>
      </c>
      <c r="B3527" t="s">
        <v>421</v>
      </c>
      <c r="C3527" t="s">
        <v>455</v>
      </c>
      <c r="D3527" t="s">
        <v>427</v>
      </c>
      <c r="E3527" t="s">
        <v>428</v>
      </c>
      <c r="F3527" t="s">
        <v>424</v>
      </c>
      <c r="G3527" t="s">
        <v>429</v>
      </c>
      <c r="H3527" t="s">
        <v>426</v>
      </c>
      <c r="I3527" t="s">
        <v>430</v>
      </c>
      <c r="J3527" t="s">
        <v>425</v>
      </c>
      <c r="L3527" t="s">
        <v>428</v>
      </c>
      <c r="M3527" t="s">
        <v>423</v>
      </c>
      <c r="N3527" t="s">
        <v>421</v>
      </c>
    </row>
    <row r="3528" spans="1:14" ht="15" customHeight="1" x14ac:dyDescent="0.25">
      <c r="A3528" s="82">
        <v>45803</v>
      </c>
      <c r="B3528" t="s">
        <v>427</v>
      </c>
      <c r="C3528" t="s">
        <v>421</v>
      </c>
      <c r="D3528" t="s">
        <v>455</v>
      </c>
      <c r="E3528" t="s">
        <v>428</v>
      </c>
      <c r="F3528" t="s">
        <v>424</v>
      </c>
      <c r="G3528" t="s">
        <v>429</v>
      </c>
      <c r="H3528" t="s">
        <v>426</v>
      </c>
      <c r="I3528" t="s">
        <v>430</v>
      </c>
      <c r="J3528" t="s">
        <v>425</v>
      </c>
      <c r="L3528" t="s">
        <v>428</v>
      </c>
      <c r="M3528" t="s">
        <v>423</v>
      </c>
      <c r="N3528" t="s">
        <v>421</v>
      </c>
    </row>
    <row r="3529" spans="1:14" ht="15" customHeight="1" x14ac:dyDescent="0.25">
      <c r="A3529" s="82">
        <v>45804</v>
      </c>
      <c r="B3529" t="s">
        <v>455</v>
      </c>
      <c r="C3529" t="s">
        <v>427</v>
      </c>
      <c r="D3529" t="s">
        <v>421</v>
      </c>
      <c r="E3529" t="s">
        <v>428</v>
      </c>
      <c r="F3529" t="s">
        <v>424</v>
      </c>
      <c r="G3529" t="s">
        <v>429</v>
      </c>
      <c r="H3529" t="s">
        <v>426</v>
      </c>
      <c r="I3529" t="s">
        <v>430</v>
      </c>
      <c r="J3529" t="s">
        <v>425</v>
      </c>
      <c r="L3529" t="s">
        <v>428</v>
      </c>
      <c r="M3529" t="s">
        <v>423</v>
      </c>
      <c r="N3529" t="s">
        <v>421</v>
      </c>
    </row>
    <row r="3530" spans="1:14" ht="15" customHeight="1" x14ac:dyDescent="0.25">
      <c r="A3530" s="82">
        <v>45805</v>
      </c>
      <c r="B3530" t="s">
        <v>427</v>
      </c>
      <c r="C3530" t="s">
        <v>455</v>
      </c>
      <c r="D3530" t="s">
        <v>421</v>
      </c>
      <c r="E3530" t="s">
        <v>428</v>
      </c>
      <c r="F3530" t="s">
        <v>424</v>
      </c>
      <c r="G3530" t="s">
        <v>429</v>
      </c>
      <c r="H3530" t="s">
        <v>426</v>
      </c>
      <c r="I3530" t="s">
        <v>430</v>
      </c>
      <c r="J3530" t="s">
        <v>425</v>
      </c>
      <c r="L3530" t="s">
        <v>424</v>
      </c>
      <c r="M3530" t="s">
        <v>423</v>
      </c>
      <c r="N3530" t="s">
        <v>421</v>
      </c>
    </row>
    <row r="3531" spans="1:14" ht="15" customHeight="1" x14ac:dyDescent="0.25">
      <c r="A3531" s="82">
        <v>45806</v>
      </c>
      <c r="B3531" t="s">
        <v>455</v>
      </c>
      <c r="C3531" t="s">
        <v>421</v>
      </c>
      <c r="D3531" t="s">
        <v>427</v>
      </c>
      <c r="E3531" t="s">
        <v>428</v>
      </c>
      <c r="F3531" t="s">
        <v>424</v>
      </c>
      <c r="G3531" t="s">
        <v>429</v>
      </c>
      <c r="H3531" t="s">
        <v>426</v>
      </c>
      <c r="I3531" t="s">
        <v>430</v>
      </c>
      <c r="J3531" t="s">
        <v>425</v>
      </c>
      <c r="L3531" t="s">
        <v>424</v>
      </c>
      <c r="M3531" t="s">
        <v>423</v>
      </c>
      <c r="N3531" t="s">
        <v>421</v>
      </c>
    </row>
    <row r="3532" spans="1:14" ht="15" customHeight="1" x14ac:dyDescent="0.25">
      <c r="A3532" s="82">
        <v>45807</v>
      </c>
      <c r="B3532" t="s">
        <v>424</v>
      </c>
      <c r="C3532" t="s">
        <v>429</v>
      </c>
      <c r="D3532" t="s">
        <v>455</v>
      </c>
      <c r="E3532" t="s">
        <v>425</v>
      </c>
      <c r="F3532" t="s">
        <v>430</v>
      </c>
      <c r="G3532" t="s">
        <v>426</v>
      </c>
      <c r="H3532" t="s">
        <v>427</v>
      </c>
      <c r="I3532" t="s">
        <v>421</v>
      </c>
      <c r="J3532" t="s">
        <v>425</v>
      </c>
      <c r="L3532" t="s">
        <v>421</v>
      </c>
      <c r="M3532" t="s">
        <v>424</v>
      </c>
      <c r="N3532" t="s">
        <v>423</v>
      </c>
    </row>
    <row r="3533" spans="1:14" ht="15" customHeight="1" x14ac:dyDescent="0.25">
      <c r="A3533" s="82">
        <v>45808</v>
      </c>
      <c r="B3533" t="s">
        <v>424</v>
      </c>
      <c r="C3533" t="s">
        <v>429</v>
      </c>
      <c r="D3533" t="s">
        <v>428</v>
      </c>
      <c r="E3533" t="s">
        <v>425</v>
      </c>
      <c r="F3533" t="s">
        <v>430</v>
      </c>
      <c r="G3533" t="s">
        <v>426</v>
      </c>
      <c r="H3533" t="s">
        <v>455</v>
      </c>
      <c r="I3533" t="s">
        <v>427</v>
      </c>
      <c r="J3533" t="s">
        <v>421</v>
      </c>
      <c r="L3533" t="s">
        <v>421</v>
      </c>
      <c r="M3533" t="s">
        <v>424</v>
      </c>
      <c r="N3533" t="s">
        <v>423</v>
      </c>
    </row>
    <row r="3534" spans="1:14" ht="15" customHeight="1" x14ac:dyDescent="0.25">
      <c r="A3534" s="82">
        <v>45809</v>
      </c>
      <c r="B3534" t="s">
        <v>424</v>
      </c>
      <c r="C3534" t="s">
        <v>429</v>
      </c>
      <c r="D3534" t="s">
        <v>428</v>
      </c>
      <c r="E3534" t="s">
        <v>425</v>
      </c>
      <c r="F3534" t="s">
        <v>430</v>
      </c>
      <c r="G3534" t="s">
        <v>426</v>
      </c>
      <c r="H3534" t="s">
        <v>427</v>
      </c>
      <c r="I3534" t="s">
        <v>455</v>
      </c>
      <c r="J3534" t="s">
        <v>421</v>
      </c>
      <c r="L3534" t="s">
        <v>421</v>
      </c>
      <c r="M3534" t="s">
        <v>424</v>
      </c>
      <c r="N3534" t="s">
        <v>423</v>
      </c>
    </row>
    <row r="3535" spans="1:14" ht="15" customHeight="1" x14ac:dyDescent="0.25">
      <c r="A3535" s="82">
        <v>45810</v>
      </c>
      <c r="B3535" t="s">
        <v>424</v>
      </c>
      <c r="C3535" t="s">
        <v>429</v>
      </c>
      <c r="D3535" t="s">
        <v>428</v>
      </c>
      <c r="E3535" t="s">
        <v>425</v>
      </c>
      <c r="F3535" t="s">
        <v>430</v>
      </c>
      <c r="G3535" t="s">
        <v>426</v>
      </c>
      <c r="H3535" t="s">
        <v>455</v>
      </c>
      <c r="I3535" t="s">
        <v>421</v>
      </c>
      <c r="J3535" t="s">
        <v>427</v>
      </c>
      <c r="L3535" t="s">
        <v>421</v>
      </c>
      <c r="M3535" t="s">
        <v>424</v>
      </c>
      <c r="N3535" t="s">
        <v>423</v>
      </c>
    </row>
    <row r="3536" spans="1:14" ht="15" customHeight="1" x14ac:dyDescent="0.25">
      <c r="A3536" s="82">
        <v>45811</v>
      </c>
      <c r="B3536" t="s">
        <v>424</v>
      </c>
      <c r="C3536" t="s">
        <v>429</v>
      </c>
      <c r="D3536" t="s">
        <v>428</v>
      </c>
      <c r="E3536" t="s">
        <v>425</v>
      </c>
      <c r="F3536" t="s">
        <v>430</v>
      </c>
      <c r="G3536" t="s">
        <v>426</v>
      </c>
      <c r="H3536" t="s">
        <v>421</v>
      </c>
      <c r="I3536" t="s">
        <v>427</v>
      </c>
      <c r="J3536" t="s">
        <v>455</v>
      </c>
      <c r="L3536" t="s">
        <v>421</v>
      </c>
      <c r="M3536" t="s">
        <v>424</v>
      </c>
      <c r="N3536" t="s">
        <v>423</v>
      </c>
    </row>
    <row r="3537" spans="1:14" ht="15" customHeight="1" x14ac:dyDescent="0.25">
      <c r="A3537" s="82">
        <v>45812</v>
      </c>
      <c r="B3537" t="s">
        <v>424</v>
      </c>
      <c r="C3537" t="s">
        <v>429</v>
      </c>
      <c r="D3537" t="s">
        <v>428</v>
      </c>
      <c r="E3537" t="s">
        <v>425</v>
      </c>
      <c r="F3537" t="s">
        <v>430</v>
      </c>
      <c r="G3537" t="s">
        <v>426</v>
      </c>
      <c r="H3537" t="s">
        <v>421</v>
      </c>
      <c r="I3537" t="s">
        <v>455</v>
      </c>
      <c r="J3537" t="s">
        <v>427</v>
      </c>
      <c r="L3537" t="s">
        <v>421</v>
      </c>
      <c r="M3537" t="s">
        <v>424</v>
      </c>
      <c r="N3537" t="s">
        <v>423</v>
      </c>
    </row>
    <row r="3538" spans="1:14" ht="15" customHeight="1" x14ac:dyDescent="0.25">
      <c r="A3538" s="82">
        <v>45813</v>
      </c>
      <c r="B3538" t="s">
        <v>424</v>
      </c>
      <c r="C3538" t="s">
        <v>429</v>
      </c>
      <c r="D3538" t="s">
        <v>428</v>
      </c>
      <c r="E3538" t="s">
        <v>425</v>
      </c>
      <c r="F3538" t="s">
        <v>430</v>
      </c>
      <c r="G3538" t="s">
        <v>426</v>
      </c>
      <c r="H3538" t="s">
        <v>427</v>
      </c>
      <c r="I3538" t="s">
        <v>421</v>
      </c>
      <c r="J3538" t="s">
        <v>455</v>
      </c>
      <c r="L3538" t="s">
        <v>421</v>
      </c>
      <c r="M3538" t="s">
        <v>424</v>
      </c>
      <c r="N3538" t="s">
        <v>423</v>
      </c>
    </row>
    <row r="3539" spans="1:14" ht="15" customHeight="1" x14ac:dyDescent="0.25">
      <c r="A3539" s="82">
        <v>45814</v>
      </c>
      <c r="B3539" t="s">
        <v>430</v>
      </c>
      <c r="C3539" t="s">
        <v>426</v>
      </c>
      <c r="D3539" t="s">
        <v>425</v>
      </c>
      <c r="E3539" t="s">
        <v>425</v>
      </c>
      <c r="F3539" t="s">
        <v>421</v>
      </c>
      <c r="G3539" t="s">
        <v>427</v>
      </c>
      <c r="H3539" t="s">
        <v>455</v>
      </c>
      <c r="I3539" t="s">
        <v>429</v>
      </c>
      <c r="J3539" t="s">
        <v>424</v>
      </c>
      <c r="L3539" t="s">
        <v>423</v>
      </c>
      <c r="M3539" t="s">
        <v>421</v>
      </c>
      <c r="N3539" t="s">
        <v>424</v>
      </c>
    </row>
    <row r="3540" spans="1:14" ht="15" customHeight="1" x14ac:dyDescent="0.25">
      <c r="A3540" s="82">
        <v>45815</v>
      </c>
      <c r="B3540" t="s">
        <v>430</v>
      </c>
      <c r="C3540" t="s">
        <v>426</v>
      </c>
      <c r="D3540" t="s">
        <v>425</v>
      </c>
      <c r="E3540" t="s">
        <v>421</v>
      </c>
      <c r="F3540" t="s">
        <v>427</v>
      </c>
      <c r="G3540" t="s">
        <v>455</v>
      </c>
      <c r="H3540" t="s">
        <v>428</v>
      </c>
      <c r="I3540" t="s">
        <v>429</v>
      </c>
      <c r="J3540" t="s">
        <v>424</v>
      </c>
      <c r="L3540" t="s">
        <v>423</v>
      </c>
      <c r="M3540" t="s">
        <v>421</v>
      </c>
      <c r="N3540" t="s">
        <v>424</v>
      </c>
    </row>
    <row r="3541" spans="1:14" ht="15" customHeight="1" x14ac:dyDescent="0.25">
      <c r="A3541" s="82">
        <v>45816</v>
      </c>
      <c r="B3541" t="s">
        <v>430</v>
      </c>
      <c r="C3541" t="s">
        <v>426</v>
      </c>
      <c r="D3541" t="s">
        <v>425</v>
      </c>
      <c r="E3541" t="s">
        <v>421</v>
      </c>
      <c r="F3541" t="s">
        <v>455</v>
      </c>
      <c r="G3541" t="s">
        <v>427</v>
      </c>
      <c r="H3541" t="s">
        <v>428</v>
      </c>
      <c r="I3541" t="s">
        <v>429</v>
      </c>
      <c r="J3541" t="s">
        <v>424</v>
      </c>
      <c r="L3541" t="s">
        <v>423</v>
      </c>
      <c r="M3541" t="s">
        <v>421</v>
      </c>
      <c r="N3541" t="s">
        <v>424</v>
      </c>
    </row>
    <row r="3542" spans="1:14" ht="15" customHeight="1" x14ac:dyDescent="0.25">
      <c r="A3542" s="82">
        <v>45817</v>
      </c>
      <c r="B3542" t="s">
        <v>430</v>
      </c>
      <c r="C3542" t="s">
        <v>426</v>
      </c>
      <c r="D3542" t="s">
        <v>425</v>
      </c>
      <c r="E3542" t="s">
        <v>427</v>
      </c>
      <c r="F3542" t="s">
        <v>421</v>
      </c>
      <c r="G3542" t="s">
        <v>455</v>
      </c>
      <c r="H3542" t="s">
        <v>428</v>
      </c>
      <c r="I3542" t="s">
        <v>429</v>
      </c>
      <c r="J3542" t="s">
        <v>424</v>
      </c>
      <c r="L3542" t="s">
        <v>423</v>
      </c>
      <c r="M3542" t="s">
        <v>421</v>
      </c>
      <c r="N3542" t="s">
        <v>424</v>
      </c>
    </row>
    <row r="3543" spans="1:14" ht="15" customHeight="1" x14ac:dyDescent="0.25">
      <c r="A3543" s="82">
        <v>45818</v>
      </c>
      <c r="B3543" t="s">
        <v>430</v>
      </c>
      <c r="C3543" t="s">
        <v>426</v>
      </c>
      <c r="D3543" t="s">
        <v>425</v>
      </c>
      <c r="E3543" t="s">
        <v>455</v>
      </c>
      <c r="F3543" t="s">
        <v>427</v>
      </c>
      <c r="G3543" t="s">
        <v>421</v>
      </c>
      <c r="H3543" t="s">
        <v>428</v>
      </c>
      <c r="I3543" t="s">
        <v>429</v>
      </c>
      <c r="J3543" t="s">
        <v>424</v>
      </c>
      <c r="L3543" t="s">
        <v>423</v>
      </c>
      <c r="M3543" t="s">
        <v>421</v>
      </c>
      <c r="N3543" t="s">
        <v>424</v>
      </c>
    </row>
    <row r="3544" spans="1:14" ht="15" customHeight="1" x14ac:dyDescent="0.25">
      <c r="A3544" s="82">
        <v>45819</v>
      </c>
      <c r="B3544" t="s">
        <v>430</v>
      </c>
      <c r="C3544" t="s">
        <v>426</v>
      </c>
      <c r="D3544" t="s">
        <v>425</v>
      </c>
      <c r="E3544" t="s">
        <v>427</v>
      </c>
      <c r="F3544" t="s">
        <v>455</v>
      </c>
      <c r="G3544" t="s">
        <v>421</v>
      </c>
      <c r="H3544" t="s">
        <v>428</v>
      </c>
      <c r="I3544" t="s">
        <v>429</v>
      </c>
      <c r="J3544" t="s">
        <v>424</v>
      </c>
      <c r="L3544" t="s">
        <v>423</v>
      </c>
      <c r="M3544" t="s">
        <v>421</v>
      </c>
      <c r="N3544" t="s">
        <v>424</v>
      </c>
    </row>
    <row r="3545" spans="1:14" ht="15" customHeight="1" x14ac:dyDescent="0.25">
      <c r="A3545" s="82">
        <v>45820</v>
      </c>
      <c r="B3545" t="s">
        <v>430</v>
      </c>
      <c r="C3545" t="s">
        <v>426</v>
      </c>
      <c r="D3545" t="s">
        <v>425</v>
      </c>
      <c r="E3545" t="s">
        <v>455</v>
      </c>
      <c r="F3545" t="s">
        <v>421</v>
      </c>
      <c r="G3545" t="s">
        <v>427</v>
      </c>
      <c r="H3545" t="s">
        <v>428</v>
      </c>
      <c r="I3545" t="s">
        <v>429</v>
      </c>
      <c r="J3545" t="s">
        <v>424</v>
      </c>
      <c r="L3545" t="s">
        <v>423</v>
      </c>
      <c r="M3545" t="s">
        <v>421</v>
      </c>
      <c r="N3545" t="s">
        <v>424</v>
      </c>
    </row>
    <row r="3546" spans="1:14" ht="15" customHeight="1" x14ac:dyDescent="0.25">
      <c r="A3546" s="82">
        <v>45821</v>
      </c>
      <c r="B3546" t="s">
        <v>421</v>
      </c>
      <c r="C3546" t="s">
        <v>427</v>
      </c>
      <c r="D3546" t="s">
        <v>425</v>
      </c>
      <c r="E3546" t="s">
        <v>424</v>
      </c>
      <c r="F3546" t="s">
        <v>429</v>
      </c>
      <c r="G3546" t="s">
        <v>455</v>
      </c>
      <c r="H3546" t="s">
        <v>425</v>
      </c>
      <c r="I3546" t="s">
        <v>426</v>
      </c>
      <c r="J3546" t="s">
        <v>430</v>
      </c>
      <c r="L3546" t="s">
        <v>424</v>
      </c>
      <c r="M3546" t="s">
        <v>423</v>
      </c>
      <c r="N3546" t="s">
        <v>421</v>
      </c>
    </row>
    <row r="3547" spans="1:14" ht="15" customHeight="1" x14ac:dyDescent="0.25">
      <c r="A3547" s="82">
        <v>45822</v>
      </c>
      <c r="B3547" t="s">
        <v>427</v>
      </c>
      <c r="C3547" t="s">
        <v>455</v>
      </c>
      <c r="D3547" t="s">
        <v>421</v>
      </c>
      <c r="E3547" t="s">
        <v>424</v>
      </c>
      <c r="F3547" t="s">
        <v>429</v>
      </c>
      <c r="G3547" t="s">
        <v>428</v>
      </c>
      <c r="H3547" t="s">
        <v>425</v>
      </c>
      <c r="I3547" t="s">
        <v>426</v>
      </c>
      <c r="J3547" t="s">
        <v>430</v>
      </c>
      <c r="L3547" t="s">
        <v>424</v>
      </c>
      <c r="M3547" t="s">
        <v>423</v>
      </c>
      <c r="N3547" t="s">
        <v>421</v>
      </c>
    </row>
    <row r="3548" spans="1:14" ht="15" customHeight="1" x14ac:dyDescent="0.25">
      <c r="A3548" s="82">
        <v>45823</v>
      </c>
      <c r="B3548" t="s">
        <v>455</v>
      </c>
      <c r="C3548" t="s">
        <v>427</v>
      </c>
      <c r="D3548" t="s">
        <v>421</v>
      </c>
      <c r="E3548" t="s">
        <v>424</v>
      </c>
      <c r="F3548" t="s">
        <v>429</v>
      </c>
      <c r="G3548" t="s">
        <v>428</v>
      </c>
      <c r="H3548" t="s">
        <v>425</v>
      </c>
      <c r="I3548" t="s">
        <v>426</v>
      </c>
      <c r="J3548" t="s">
        <v>430</v>
      </c>
      <c r="L3548" t="s">
        <v>424</v>
      </c>
      <c r="M3548" t="s">
        <v>423</v>
      </c>
      <c r="N3548" t="s">
        <v>421</v>
      </c>
    </row>
    <row r="3549" spans="1:14" ht="15" customHeight="1" x14ac:dyDescent="0.25">
      <c r="A3549" s="82">
        <v>45824</v>
      </c>
      <c r="B3549" t="s">
        <v>421</v>
      </c>
      <c r="C3549" t="s">
        <v>455</v>
      </c>
      <c r="D3549" t="s">
        <v>427</v>
      </c>
      <c r="E3549" t="s">
        <v>424</v>
      </c>
      <c r="F3549" t="s">
        <v>429</v>
      </c>
      <c r="G3549" t="s">
        <v>428</v>
      </c>
      <c r="H3549" t="s">
        <v>425</v>
      </c>
      <c r="I3549" t="s">
        <v>426</v>
      </c>
      <c r="J3549" t="s">
        <v>430</v>
      </c>
      <c r="L3549" t="s">
        <v>424</v>
      </c>
      <c r="M3549" t="s">
        <v>423</v>
      </c>
      <c r="N3549" t="s">
        <v>421</v>
      </c>
    </row>
    <row r="3550" spans="1:14" ht="15" customHeight="1" x14ac:dyDescent="0.25">
      <c r="A3550" s="82">
        <v>45825</v>
      </c>
      <c r="B3550" t="s">
        <v>427</v>
      </c>
      <c r="C3550" t="s">
        <v>421</v>
      </c>
      <c r="D3550" t="s">
        <v>455</v>
      </c>
      <c r="E3550" t="s">
        <v>424</v>
      </c>
      <c r="F3550" t="s">
        <v>429</v>
      </c>
      <c r="G3550" t="s">
        <v>428</v>
      </c>
      <c r="H3550" t="s">
        <v>425</v>
      </c>
      <c r="I3550" t="s">
        <v>426</v>
      </c>
      <c r="J3550" t="s">
        <v>430</v>
      </c>
      <c r="L3550" t="s">
        <v>424</v>
      </c>
      <c r="M3550" t="s">
        <v>423</v>
      </c>
      <c r="N3550" t="s">
        <v>421</v>
      </c>
    </row>
    <row r="3551" spans="1:14" ht="15" customHeight="1" x14ac:dyDescent="0.25">
      <c r="A3551" s="82">
        <v>45826</v>
      </c>
      <c r="B3551" t="s">
        <v>455</v>
      </c>
      <c r="C3551" t="s">
        <v>421</v>
      </c>
      <c r="D3551" t="s">
        <v>427</v>
      </c>
      <c r="E3551" t="s">
        <v>424</v>
      </c>
      <c r="F3551" t="s">
        <v>429</v>
      </c>
      <c r="G3551" t="s">
        <v>428</v>
      </c>
      <c r="H3551" t="s">
        <v>425</v>
      </c>
      <c r="I3551" t="s">
        <v>426</v>
      </c>
      <c r="J3551" t="s">
        <v>430</v>
      </c>
      <c r="L3551" t="s">
        <v>424</v>
      </c>
      <c r="M3551" t="s">
        <v>423</v>
      </c>
      <c r="N3551" t="s">
        <v>421</v>
      </c>
    </row>
    <row r="3552" spans="1:14" ht="15" customHeight="1" x14ac:dyDescent="0.25">
      <c r="A3552" s="82">
        <v>45827</v>
      </c>
      <c r="B3552" t="s">
        <v>517</v>
      </c>
      <c r="C3552" t="s">
        <v>427</v>
      </c>
      <c r="D3552" t="s">
        <v>455</v>
      </c>
      <c r="E3552" t="s">
        <v>424</v>
      </c>
      <c r="F3552" t="s">
        <v>429</v>
      </c>
      <c r="G3552" t="s">
        <v>428</v>
      </c>
      <c r="H3552" t="s">
        <v>425</v>
      </c>
      <c r="I3552" t="s">
        <v>426</v>
      </c>
      <c r="J3552" t="s">
        <v>430</v>
      </c>
      <c r="L3552" t="s">
        <v>424</v>
      </c>
      <c r="M3552" t="s">
        <v>423</v>
      </c>
      <c r="N3552" t="s">
        <v>421</v>
      </c>
    </row>
    <row r="3553" spans="1:14" ht="15" customHeight="1" x14ac:dyDescent="0.25">
      <c r="A3553" s="82">
        <v>45828</v>
      </c>
      <c r="B3553" t="s">
        <v>514</v>
      </c>
      <c r="C3553" t="s">
        <v>455</v>
      </c>
      <c r="D3553" t="s">
        <v>424</v>
      </c>
      <c r="E3553" t="s">
        <v>430</v>
      </c>
      <c r="F3553" t="s">
        <v>426</v>
      </c>
      <c r="G3553" t="s">
        <v>425</v>
      </c>
      <c r="H3553" t="s">
        <v>425</v>
      </c>
      <c r="I3553" t="s">
        <v>427</v>
      </c>
      <c r="J3553" t="s">
        <v>421</v>
      </c>
      <c r="L3553" t="s">
        <v>421</v>
      </c>
      <c r="M3553" t="s">
        <v>428</v>
      </c>
      <c r="N3553" t="s">
        <v>423</v>
      </c>
    </row>
    <row r="3554" spans="1:14" ht="15" customHeight="1" x14ac:dyDescent="0.25">
      <c r="A3554" s="82">
        <v>45829</v>
      </c>
      <c r="B3554" t="s">
        <v>514</v>
      </c>
      <c r="C3554" t="s">
        <v>428</v>
      </c>
      <c r="D3554" t="s">
        <v>424</v>
      </c>
      <c r="E3554" t="s">
        <v>430</v>
      </c>
      <c r="F3554" t="s">
        <v>426</v>
      </c>
      <c r="G3554" t="s">
        <v>425</v>
      </c>
      <c r="H3554" t="s">
        <v>421</v>
      </c>
      <c r="I3554" t="s">
        <v>455</v>
      </c>
      <c r="J3554" t="s">
        <v>427</v>
      </c>
      <c r="L3554" t="s">
        <v>421</v>
      </c>
      <c r="M3554" t="s">
        <v>428</v>
      </c>
      <c r="N3554" t="s">
        <v>423</v>
      </c>
    </row>
    <row r="3555" spans="1:14" ht="15" customHeight="1" x14ac:dyDescent="0.25">
      <c r="A3555" s="82">
        <v>45830</v>
      </c>
      <c r="B3555" t="s">
        <v>514</v>
      </c>
      <c r="C3555" t="s">
        <v>428</v>
      </c>
      <c r="D3555" t="s">
        <v>424</v>
      </c>
      <c r="E3555" t="s">
        <v>430</v>
      </c>
      <c r="F3555" t="s">
        <v>426</v>
      </c>
      <c r="G3555" t="s">
        <v>425</v>
      </c>
      <c r="H3555" t="s">
        <v>421</v>
      </c>
      <c r="I3555" t="s">
        <v>427</v>
      </c>
      <c r="J3555" t="s">
        <v>455</v>
      </c>
      <c r="L3555" t="s">
        <v>421</v>
      </c>
      <c r="M3555" t="s">
        <v>428</v>
      </c>
      <c r="N3555" t="s">
        <v>423</v>
      </c>
    </row>
    <row r="3556" spans="1:14" ht="15" customHeight="1" x14ac:dyDescent="0.25">
      <c r="A3556" s="82">
        <v>45831</v>
      </c>
      <c r="B3556" t="s">
        <v>514</v>
      </c>
      <c r="C3556" t="s">
        <v>428</v>
      </c>
      <c r="D3556" t="s">
        <v>424</v>
      </c>
      <c r="E3556" t="s">
        <v>430</v>
      </c>
      <c r="F3556" t="s">
        <v>426</v>
      </c>
      <c r="G3556" t="s">
        <v>425</v>
      </c>
      <c r="H3556" t="s">
        <v>427</v>
      </c>
      <c r="I3556" t="s">
        <v>455</v>
      </c>
      <c r="J3556" t="s">
        <v>421</v>
      </c>
      <c r="L3556" t="s">
        <v>421</v>
      </c>
      <c r="M3556" t="s">
        <v>428</v>
      </c>
      <c r="N3556" t="s">
        <v>423</v>
      </c>
    </row>
    <row r="3557" spans="1:14" ht="15" customHeight="1" x14ac:dyDescent="0.25">
      <c r="A3557" s="82">
        <v>45832</v>
      </c>
      <c r="B3557" t="s">
        <v>514</v>
      </c>
      <c r="C3557" t="s">
        <v>428</v>
      </c>
      <c r="D3557" t="s">
        <v>424</v>
      </c>
      <c r="E3557" t="s">
        <v>430</v>
      </c>
      <c r="F3557" t="s">
        <v>426</v>
      </c>
      <c r="G3557" t="s">
        <v>425</v>
      </c>
      <c r="H3557" t="s">
        <v>455</v>
      </c>
      <c r="I3557" t="s">
        <v>421</v>
      </c>
      <c r="J3557" t="s">
        <v>427</v>
      </c>
      <c r="L3557" t="s">
        <v>421</v>
      </c>
      <c r="M3557" t="s">
        <v>428</v>
      </c>
      <c r="N3557" t="s">
        <v>423</v>
      </c>
    </row>
    <row r="3558" spans="1:14" ht="15" customHeight="1" x14ac:dyDescent="0.25">
      <c r="A3558" s="82">
        <v>45833</v>
      </c>
      <c r="B3558" t="s">
        <v>514</v>
      </c>
      <c r="C3558" t="s">
        <v>428</v>
      </c>
      <c r="D3558" t="s">
        <v>424</v>
      </c>
      <c r="E3558" t="s">
        <v>430</v>
      </c>
      <c r="F3558" t="s">
        <v>426</v>
      </c>
      <c r="G3558" t="s">
        <v>425</v>
      </c>
      <c r="H3558" t="s">
        <v>427</v>
      </c>
      <c r="I3558" t="s">
        <v>421</v>
      </c>
      <c r="J3558" t="s">
        <v>455</v>
      </c>
      <c r="L3558" t="s">
        <v>421</v>
      </c>
      <c r="M3558" t="s">
        <v>424</v>
      </c>
      <c r="N3558" t="s">
        <v>423</v>
      </c>
    </row>
    <row r="3559" spans="1:14" ht="15" customHeight="1" x14ac:dyDescent="0.25">
      <c r="A3559" s="82">
        <v>45834</v>
      </c>
      <c r="B3559" t="s">
        <v>514</v>
      </c>
      <c r="C3559" t="s">
        <v>428</v>
      </c>
      <c r="D3559" t="s">
        <v>424</v>
      </c>
      <c r="E3559" t="s">
        <v>430</v>
      </c>
      <c r="F3559" t="s">
        <v>426</v>
      </c>
      <c r="G3559" t="s">
        <v>425</v>
      </c>
      <c r="H3559" t="s">
        <v>455</v>
      </c>
      <c r="I3559" t="s">
        <v>427</v>
      </c>
      <c r="J3559" t="s">
        <v>517</v>
      </c>
      <c r="L3559" t="s">
        <v>421</v>
      </c>
      <c r="M3559" t="s">
        <v>424</v>
      </c>
      <c r="N3559" t="s">
        <v>423</v>
      </c>
    </row>
    <row r="3560" spans="1:14" ht="15" customHeight="1" x14ac:dyDescent="0.25">
      <c r="A3560" s="82">
        <v>45835</v>
      </c>
      <c r="B3560" t="s">
        <v>529</v>
      </c>
      <c r="C3560" t="s">
        <v>425</v>
      </c>
      <c r="D3560" t="s">
        <v>430</v>
      </c>
      <c r="E3560" t="s">
        <v>421</v>
      </c>
      <c r="F3560" t="s">
        <v>427</v>
      </c>
      <c r="G3560" t="s">
        <v>425</v>
      </c>
      <c r="H3560" t="s">
        <v>424</v>
      </c>
      <c r="I3560" t="s">
        <v>455</v>
      </c>
      <c r="J3560" t="s">
        <v>514</v>
      </c>
      <c r="L3560" t="s">
        <v>423</v>
      </c>
      <c r="M3560" t="s">
        <v>421</v>
      </c>
      <c r="N3560" t="s">
        <v>424</v>
      </c>
    </row>
    <row r="3561" spans="1:14" ht="15" customHeight="1" x14ac:dyDescent="0.25">
      <c r="A3561" s="82">
        <v>45836</v>
      </c>
      <c r="B3561" t="s">
        <v>426</v>
      </c>
      <c r="C3561" t="s">
        <v>425</v>
      </c>
      <c r="D3561" t="s">
        <v>430</v>
      </c>
      <c r="E3561" t="s">
        <v>427</v>
      </c>
      <c r="F3561" t="s">
        <v>455</v>
      </c>
      <c r="G3561" t="s">
        <v>421</v>
      </c>
      <c r="H3561" t="s">
        <v>424</v>
      </c>
      <c r="I3561" t="s">
        <v>428</v>
      </c>
      <c r="J3561" t="s">
        <v>514</v>
      </c>
      <c r="L3561" t="s">
        <v>423</v>
      </c>
      <c r="M3561" t="s">
        <v>421</v>
      </c>
      <c r="N3561" t="s">
        <v>424</v>
      </c>
    </row>
    <row r="3562" spans="1:14" ht="15" customHeight="1" x14ac:dyDescent="0.25">
      <c r="A3562" s="82">
        <v>45837</v>
      </c>
      <c r="B3562" t="s">
        <v>426</v>
      </c>
      <c r="C3562" t="s">
        <v>425</v>
      </c>
      <c r="D3562" t="s">
        <v>430</v>
      </c>
      <c r="E3562" t="s">
        <v>455</v>
      </c>
      <c r="F3562" t="s">
        <v>427</v>
      </c>
      <c r="G3562" t="s">
        <v>421</v>
      </c>
      <c r="H3562" t="s">
        <v>424</v>
      </c>
      <c r="I3562" t="s">
        <v>428</v>
      </c>
      <c r="J3562" t="s">
        <v>514</v>
      </c>
      <c r="L3562" t="s">
        <v>423</v>
      </c>
      <c r="M3562" t="s">
        <v>421</v>
      </c>
      <c r="N3562" t="s">
        <v>424</v>
      </c>
    </row>
    <row r="3563" spans="1:14" ht="15" customHeight="1" x14ac:dyDescent="0.25">
      <c r="A3563" s="82">
        <v>45838</v>
      </c>
      <c r="B3563" t="s">
        <v>529</v>
      </c>
      <c r="C3563" t="s">
        <v>425</v>
      </c>
      <c r="D3563" t="s">
        <v>430</v>
      </c>
      <c r="E3563" t="s">
        <v>421</v>
      </c>
      <c r="F3563" t="s">
        <v>455</v>
      </c>
      <c r="G3563" t="s">
        <v>427</v>
      </c>
      <c r="H3563" t="s">
        <v>424</v>
      </c>
      <c r="I3563" t="s">
        <v>428</v>
      </c>
      <c r="J3563" t="s">
        <v>514</v>
      </c>
      <c r="L3563" t="s">
        <v>423</v>
      </c>
      <c r="M3563" t="s">
        <v>421</v>
      </c>
      <c r="N3563" t="s">
        <v>424</v>
      </c>
    </row>
    <row r="3564" spans="1:14" ht="15" customHeight="1" x14ac:dyDescent="0.25">
      <c r="A3564" s="82">
        <v>45839</v>
      </c>
      <c r="B3564" t="s">
        <v>426</v>
      </c>
      <c r="C3564" t="s">
        <v>425</v>
      </c>
      <c r="D3564" t="s">
        <v>430</v>
      </c>
      <c r="E3564" t="s">
        <v>427</v>
      </c>
      <c r="F3564" t="s">
        <v>421</v>
      </c>
      <c r="G3564" t="s">
        <v>455</v>
      </c>
      <c r="H3564" t="s">
        <v>424</v>
      </c>
      <c r="I3564" t="s">
        <v>428</v>
      </c>
      <c r="J3564" t="s">
        <v>514</v>
      </c>
      <c r="L3564" t="s">
        <v>423</v>
      </c>
      <c r="M3564" t="s">
        <v>421</v>
      </c>
      <c r="N3564" t="s">
        <v>424</v>
      </c>
    </row>
    <row r="3565" spans="1:14" ht="15" customHeight="1" x14ac:dyDescent="0.25">
      <c r="A3565" s="82">
        <v>45840</v>
      </c>
      <c r="B3565" t="s">
        <v>426</v>
      </c>
      <c r="C3565" t="s">
        <v>425</v>
      </c>
      <c r="D3565" t="s">
        <v>430</v>
      </c>
      <c r="E3565" t="s">
        <v>455</v>
      </c>
      <c r="F3565" t="s">
        <v>421</v>
      </c>
      <c r="G3565" t="s">
        <v>427</v>
      </c>
      <c r="H3565" t="s">
        <v>424</v>
      </c>
      <c r="I3565" t="s">
        <v>428</v>
      </c>
      <c r="J3565" t="s">
        <v>514</v>
      </c>
      <c r="L3565" t="s">
        <v>423</v>
      </c>
      <c r="M3565" t="s">
        <v>421</v>
      </c>
      <c r="N3565" t="s">
        <v>424</v>
      </c>
    </row>
    <row r="3566" spans="1:14" ht="15" customHeight="1" x14ac:dyDescent="0.25">
      <c r="A3566" s="82">
        <v>45841</v>
      </c>
      <c r="B3566" t="s">
        <v>426</v>
      </c>
      <c r="C3566" t="s">
        <v>425</v>
      </c>
      <c r="D3566" t="s">
        <v>430</v>
      </c>
      <c r="E3566" t="s">
        <v>517</v>
      </c>
      <c r="F3566" t="s">
        <v>427</v>
      </c>
      <c r="G3566" t="s">
        <v>455</v>
      </c>
      <c r="H3566" t="s">
        <v>424</v>
      </c>
      <c r="I3566" t="s">
        <v>428</v>
      </c>
      <c r="J3566" t="s">
        <v>514</v>
      </c>
      <c r="L3566" t="s">
        <v>423</v>
      </c>
      <c r="M3566" t="s">
        <v>421</v>
      </c>
      <c r="N3566" t="s">
        <v>424</v>
      </c>
    </row>
    <row r="3567" spans="1:14" ht="15" customHeight="1" x14ac:dyDescent="0.25">
      <c r="A3567" s="82">
        <v>45842</v>
      </c>
      <c r="B3567" t="s">
        <v>427</v>
      </c>
      <c r="C3567" t="s">
        <v>425</v>
      </c>
      <c r="D3567" t="s">
        <v>421</v>
      </c>
      <c r="E3567" t="s">
        <v>514</v>
      </c>
      <c r="F3567" t="s">
        <v>455</v>
      </c>
      <c r="G3567" t="s">
        <v>424</v>
      </c>
      <c r="H3567" t="s">
        <v>430</v>
      </c>
      <c r="I3567" t="s">
        <v>425</v>
      </c>
      <c r="J3567" t="s">
        <v>529</v>
      </c>
      <c r="L3567" t="s">
        <v>424</v>
      </c>
      <c r="M3567" t="s">
        <v>423</v>
      </c>
      <c r="N3567" t="s">
        <v>421</v>
      </c>
    </row>
    <row r="3568" spans="1:14" ht="15" customHeight="1" x14ac:dyDescent="0.25">
      <c r="A3568" s="82">
        <v>45843</v>
      </c>
      <c r="B3568" t="s">
        <v>455</v>
      </c>
      <c r="C3568" t="s">
        <v>421</v>
      </c>
      <c r="D3568" t="s">
        <v>427</v>
      </c>
      <c r="E3568" t="s">
        <v>514</v>
      </c>
      <c r="F3568" t="s">
        <v>428</v>
      </c>
      <c r="G3568" t="s">
        <v>424</v>
      </c>
      <c r="H3568" t="s">
        <v>430</v>
      </c>
      <c r="I3568" t="s">
        <v>425</v>
      </c>
      <c r="J3568" t="s">
        <v>426</v>
      </c>
      <c r="L3568" t="s">
        <v>424</v>
      </c>
      <c r="M3568" t="s">
        <v>423</v>
      </c>
      <c r="N3568" t="s">
        <v>421</v>
      </c>
    </row>
    <row r="3569" spans="1:14" ht="15" customHeight="1" x14ac:dyDescent="0.25">
      <c r="A3569" s="82">
        <v>45844</v>
      </c>
      <c r="B3569" t="s">
        <v>427</v>
      </c>
      <c r="C3569" t="s">
        <v>421</v>
      </c>
      <c r="D3569" t="s">
        <v>455</v>
      </c>
      <c r="E3569" t="s">
        <v>514</v>
      </c>
      <c r="F3569" t="s">
        <v>428</v>
      </c>
      <c r="G3569" t="s">
        <v>424</v>
      </c>
      <c r="H3569" t="s">
        <v>430</v>
      </c>
      <c r="I3569" t="s">
        <v>425</v>
      </c>
      <c r="J3569" t="s">
        <v>426</v>
      </c>
      <c r="L3569" t="s">
        <v>424</v>
      </c>
      <c r="M3569" t="s">
        <v>423</v>
      </c>
      <c r="N3569" t="s">
        <v>421</v>
      </c>
    </row>
    <row r="3570" spans="1:14" ht="15" customHeight="1" x14ac:dyDescent="0.25">
      <c r="A3570" s="82">
        <v>45845</v>
      </c>
      <c r="B3570" t="s">
        <v>455</v>
      </c>
      <c r="C3570" t="s">
        <v>427</v>
      </c>
      <c r="D3570" t="s">
        <v>421</v>
      </c>
      <c r="E3570" t="s">
        <v>514</v>
      </c>
      <c r="F3570" t="s">
        <v>428</v>
      </c>
      <c r="G3570" t="s">
        <v>424</v>
      </c>
      <c r="H3570" t="s">
        <v>430</v>
      </c>
      <c r="I3570" t="s">
        <v>425</v>
      </c>
      <c r="J3570" t="s">
        <v>529</v>
      </c>
      <c r="L3570" t="s">
        <v>424</v>
      </c>
      <c r="M3570" t="s">
        <v>423</v>
      </c>
      <c r="N3570" t="s">
        <v>421</v>
      </c>
    </row>
    <row r="3571" spans="1:14" ht="15" customHeight="1" x14ac:dyDescent="0.25">
      <c r="A3571" s="82">
        <v>45846</v>
      </c>
      <c r="B3571" t="s">
        <v>421</v>
      </c>
      <c r="C3571" t="s">
        <v>455</v>
      </c>
      <c r="D3571" t="s">
        <v>427</v>
      </c>
      <c r="E3571" t="s">
        <v>514</v>
      </c>
      <c r="F3571" t="s">
        <v>428</v>
      </c>
      <c r="G3571" t="s">
        <v>424</v>
      </c>
      <c r="H3571" t="s">
        <v>430</v>
      </c>
      <c r="I3571" t="s">
        <v>425</v>
      </c>
      <c r="J3571" t="s">
        <v>426</v>
      </c>
      <c r="L3571" t="s">
        <v>424</v>
      </c>
      <c r="M3571" t="s">
        <v>423</v>
      </c>
      <c r="N3571" t="s">
        <v>421</v>
      </c>
    </row>
    <row r="3572" spans="1:14" ht="15" customHeight="1" x14ac:dyDescent="0.25">
      <c r="A3572" s="82">
        <v>45847</v>
      </c>
      <c r="B3572" t="s">
        <v>421</v>
      </c>
      <c r="C3572" t="s">
        <v>427</v>
      </c>
      <c r="D3572" t="s">
        <v>455</v>
      </c>
      <c r="E3572" t="s">
        <v>514</v>
      </c>
      <c r="F3572" t="s">
        <v>428</v>
      </c>
      <c r="G3572" t="s">
        <v>424</v>
      </c>
      <c r="H3572" t="s">
        <v>430</v>
      </c>
      <c r="I3572" t="s">
        <v>425</v>
      </c>
      <c r="J3572" t="s">
        <v>426</v>
      </c>
      <c r="L3572" t="s">
        <v>424</v>
      </c>
      <c r="M3572" t="s">
        <v>423</v>
      </c>
      <c r="N3572" t="s">
        <v>421</v>
      </c>
    </row>
    <row r="3573" spans="1:14" ht="15" customHeight="1" x14ac:dyDescent="0.25">
      <c r="A3573" s="82">
        <v>45848</v>
      </c>
      <c r="B3573" t="s">
        <v>427</v>
      </c>
      <c r="C3573" t="s">
        <v>455</v>
      </c>
      <c r="D3573" t="s">
        <v>517</v>
      </c>
      <c r="E3573" t="s">
        <v>514</v>
      </c>
      <c r="F3573" t="s">
        <v>428</v>
      </c>
      <c r="G3573" t="s">
        <v>424</v>
      </c>
      <c r="H3573" t="s">
        <v>430</v>
      </c>
      <c r="I3573" t="s">
        <v>425</v>
      </c>
      <c r="J3573" t="s">
        <v>426</v>
      </c>
      <c r="L3573" t="s">
        <v>424</v>
      </c>
      <c r="M3573" t="s">
        <v>423</v>
      </c>
      <c r="N3573" t="s">
        <v>421</v>
      </c>
    </row>
    <row r="3574" spans="1:14" ht="15" customHeight="1" x14ac:dyDescent="0.25">
      <c r="A3574" s="82">
        <v>45849</v>
      </c>
      <c r="B3574" t="s">
        <v>455</v>
      </c>
      <c r="C3574" t="s">
        <v>424</v>
      </c>
      <c r="D3574" t="s">
        <v>514</v>
      </c>
      <c r="E3574" t="s">
        <v>529</v>
      </c>
      <c r="F3574" t="s">
        <v>425</v>
      </c>
      <c r="G3574" t="s">
        <v>430</v>
      </c>
      <c r="H3574" t="s">
        <v>421</v>
      </c>
      <c r="I3574" t="s">
        <v>425</v>
      </c>
      <c r="J3574" t="s">
        <v>427</v>
      </c>
      <c r="L3574" t="s">
        <v>421</v>
      </c>
      <c r="M3574" t="s">
        <v>424</v>
      </c>
      <c r="N3574" t="s">
        <v>423</v>
      </c>
    </row>
    <row r="3575" spans="1:14" ht="15" customHeight="1" x14ac:dyDescent="0.25">
      <c r="A3575" s="82">
        <v>45850</v>
      </c>
      <c r="B3575" t="s">
        <v>428</v>
      </c>
      <c r="C3575" t="s">
        <v>424</v>
      </c>
      <c r="D3575" t="s">
        <v>514</v>
      </c>
      <c r="E3575" t="s">
        <v>426</v>
      </c>
      <c r="F3575" t="s">
        <v>425</v>
      </c>
      <c r="G3575" t="s">
        <v>430</v>
      </c>
      <c r="H3575" t="s">
        <v>427</v>
      </c>
      <c r="I3575" t="s">
        <v>421</v>
      </c>
      <c r="J3575" t="s">
        <v>455</v>
      </c>
      <c r="L3575" t="s">
        <v>421</v>
      </c>
      <c r="M3575" t="s">
        <v>424</v>
      </c>
      <c r="N3575" t="s">
        <v>423</v>
      </c>
    </row>
    <row r="3576" spans="1:14" ht="15" customHeight="1" x14ac:dyDescent="0.25">
      <c r="A3576" s="82">
        <v>45851</v>
      </c>
      <c r="B3576" t="s">
        <v>428</v>
      </c>
      <c r="C3576" t="s">
        <v>424</v>
      </c>
      <c r="D3576" t="s">
        <v>514</v>
      </c>
      <c r="E3576" t="s">
        <v>426</v>
      </c>
      <c r="F3576" t="s">
        <v>425</v>
      </c>
      <c r="G3576" t="s">
        <v>430</v>
      </c>
      <c r="H3576" t="s">
        <v>455</v>
      </c>
      <c r="I3576" t="s">
        <v>421</v>
      </c>
      <c r="J3576" t="s">
        <v>427</v>
      </c>
      <c r="L3576" t="s">
        <v>421</v>
      </c>
      <c r="M3576" t="s">
        <v>424</v>
      </c>
      <c r="N3576" t="s">
        <v>423</v>
      </c>
    </row>
    <row r="3577" spans="1:14" ht="15" customHeight="1" x14ac:dyDescent="0.25">
      <c r="A3577" s="82">
        <v>45852</v>
      </c>
      <c r="B3577" t="s">
        <v>428</v>
      </c>
      <c r="C3577" t="s">
        <v>424</v>
      </c>
      <c r="D3577" t="s">
        <v>514</v>
      </c>
      <c r="E3577" t="s">
        <v>529</v>
      </c>
      <c r="F3577" t="s">
        <v>425</v>
      </c>
      <c r="G3577" t="s">
        <v>430</v>
      </c>
      <c r="H3577" t="s">
        <v>421</v>
      </c>
      <c r="I3577" t="s">
        <v>427</v>
      </c>
      <c r="J3577" t="s">
        <v>455</v>
      </c>
      <c r="L3577" t="s">
        <v>421</v>
      </c>
      <c r="M3577" t="s">
        <v>424</v>
      </c>
      <c r="N3577" t="s">
        <v>423</v>
      </c>
    </row>
    <row r="3578" spans="1:14" ht="15" customHeight="1" x14ac:dyDescent="0.25">
      <c r="A3578" s="82">
        <v>45853</v>
      </c>
      <c r="B3578" t="s">
        <v>428</v>
      </c>
      <c r="C3578" t="s">
        <v>424</v>
      </c>
      <c r="D3578" t="s">
        <v>514</v>
      </c>
      <c r="E3578" t="s">
        <v>426</v>
      </c>
      <c r="F3578" t="s">
        <v>425</v>
      </c>
      <c r="G3578" t="s">
        <v>430</v>
      </c>
      <c r="H3578" t="s">
        <v>427</v>
      </c>
      <c r="I3578" t="s">
        <v>455</v>
      </c>
      <c r="J3578" t="s">
        <v>421</v>
      </c>
      <c r="L3578" t="s">
        <v>421</v>
      </c>
      <c r="M3578" t="s">
        <v>424</v>
      </c>
      <c r="N3578" t="s">
        <v>423</v>
      </c>
    </row>
    <row r="3579" spans="1:14" ht="15" customHeight="1" x14ac:dyDescent="0.25">
      <c r="A3579" s="82">
        <v>45854</v>
      </c>
      <c r="B3579" t="s">
        <v>428</v>
      </c>
      <c r="C3579" t="s">
        <v>516</v>
      </c>
      <c r="D3579" t="s">
        <v>514</v>
      </c>
      <c r="E3579" t="s">
        <v>426</v>
      </c>
      <c r="F3579" t="s">
        <v>425</v>
      </c>
      <c r="G3579" t="s">
        <v>430</v>
      </c>
      <c r="H3579" t="s">
        <v>455</v>
      </c>
      <c r="I3579" t="s">
        <v>427</v>
      </c>
      <c r="J3579" t="s">
        <v>421</v>
      </c>
      <c r="L3579" t="s">
        <v>421</v>
      </c>
      <c r="M3579" t="s">
        <v>424</v>
      </c>
      <c r="N3579" t="s">
        <v>423</v>
      </c>
    </row>
    <row r="3580" spans="1:14" ht="15" customHeight="1" x14ac:dyDescent="0.25">
      <c r="A3580" s="82">
        <v>45855</v>
      </c>
      <c r="B3580" t="s">
        <v>428</v>
      </c>
      <c r="C3580" t="s">
        <v>516</v>
      </c>
      <c r="D3580" t="s">
        <v>514</v>
      </c>
      <c r="E3580" t="s">
        <v>426</v>
      </c>
      <c r="F3580" t="s">
        <v>425</v>
      </c>
      <c r="G3580" t="s">
        <v>430</v>
      </c>
      <c r="H3580" t="s">
        <v>517</v>
      </c>
      <c r="I3580" t="s">
        <v>455</v>
      </c>
      <c r="J3580" t="s">
        <v>427</v>
      </c>
      <c r="L3580" t="s">
        <v>421</v>
      </c>
      <c r="M3580" t="s">
        <v>424</v>
      </c>
      <c r="N3580" t="s">
        <v>423</v>
      </c>
    </row>
    <row r="3581" spans="1:14" ht="15" customHeight="1" x14ac:dyDescent="0.25">
      <c r="A3581" s="82">
        <v>45856</v>
      </c>
      <c r="B3581" t="s">
        <v>425</v>
      </c>
      <c r="C3581" t="s">
        <v>530</v>
      </c>
      <c r="D3581" t="s">
        <v>529</v>
      </c>
      <c r="E3581" t="s">
        <v>427</v>
      </c>
      <c r="F3581" t="s">
        <v>425</v>
      </c>
      <c r="G3581" t="s">
        <v>421</v>
      </c>
      <c r="H3581" t="s">
        <v>514</v>
      </c>
      <c r="I3581" t="s">
        <v>516</v>
      </c>
      <c r="J3581" t="s">
        <v>455</v>
      </c>
      <c r="L3581" t="s">
        <v>423</v>
      </c>
      <c r="M3581" t="s">
        <v>421</v>
      </c>
      <c r="N3581" t="s">
        <v>428</v>
      </c>
    </row>
    <row r="3582" spans="1:14" ht="15" customHeight="1" x14ac:dyDescent="0.25">
      <c r="A3582" s="82">
        <v>45857</v>
      </c>
      <c r="B3582" t="s">
        <v>425</v>
      </c>
      <c r="C3582" t="s">
        <v>531</v>
      </c>
      <c r="D3582" t="s">
        <v>426</v>
      </c>
      <c r="E3582" t="s">
        <v>455</v>
      </c>
      <c r="F3582" t="s">
        <v>421</v>
      </c>
      <c r="G3582" t="s">
        <v>427</v>
      </c>
      <c r="H3582" t="s">
        <v>514</v>
      </c>
      <c r="I3582" t="s">
        <v>516</v>
      </c>
      <c r="J3582" t="s">
        <v>428</v>
      </c>
      <c r="L3582" t="s">
        <v>423</v>
      </c>
      <c r="M3582" t="s">
        <v>421</v>
      </c>
      <c r="N3582" t="s">
        <v>428</v>
      </c>
    </row>
    <row r="3583" spans="1:14" ht="15" customHeight="1" x14ac:dyDescent="0.25">
      <c r="A3583" s="82">
        <v>45858</v>
      </c>
      <c r="B3583" t="s">
        <v>425</v>
      </c>
      <c r="C3583" t="s">
        <v>531</v>
      </c>
      <c r="D3583" t="s">
        <v>426</v>
      </c>
      <c r="E3583" t="s">
        <v>427</v>
      </c>
      <c r="F3583" t="s">
        <v>421</v>
      </c>
      <c r="G3583" t="s">
        <v>455</v>
      </c>
      <c r="H3583" t="s">
        <v>514</v>
      </c>
      <c r="I3583" t="s">
        <v>516</v>
      </c>
      <c r="J3583" t="s">
        <v>428</v>
      </c>
      <c r="L3583" t="s">
        <v>423</v>
      </c>
      <c r="M3583" t="s">
        <v>421</v>
      </c>
      <c r="N3583" t="s">
        <v>428</v>
      </c>
    </row>
    <row r="3584" spans="1:14" ht="15" customHeight="1" x14ac:dyDescent="0.25">
      <c r="A3584" s="82">
        <v>45859</v>
      </c>
      <c r="B3584" t="s">
        <v>425</v>
      </c>
      <c r="C3584" t="s">
        <v>531</v>
      </c>
      <c r="D3584" t="s">
        <v>529</v>
      </c>
      <c r="E3584" t="s">
        <v>455</v>
      </c>
      <c r="F3584" t="s">
        <v>427</v>
      </c>
      <c r="G3584" t="s">
        <v>421</v>
      </c>
      <c r="H3584" t="s">
        <v>514</v>
      </c>
      <c r="I3584" t="s">
        <v>516</v>
      </c>
      <c r="J3584" t="s">
        <v>428</v>
      </c>
      <c r="L3584" t="s">
        <v>423</v>
      </c>
      <c r="M3584" t="s">
        <v>421</v>
      </c>
      <c r="N3584" t="s">
        <v>428</v>
      </c>
    </row>
    <row r="3585" spans="1:14" ht="15" customHeight="1" x14ac:dyDescent="0.25">
      <c r="A3585" s="82">
        <v>45860</v>
      </c>
      <c r="B3585" t="s">
        <v>425</v>
      </c>
      <c r="C3585" t="s">
        <v>531</v>
      </c>
      <c r="D3585" t="s">
        <v>426</v>
      </c>
      <c r="E3585" t="s">
        <v>421</v>
      </c>
      <c r="F3585" t="s">
        <v>455</v>
      </c>
      <c r="G3585" t="s">
        <v>427</v>
      </c>
      <c r="H3585" t="s">
        <v>514</v>
      </c>
      <c r="I3585" t="s">
        <v>516</v>
      </c>
      <c r="J3585" t="s">
        <v>428</v>
      </c>
      <c r="L3585" t="s">
        <v>423</v>
      </c>
      <c r="M3585" t="s">
        <v>421</v>
      </c>
      <c r="N3585" t="s">
        <v>428</v>
      </c>
    </row>
    <row r="3586" spans="1:14" ht="15" customHeight="1" x14ac:dyDescent="0.25">
      <c r="A3586" s="82">
        <v>45861</v>
      </c>
      <c r="B3586" t="s">
        <v>425</v>
      </c>
      <c r="C3586" t="s">
        <v>430</v>
      </c>
      <c r="D3586" t="s">
        <v>426</v>
      </c>
      <c r="E3586" t="s">
        <v>421</v>
      </c>
      <c r="F3586" t="s">
        <v>427</v>
      </c>
      <c r="G3586" t="s">
        <v>455</v>
      </c>
      <c r="H3586" t="s">
        <v>514</v>
      </c>
      <c r="I3586" t="s">
        <v>516</v>
      </c>
      <c r="J3586" t="s">
        <v>428</v>
      </c>
      <c r="L3586" t="s">
        <v>423</v>
      </c>
      <c r="M3586" t="s">
        <v>421</v>
      </c>
      <c r="N3586" t="s">
        <v>424</v>
      </c>
    </row>
    <row r="3587" spans="1:14" ht="15" customHeight="1" x14ac:dyDescent="0.25">
      <c r="A3587" s="82">
        <v>45862</v>
      </c>
      <c r="B3587" t="s">
        <v>425</v>
      </c>
      <c r="C3587" t="s">
        <v>430</v>
      </c>
      <c r="D3587" t="s">
        <v>426</v>
      </c>
      <c r="E3587" t="s">
        <v>427</v>
      </c>
      <c r="F3587" t="s">
        <v>455</v>
      </c>
      <c r="G3587" t="s">
        <v>517</v>
      </c>
      <c r="H3587" t="s">
        <v>514</v>
      </c>
      <c r="I3587" t="s">
        <v>516</v>
      </c>
      <c r="J3587" t="s">
        <v>428</v>
      </c>
      <c r="L3587" t="s">
        <v>423</v>
      </c>
      <c r="M3587" t="s">
        <v>421</v>
      </c>
      <c r="N3587" t="s">
        <v>424</v>
      </c>
    </row>
    <row r="3588" spans="1:14" ht="15" customHeight="1" x14ac:dyDescent="0.25">
      <c r="A3588" s="82">
        <v>45863</v>
      </c>
      <c r="B3588" t="s">
        <v>425</v>
      </c>
      <c r="C3588" t="s">
        <v>421</v>
      </c>
      <c r="D3588" t="s">
        <v>427</v>
      </c>
      <c r="E3588" t="s">
        <v>455</v>
      </c>
      <c r="F3588" t="s">
        <v>516</v>
      </c>
      <c r="G3588" t="s">
        <v>514</v>
      </c>
      <c r="H3588" t="s">
        <v>529</v>
      </c>
      <c r="I3588" t="s">
        <v>530</v>
      </c>
      <c r="J3588" t="s">
        <v>425</v>
      </c>
      <c r="L3588" t="s">
        <v>424</v>
      </c>
      <c r="M3588" t="s">
        <v>423</v>
      </c>
      <c r="N3588" t="s">
        <v>421</v>
      </c>
    </row>
    <row r="3589" spans="1:14" ht="15" customHeight="1" x14ac:dyDescent="0.25">
      <c r="A3589" s="82">
        <v>45864</v>
      </c>
      <c r="B3589" t="s">
        <v>421</v>
      </c>
      <c r="C3589" t="s">
        <v>427</v>
      </c>
      <c r="D3589" t="s">
        <v>455</v>
      </c>
      <c r="E3589" t="s">
        <v>428</v>
      </c>
      <c r="F3589" t="s">
        <v>516</v>
      </c>
      <c r="G3589" t="s">
        <v>514</v>
      </c>
      <c r="H3589" t="s">
        <v>426</v>
      </c>
      <c r="I3589" t="s">
        <v>430</v>
      </c>
      <c r="J3589" t="s">
        <v>425</v>
      </c>
      <c r="L3589" t="s">
        <v>424</v>
      </c>
      <c r="M3589" t="s">
        <v>423</v>
      </c>
      <c r="N3589" t="s">
        <v>421</v>
      </c>
    </row>
    <row r="3590" spans="1:14" ht="15" customHeight="1" x14ac:dyDescent="0.25">
      <c r="A3590" s="82">
        <v>45865</v>
      </c>
      <c r="B3590" t="s">
        <v>421</v>
      </c>
      <c r="C3590" t="s">
        <v>455</v>
      </c>
      <c r="D3590" t="s">
        <v>427</v>
      </c>
      <c r="E3590" t="s">
        <v>428</v>
      </c>
      <c r="F3590" t="s">
        <v>516</v>
      </c>
      <c r="G3590" t="s">
        <v>514</v>
      </c>
      <c r="H3590" t="s">
        <v>426</v>
      </c>
      <c r="I3590" t="s">
        <v>430</v>
      </c>
      <c r="J3590" t="s">
        <v>425</v>
      </c>
      <c r="L3590" t="s">
        <v>424</v>
      </c>
      <c r="M3590" t="s">
        <v>423</v>
      </c>
      <c r="N3590" t="s">
        <v>421</v>
      </c>
    </row>
    <row r="3591" spans="1:14" ht="15" customHeight="1" x14ac:dyDescent="0.25">
      <c r="A3591" s="82">
        <v>45866</v>
      </c>
      <c r="B3591" t="s">
        <v>427</v>
      </c>
      <c r="C3591" t="s">
        <v>421</v>
      </c>
      <c r="D3591" t="s">
        <v>455</v>
      </c>
      <c r="E3591" t="s">
        <v>428</v>
      </c>
      <c r="F3591" t="s">
        <v>516</v>
      </c>
      <c r="G3591" t="s">
        <v>514</v>
      </c>
      <c r="H3591" t="s">
        <v>529</v>
      </c>
      <c r="I3591" t="s">
        <v>532</v>
      </c>
      <c r="J3591" t="s">
        <v>425</v>
      </c>
      <c r="L3591" t="s">
        <v>424</v>
      </c>
      <c r="M3591" t="s">
        <v>423</v>
      </c>
      <c r="N3591" t="s">
        <v>421</v>
      </c>
    </row>
    <row r="3592" spans="1:14" ht="15" customHeight="1" x14ac:dyDescent="0.25">
      <c r="A3592" s="82">
        <v>45867</v>
      </c>
      <c r="B3592" t="s">
        <v>455</v>
      </c>
      <c r="C3592" t="s">
        <v>427</v>
      </c>
      <c r="D3592" t="s">
        <v>421</v>
      </c>
      <c r="E3592" t="s">
        <v>428</v>
      </c>
      <c r="F3592" t="s">
        <v>516</v>
      </c>
      <c r="G3592" t="s">
        <v>514</v>
      </c>
      <c r="H3592" t="s">
        <v>426</v>
      </c>
      <c r="I3592" t="s">
        <v>532</v>
      </c>
      <c r="J3592" t="s">
        <v>425</v>
      </c>
      <c r="L3592" t="s">
        <v>424</v>
      </c>
      <c r="M3592" t="s">
        <v>423</v>
      </c>
      <c r="N3592" t="s">
        <v>421</v>
      </c>
    </row>
    <row r="3593" spans="1:14" ht="15" customHeight="1" x14ac:dyDescent="0.25">
      <c r="A3593" s="82">
        <v>45868</v>
      </c>
      <c r="B3593" t="s">
        <v>427</v>
      </c>
      <c r="C3593" t="s">
        <v>455</v>
      </c>
      <c r="D3593" t="s">
        <v>421</v>
      </c>
      <c r="E3593" t="s">
        <v>428</v>
      </c>
      <c r="F3593" t="s">
        <v>516</v>
      </c>
      <c r="G3593" t="s">
        <v>514</v>
      </c>
      <c r="H3593" t="s">
        <v>426</v>
      </c>
      <c r="I3593" t="s">
        <v>430</v>
      </c>
      <c r="J3593" t="s">
        <v>425</v>
      </c>
      <c r="L3593" t="s">
        <v>424</v>
      </c>
      <c r="M3593" t="s">
        <v>423</v>
      </c>
      <c r="N3593" t="s">
        <v>421</v>
      </c>
    </row>
    <row r="3594" spans="1:14" ht="15" customHeight="1" x14ac:dyDescent="0.25">
      <c r="A3594" s="82">
        <v>45869</v>
      </c>
      <c r="B3594" t="s">
        <v>455</v>
      </c>
      <c r="C3594" t="s">
        <v>517</v>
      </c>
      <c r="D3594" t="s">
        <v>427</v>
      </c>
      <c r="E3594" t="s">
        <v>428</v>
      </c>
      <c r="F3594" t="s">
        <v>516</v>
      </c>
      <c r="G3594" t="s">
        <v>514</v>
      </c>
      <c r="H3594" t="s">
        <v>426</v>
      </c>
      <c r="I3594" t="s">
        <v>430</v>
      </c>
      <c r="J3594" t="s">
        <v>425</v>
      </c>
      <c r="L3594" t="s">
        <v>424</v>
      </c>
      <c r="M3594" t="s">
        <v>423</v>
      </c>
      <c r="N3594" t="s">
        <v>421</v>
      </c>
    </row>
    <row r="3595" spans="1:14" ht="15" customHeight="1" x14ac:dyDescent="0.25">
      <c r="A3595" s="82">
        <v>45870</v>
      </c>
      <c r="B3595" t="s">
        <v>516</v>
      </c>
      <c r="C3595" t="s">
        <v>514</v>
      </c>
      <c r="D3595" t="s">
        <v>455</v>
      </c>
      <c r="E3595" t="s">
        <v>425</v>
      </c>
      <c r="F3595" t="s">
        <v>530</v>
      </c>
      <c r="G3595" t="s">
        <v>529</v>
      </c>
      <c r="H3595" t="s">
        <v>427</v>
      </c>
      <c r="I3595" t="s">
        <v>421</v>
      </c>
      <c r="J3595" t="s">
        <v>425</v>
      </c>
      <c r="L3595" t="s">
        <v>517</v>
      </c>
      <c r="M3595" t="s">
        <v>424</v>
      </c>
      <c r="N3595" t="s">
        <v>423</v>
      </c>
    </row>
    <row r="3596" spans="1:14" ht="15" customHeight="1" x14ac:dyDescent="0.25">
      <c r="A3596" s="82">
        <v>45871</v>
      </c>
      <c r="B3596" t="s">
        <v>516</v>
      </c>
      <c r="C3596" t="s">
        <v>514</v>
      </c>
      <c r="D3596" t="s">
        <v>428</v>
      </c>
      <c r="E3596" t="s">
        <v>425</v>
      </c>
      <c r="F3596" t="s">
        <v>430</v>
      </c>
      <c r="G3596" t="s">
        <v>426</v>
      </c>
      <c r="H3596" t="s">
        <v>455</v>
      </c>
      <c r="I3596" t="s">
        <v>427</v>
      </c>
      <c r="J3596" t="s">
        <v>421</v>
      </c>
      <c r="L3596" t="s">
        <v>517</v>
      </c>
      <c r="M3596" t="s">
        <v>424</v>
      </c>
      <c r="N3596" t="s">
        <v>423</v>
      </c>
    </row>
    <row r="3597" spans="1:14" ht="15" customHeight="1" x14ac:dyDescent="0.25">
      <c r="A3597" s="82">
        <v>45872</v>
      </c>
      <c r="B3597" t="s">
        <v>516</v>
      </c>
      <c r="C3597" t="s">
        <v>514</v>
      </c>
      <c r="D3597" t="s">
        <v>428</v>
      </c>
      <c r="E3597" t="s">
        <v>425</v>
      </c>
      <c r="F3597" t="s">
        <v>430</v>
      </c>
      <c r="G3597" t="s">
        <v>426</v>
      </c>
      <c r="H3597" t="s">
        <v>427</v>
      </c>
      <c r="I3597" t="s">
        <v>455</v>
      </c>
      <c r="J3597" t="s">
        <v>421</v>
      </c>
      <c r="L3597" t="s">
        <v>517</v>
      </c>
      <c r="M3597" t="s">
        <v>424</v>
      </c>
      <c r="N3597" t="s">
        <v>423</v>
      </c>
    </row>
    <row r="3598" spans="1:14" ht="15" customHeight="1" x14ac:dyDescent="0.25">
      <c r="A3598" s="82">
        <v>45873</v>
      </c>
      <c r="B3598" t="s">
        <v>516</v>
      </c>
      <c r="C3598" t="s">
        <v>514</v>
      </c>
      <c r="D3598" t="s">
        <v>428</v>
      </c>
      <c r="E3598" t="s">
        <v>425</v>
      </c>
      <c r="F3598" t="s">
        <v>532</v>
      </c>
      <c r="G3598" t="s">
        <v>529</v>
      </c>
      <c r="H3598" t="s">
        <v>455</v>
      </c>
      <c r="I3598" t="s">
        <v>421</v>
      </c>
      <c r="J3598" t="s">
        <v>427</v>
      </c>
      <c r="L3598" t="s">
        <v>517</v>
      </c>
      <c r="M3598" t="s">
        <v>424</v>
      </c>
      <c r="N3598" t="s">
        <v>423</v>
      </c>
    </row>
    <row r="3599" spans="1:14" ht="15" customHeight="1" x14ac:dyDescent="0.25">
      <c r="A3599" s="82">
        <v>45874</v>
      </c>
      <c r="B3599" t="s">
        <v>516</v>
      </c>
      <c r="C3599" t="s">
        <v>514</v>
      </c>
      <c r="D3599" t="s">
        <v>428</v>
      </c>
      <c r="E3599" t="s">
        <v>425</v>
      </c>
      <c r="F3599" t="s">
        <v>532</v>
      </c>
      <c r="G3599" t="s">
        <v>426</v>
      </c>
      <c r="H3599" t="s">
        <v>421</v>
      </c>
      <c r="I3599" t="s">
        <v>427</v>
      </c>
      <c r="J3599" t="s">
        <v>455</v>
      </c>
      <c r="L3599" t="s">
        <v>517</v>
      </c>
      <c r="M3599" t="s">
        <v>424</v>
      </c>
      <c r="N3599" t="s">
        <v>423</v>
      </c>
    </row>
    <row r="3600" spans="1:14" ht="15" customHeight="1" x14ac:dyDescent="0.25">
      <c r="A3600" s="82">
        <v>45875</v>
      </c>
      <c r="B3600" t="s">
        <v>516</v>
      </c>
      <c r="C3600" t="s">
        <v>514</v>
      </c>
      <c r="D3600" t="s">
        <v>428</v>
      </c>
      <c r="E3600" t="s">
        <v>425</v>
      </c>
      <c r="F3600" t="s">
        <v>430</v>
      </c>
      <c r="G3600" t="s">
        <v>426</v>
      </c>
      <c r="H3600" t="s">
        <v>421</v>
      </c>
      <c r="I3600" t="s">
        <v>455</v>
      </c>
      <c r="J3600" t="s">
        <v>427</v>
      </c>
      <c r="L3600" t="s">
        <v>517</v>
      </c>
      <c r="M3600" t="s">
        <v>424</v>
      </c>
      <c r="N3600" t="s">
        <v>423</v>
      </c>
    </row>
    <row r="3601" spans="1:14" ht="15" customHeight="1" x14ac:dyDescent="0.25">
      <c r="A3601" s="82">
        <v>45876</v>
      </c>
      <c r="B3601" t="s">
        <v>516</v>
      </c>
      <c r="C3601" t="s">
        <v>514</v>
      </c>
      <c r="D3601" t="s">
        <v>428</v>
      </c>
      <c r="E3601" t="s">
        <v>425</v>
      </c>
      <c r="F3601" t="s">
        <v>430</v>
      </c>
      <c r="G3601" t="s">
        <v>426</v>
      </c>
      <c r="H3601" t="s">
        <v>427</v>
      </c>
      <c r="I3601" t="s">
        <v>517</v>
      </c>
      <c r="J3601" t="s">
        <v>455</v>
      </c>
      <c r="L3601" t="s">
        <v>517</v>
      </c>
      <c r="M3601" t="s">
        <v>424</v>
      </c>
      <c r="N3601" t="s">
        <v>423</v>
      </c>
    </row>
    <row r="3602" spans="1:14" ht="15" customHeight="1" x14ac:dyDescent="0.25">
      <c r="A3602" s="82">
        <v>45877</v>
      </c>
      <c r="B3602" t="s">
        <v>530</v>
      </c>
      <c r="C3602" t="s">
        <v>529</v>
      </c>
      <c r="D3602" t="s">
        <v>425</v>
      </c>
      <c r="E3602" t="s">
        <v>425</v>
      </c>
      <c r="F3602" t="s">
        <v>421</v>
      </c>
      <c r="G3602" t="s">
        <v>427</v>
      </c>
      <c r="H3602" t="s">
        <v>455</v>
      </c>
      <c r="I3602" t="s">
        <v>514</v>
      </c>
      <c r="J3602" t="s">
        <v>516</v>
      </c>
      <c r="L3602" t="s">
        <v>423</v>
      </c>
      <c r="M3602" t="s">
        <v>421</v>
      </c>
      <c r="N3602" t="s">
        <v>533</v>
      </c>
    </row>
    <row r="3603" spans="1:14" ht="15" customHeight="1" x14ac:dyDescent="0.25">
      <c r="A3603" s="82">
        <v>45878</v>
      </c>
      <c r="B3603" t="s">
        <v>430</v>
      </c>
      <c r="C3603" t="s">
        <v>426</v>
      </c>
      <c r="D3603" t="s">
        <v>425</v>
      </c>
      <c r="E3603" t="s">
        <v>421</v>
      </c>
      <c r="F3603" t="s">
        <v>427</v>
      </c>
      <c r="G3603" t="s">
        <v>455</v>
      </c>
      <c r="H3603" t="s">
        <v>428</v>
      </c>
      <c r="I3603" t="s">
        <v>514</v>
      </c>
      <c r="J3603" t="s">
        <v>516</v>
      </c>
      <c r="L3603" t="s">
        <v>423</v>
      </c>
      <c r="M3603" t="s">
        <v>421</v>
      </c>
      <c r="N3603" t="s">
        <v>533</v>
      </c>
    </row>
    <row r="3604" spans="1:14" ht="15" customHeight="1" x14ac:dyDescent="0.25">
      <c r="A3604" s="82">
        <v>45879</v>
      </c>
      <c r="B3604" t="s">
        <v>430</v>
      </c>
      <c r="C3604" t="s">
        <v>426</v>
      </c>
      <c r="D3604" t="s">
        <v>425</v>
      </c>
      <c r="E3604" t="s">
        <v>421</v>
      </c>
      <c r="F3604" t="s">
        <v>455</v>
      </c>
      <c r="G3604" t="s">
        <v>427</v>
      </c>
      <c r="H3604" t="s">
        <v>428</v>
      </c>
      <c r="I3604" t="s">
        <v>514</v>
      </c>
      <c r="J3604" t="s">
        <v>516</v>
      </c>
      <c r="L3604" t="s">
        <v>423</v>
      </c>
      <c r="M3604" t="s">
        <v>421</v>
      </c>
      <c r="N3604" t="s">
        <v>533</v>
      </c>
    </row>
    <row r="3605" spans="1:14" ht="15" customHeight="1" x14ac:dyDescent="0.25">
      <c r="A3605" s="82">
        <v>45880</v>
      </c>
      <c r="B3605" t="s">
        <v>532</v>
      </c>
      <c r="C3605" t="s">
        <v>529</v>
      </c>
      <c r="D3605" t="s">
        <v>425</v>
      </c>
      <c r="E3605" t="s">
        <v>427</v>
      </c>
      <c r="F3605" t="s">
        <v>421</v>
      </c>
      <c r="G3605" t="s">
        <v>455</v>
      </c>
      <c r="H3605" t="s">
        <v>428</v>
      </c>
      <c r="I3605" t="s">
        <v>514</v>
      </c>
      <c r="J3605" t="s">
        <v>516</v>
      </c>
      <c r="L3605" t="s">
        <v>423</v>
      </c>
      <c r="M3605" t="s">
        <v>421</v>
      </c>
      <c r="N3605" t="s">
        <v>533</v>
      </c>
    </row>
    <row r="3606" spans="1:14" ht="15" customHeight="1" x14ac:dyDescent="0.25">
      <c r="A3606" s="82">
        <v>45881</v>
      </c>
      <c r="B3606" t="s">
        <v>532</v>
      </c>
      <c r="C3606" t="s">
        <v>426</v>
      </c>
      <c r="D3606" t="s">
        <v>425</v>
      </c>
      <c r="E3606" t="s">
        <v>455</v>
      </c>
      <c r="F3606" t="s">
        <v>427</v>
      </c>
      <c r="G3606" t="s">
        <v>421</v>
      </c>
      <c r="H3606" t="s">
        <v>428</v>
      </c>
      <c r="I3606" t="s">
        <v>514</v>
      </c>
      <c r="J3606" t="s">
        <v>516</v>
      </c>
      <c r="L3606" t="s">
        <v>423</v>
      </c>
      <c r="M3606" t="s">
        <v>421</v>
      </c>
      <c r="N3606" t="s">
        <v>533</v>
      </c>
    </row>
    <row r="3607" spans="1:14" ht="15" customHeight="1" x14ac:dyDescent="0.25">
      <c r="A3607" s="82">
        <v>45882</v>
      </c>
      <c r="B3607" t="s">
        <v>430</v>
      </c>
      <c r="C3607" t="s">
        <v>426</v>
      </c>
      <c r="D3607" t="s">
        <v>425</v>
      </c>
      <c r="E3607" t="s">
        <v>427</v>
      </c>
      <c r="F3607" t="s">
        <v>455</v>
      </c>
      <c r="G3607" t="s">
        <v>421</v>
      </c>
      <c r="H3607" t="s">
        <v>428</v>
      </c>
      <c r="I3607" t="s">
        <v>514</v>
      </c>
      <c r="J3607" t="s">
        <v>516</v>
      </c>
      <c r="L3607" t="s">
        <v>423</v>
      </c>
      <c r="M3607" t="s">
        <v>421</v>
      </c>
      <c r="N3607" t="s">
        <v>533</v>
      </c>
    </row>
    <row r="3608" spans="1:14" ht="15" customHeight="1" x14ac:dyDescent="0.25">
      <c r="A3608" s="82">
        <v>45883</v>
      </c>
      <c r="B3608" t="s">
        <v>430</v>
      </c>
      <c r="C3608" t="s">
        <v>426</v>
      </c>
      <c r="D3608" t="s">
        <v>425</v>
      </c>
      <c r="E3608" t="s">
        <v>455</v>
      </c>
      <c r="F3608" t="s">
        <v>517</v>
      </c>
      <c r="G3608" t="s">
        <v>427</v>
      </c>
      <c r="H3608" t="s">
        <v>428</v>
      </c>
      <c r="I3608" t="s">
        <v>514</v>
      </c>
      <c r="J3608" t="s">
        <v>516</v>
      </c>
      <c r="L3608" t="s">
        <v>423</v>
      </c>
      <c r="M3608" t="s">
        <v>421</v>
      </c>
      <c r="N3608" t="s">
        <v>533</v>
      </c>
    </row>
    <row r="3609" spans="1:14" ht="15" customHeight="1" x14ac:dyDescent="0.25">
      <c r="A3609" s="82">
        <v>45884</v>
      </c>
      <c r="B3609" t="s">
        <v>421</v>
      </c>
      <c r="C3609" t="s">
        <v>427</v>
      </c>
      <c r="D3609" t="s">
        <v>425</v>
      </c>
      <c r="E3609" t="s">
        <v>516</v>
      </c>
      <c r="F3609" t="s">
        <v>514</v>
      </c>
      <c r="G3609" t="s">
        <v>455</v>
      </c>
      <c r="H3609" t="s">
        <v>425</v>
      </c>
      <c r="I3609" t="s">
        <v>426</v>
      </c>
      <c r="J3609" t="s">
        <v>516</v>
      </c>
      <c r="L3609" t="s">
        <v>428</v>
      </c>
      <c r="M3609" t="s">
        <v>534</v>
      </c>
      <c r="N3609" t="s">
        <v>421</v>
      </c>
    </row>
    <row r="3610" spans="1:14" ht="15" customHeight="1" x14ac:dyDescent="0.25">
      <c r="A3610" s="82">
        <v>45885</v>
      </c>
      <c r="B3610" t="s">
        <v>427</v>
      </c>
      <c r="C3610" t="s">
        <v>455</v>
      </c>
      <c r="D3610" t="s">
        <v>421</v>
      </c>
      <c r="E3610" t="s">
        <v>516</v>
      </c>
      <c r="F3610" t="s">
        <v>514</v>
      </c>
      <c r="G3610" t="s">
        <v>428</v>
      </c>
      <c r="H3610" t="s">
        <v>425</v>
      </c>
      <c r="I3610" t="s">
        <v>426</v>
      </c>
      <c r="J3610" t="s">
        <v>430</v>
      </c>
      <c r="L3610" t="s">
        <v>428</v>
      </c>
      <c r="M3610" t="s">
        <v>534</v>
      </c>
      <c r="N3610" t="s">
        <v>421</v>
      </c>
    </row>
    <row r="3611" spans="1:14" ht="15" customHeight="1" x14ac:dyDescent="0.25">
      <c r="A3611" s="82">
        <v>45886</v>
      </c>
      <c r="B3611" t="s">
        <v>455</v>
      </c>
      <c r="C3611" t="s">
        <v>427</v>
      </c>
      <c r="D3611" t="s">
        <v>421</v>
      </c>
      <c r="E3611" t="s">
        <v>516</v>
      </c>
      <c r="F3611" t="s">
        <v>514</v>
      </c>
      <c r="G3611" t="s">
        <v>428</v>
      </c>
      <c r="H3611" t="s">
        <v>425</v>
      </c>
      <c r="I3611" t="s">
        <v>426</v>
      </c>
      <c r="J3611" t="s">
        <v>430</v>
      </c>
      <c r="L3611" t="s">
        <v>428</v>
      </c>
      <c r="M3611" t="s">
        <v>534</v>
      </c>
      <c r="N3611" t="s">
        <v>421</v>
      </c>
    </row>
    <row r="3612" spans="1:14" ht="15" customHeight="1" x14ac:dyDescent="0.25">
      <c r="A3612" s="82">
        <v>45887</v>
      </c>
      <c r="B3612" t="s">
        <v>421</v>
      </c>
      <c r="C3612" t="s">
        <v>455</v>
      </c>
      <c r="D3612" t="s">
        <v>427</v>
      </c>
      <c r="E3612" t="s">
        <v>516</v>
      </c>
      <c r="F3612" t="s">
        <v>514</v>
      </c>
      <c r="G3612" t="s">
        <v>428</v>
      </c>
      <c r="H3612" t="s">
        <v>425</v>
      </c>
      <c r="I3612" t="s">
        <v>529</v>
      </c>
      <c r="J3612" t="s">
        <v>532</v>
      </c>
      <c r="L3612" t="s">
        <v>428</v>
      </c>
      <c r="M3612" t="s">
        <v>534</v>
      </c>
      <c r="N3612" t="s">
        <v>421</v>
      </c>
    </row>
    <row r="3613" spans="1:14" ht="15" customHeight="1" x14ac:dyDescent="0.25">
      <c r="A3613" s="82">
        <v>45888</v>
      </c>
      <c r="B3613" t="s">
        <v>427</v>
      </c>
      <c r="C3613" t="s">
        <v>421</v>
      </c>
      <c r="D3613" t="s">
        <v>455</v>
      </c>
      <c r="E3613" t="s">
        <v>516</v>
      </c>
      <c r="F3613" t="s">
        <v>514</v>
      </c>
      <c r="G3613" t="s">
        <v>428</v>
      </c>
      <c r="H3613" t="s">
        <v>425</v>
      </c>
      <c r="I3613" t="s">
        <v>529</v>
      </c>
      <c r="J3613" t="s">
        <v>532</v>
      </c>
      <c r="L3613" t="s">
        <v>428</v>
      </c>
      <c r="M3613" t="s">
        <v>534</v>
      </c>
      <c r="N3613" t="s">
        <v>421</v>
      </c>
    </row>
    <row r="3614" spans="1:14" ht="15" customHeight="1" x14ac:dyDescent="0.25">
      <c r="A3614" s="82">
        <v>45889</v>
      </c>
      <c r="B3614" t="s">
        <v>455</v>
      </c>
      <c r="C3614" t="s">
        <v>421</v>
      </c>
      <c r="D3614" t="s">
        <v>427</v>
      </c>
      <c r="E3614" t="s">
        <v>516</v>
      </c>
      <c r="F3614" t="s">
        <v>514</v>
      </c>
      <c r="G3614" t="s">
        <v>428</v>
      </c>
      <c r="H3614" t="s">
        <v>425</v>
      </c>
      <c r="I3614" t="s">
        <v>426</v>
      </c>
      <c r="J3614" t="s">
        <v>430</v>
      </c>
      <c r="L3614" t="s">
        <v>424</v>
      </c>
      <c r="M3614" t="s">
        <v>534</v>
      </c>
      <c r="N3614" t="s">
        <v>421</v>
      </c>
    </row>
    <row r="3615" spans="1:14" ht="15" customHeight="1" x14ac:dyDescent="0.25">
      <c r="A3615" s="82">
        <v>45890</v>
      </c>
      <c r="B3615" t="s">
        <v>517</v>
      </c>
      <c r="C3615" t="s">
        <v>427</v>
      </c>
      <c r="D3615" t="s">
        <v>455</v>
      </c>
      <c r="E3615" t="s">
        <v>516</v>
      </c>
      <c r="F3615" t="s">
        <v>514</v>
      </c>
      <c r="G3615" t="s">
        <v>428</v>
      </c>
      <c r="H3615" t="s">
        <v>425</v>
      </c>
      <c r="I3615" t="s">
        <v>426</v>
      </c>
      <c r="J3615" t="s">
        <v>430</v>
      </c>
      <c r="L3615" t="s">
        <v>424</v>
      </c>
      <c r="M3615" t="s">
        <v>534</v>
      </c>
      <c r="N3615" t="s">
        <v>421</v>
      </c>
    </row>
    <row r="3616" spans="1:14" ht="15" customHeight="1" x14ac:dyDescent="0.25">
      <c r="A3616" s="82">
        <v>45891</v>
      </c>
      <c r="B3616" t="s">
        <v>514</v>
      </c>
      <c r="C3616" t="s">
        <v>455</v>
      </c>
      <c r="D3616" t="s">
        <v>516</v>
      </c>
      <c r="E3616" t="s">
        <v>530</v>
      </c>
      <c r="F3616" t="s">
        <v>529</v>
      </c>
      <c r="G3616" t="s">
        <v>425</v>
      </c>
      <c r="H3616" t="s">
        <v>425</v>
      </c>
      <c r="I3616" t="s">
        <v>427</v>
      </c>
      <c r="J3616" t="s">
        <v>421</v>
      </c>
      <c r="L3616" t="s">
        <v>517</v>
      </c>
      <c r="M3616" t="s">
        <v>424</v>
      </c>
      <c r="N3616" t="s">
        <v>423</v>
      </c>
    </row>
    <row r="3617" spans="1:14" ht="15" customHeight="1" x14ac:dyDescent="0.25">
      <c r="A3617" s="82">
        <v>45892</v>
      </c>
      <c r="B3617" t="s">
        <v>514</v>
      </c>
      <c r="C3617" t="s">
        <v>428</v>
      </c>
      <c r="D3617" t="s">
        <v>516</v>
      </c>
      <c r="E3617" t="s">
        <v>430</v>
      </c>
      <c r="F3617" t="s">
        <v>426</v>
      </c>
      <c r="G3617" t="s">
        <v>425</v>
      </c>
      <c r="H3617" t="s">
        <v>421</v>
      </c>
      <c r="I3617" t="s">
        <v>455</v>
      </c>
      <c r="J3617" t="s">
        <v>427</v>
      </c>
      <c r="L3617" t="s">
        <v>517</v>
      </c>
      <c r="M3617" t="s">
        <v>424</v>
      </c>
      <c r="N3617" t="s">
        <v>423</v>
      </c>
    </row>
    <row r="3618" spans="1:14" ht="15" customHeight="1" x14ac:dyDescent="0.25">
      <c r="A3618" s="82">
        <v>45893</v>
      </c>
      <c r="B3618" t="s">
        <v>514</v>
      </c>
      <c r="C3618" t="s">
        <v>428</v>
      </c>
      <c r="D3618" t="s">
        <v>516</v>
      </c>
      <c r="E3618" t="s">
        <v>430</v>
      </c>
      <c r="F3618" t="s">
        <v>426</v>
      </c>
      <c r="G3618" t="s">
        <v>425</v>
      </c>
      <c r="H3618" t="s">
        <v>421</v>
      </c>
      <c r="I3618" t="s">
        <v>427</v>
      </c>
      <c r="J3618" t="s">
        <v>455</v>
      </c>
      <c r="L3618" t="s">
        <v>517</v>
      </c>
      <c r="M3618" t="s">
        <v>424</v>
      </c>
      <c r="N3618" t="s">
        <v>423</v>
      </c>
    </row>
    <row r="3619" spans="1:14" ht="15" customHeight="1" x14ac:dyDescent="0.25">
      <c r="A3619" s="82">
        <v>45894</v>
      </c>
      <c r="B3619" t="s">
        <v>514</v>
      </c>
      <c r="C3619" t="s">
        <v>428</v>
      </c>
      <c r="D3619" t="s">
        <v>516</v>
      </c>
      <c r="E3619" t="s">
        <v>532</v>
      </c>
      <c r="F3619" t="s">
        <v>529</v>
      </c>
      <c r="G3619" t="s">
        <v>425</v>
      </c>
      <c r="H3619" t="s">
        <v>427</v>
      </c>
      <c r="I3619" t="s">
        <v>455</v>
      </c>
      <c r="J3619" t="s">
        <v>421</v>
      </c>
      <c r="L3619" t="s">
        <v>517</v>
      </c>
      <c r="M3619" t="s">
        <v>424</v>
      </c>
      <c r="N3619" t="s">
        <v>423</v>
      </c>
    </row>
    <row r="3620" spans="1:14" ht="15" customHeight="1" x14ac:dyDescent="0.25">
      <c r="A3620" s="82">
        <v>45895</v>
      </c>
      <c r="B3620" t="s">
        <v>514</v>
      </c>
      <c r="C3620" t="s">
        <v>428</v>
      </c>
      <c r="D3620" t="s">
        <v>516</v>
      </c>
      <c r="E3620" t="s">
        <v>532</v>
      </c>
      <c r="F3620" t="s">
        <v>529</v>
      </c>
      <c r="G3620" t="s">
        <v>425</v>
      </c>
      <c r="H3620" t="s">
        <v>455</v>
      </c>
      <c r="I3620" t="s">
        <v>421</v>
      </c>
      <c r="J3620" t="s">
        <v>427</v>
      </c>
      <c r="L3620" t="s">
        <v>517</v>
      </c>
      <c r="M3620" t="s">
        <v>424</v>
      </c>
      <c r="N3620" t="s">
        <v>423</v>
      </c>
    </row>
    <row r="3621" spans="1:14" ht="15" customHeight="1" x14ac:dyDescent="0.25">
      <c r="A3621" s="82">
        <v>45896</v>
      </c>
      <c r="B3621" t="s">
        <v>514</v>
      </c>
      <c r="C3621" t="s">
        <v>428</v>
      </c>
      <c r="D3621" t="s">
        <v>516</v>
      </c>
      <c r="E3621" t="s">
        <v>532</v>
      </c>
      <c r="F3621" t="s">
        <v>426</v>
      </c>
      <c r="G3621" t="s">
        <v>425</v>
      </c>
      <c r="H3621" t="s">
        <v>427</v>
      </c>
      <c r="I3621" t="s">
        <v>421</v>
      </c>
      <c r="J3621" t="s">
        <v>455</v>
      </c>
      <c r="L3621" t="s">
        <v>517</v>
      </c>
      <c r="M3621" t="s">
        <v>424</v>
      </c>
      <c r="N3621" t="s">
        <v>423</v>
      </c>
    </row>
    <row r="3622" spans="1:14" ht="15" customHeight="1" x14ac:dyDescent="0.25">
      <c r="A3622" s="82">
        <v>45897</v>
      </c>
      <c r="B3622" t="s">
        <v>514</v>
      </c>
      <c r="C3622" t="s">
        <v>428</v>
      </c>
      <c r="D3622" t="s">
        <v>516</v>
      </c>
      <c r="E3622" t="s">
        <v>430</v>
      </c>
      <c r="F3622" t="s">
        <v>426</v>
      </c>
      <c r="G3622" t="s">
        <v>425</v>
      </c>
      <c r="H3622" t="s">
        <v>455</v>
      </c>
      <c r="I3622" t="s">
        <v>427</v>
      </c>
      <c r="J3622" t="s">
        <v>517</v>
      </c>
      <c r="L3622" t="s">
        <v>517</v>
      </c>
      <c r="M3622" t="s">
        <v>424</v>
      </c>
      <c r="N3622" t="s">
        <v>423</v>
      </c>
    </row>
    <row r="3623" spans="1:14" ht="15" customHeight="1" x14ac:dyDescent="0.25">
      <c r="A3623" s="82">
        <v>45898</v>
      </c>
      <c r="B3623" t="s">
        <v>529</v>
      </c>
      <c r="C3623" t="s">
        <v>425</v>
      </c>
      <c r="D3623" t="s">
        <v>530</v>
      </c>
      <c r="E3623" t="s">
        <v>421</v>
      </c>
      <c r="F3623" t="s">
        <v>427</v>
      </c>
      <c r="G3623" t="s">
        <v>425</v>
      </c>
      <c r="H3623" t="s">
        <v>424</v>
      </c>
      <c r="I3623" t="s">
        <v>455</v>
      </c>
      <c r="J3623" t="s">
        <v>514</v>
      </c>
      <c r="L3623" t="s">
        <v>423</v>
      </c>
      <c r="M3623" t="s">
        <v>421</v>
      </c>
      <c r="N3623" t="s">
        <v>424</v>
      </c>
    </row>
    <row r="3624" spans="1:14" ht="15" customHeight="1" x14ac:dyDescent="0.25">
      <c r="A3624" s="82">
        <v>45899</v>
      </c>
      <c r="B3624" t="s">
        <v>426</v>
      </c>
      <c r="C3624" t="s">
        <v>425</v>
      </c>
      <c r="D3624" t="s">
        <v>430</v>
      </c>
      <c r="E3624" t="s">
        <v>427</v>
      </c>
      <c r="F3624" t="s">
        <v>455</v>
      </c>
      <c r="G3624" t="s">
        <v>421</v>
      </c>
      <c r="H3624" t="s">
        <v>424</v>
      </c>
      <c r="I3624" t="s">
        <v>428</v>
      </c>
      <c r="J3624" t="s">
        <v>514</v>
      </c>
      <c r="L3624" t="s">
        <v>423</v>
      </c>
      <c r="M3624" t="s">
        <v>421</v>
      </c>
      <c r="N3624" t="s">
        <v>424</v>
      </c>
    </row>
    <row r="3625" spans="1:14" ht="15" customHeight="1" x14ac:dyDescent="0.25">
      <c r="A3625" s="82">
        <v>45900</v>
      </c>
      <c r="B3625" t="s">
        <v>426</v>
      </c>
      <c r="C3625" t="s">
        <v>425</v>
      </c>
      <c r="D3625" t="s">
        <v>430</v>
      </c>
      <c r="E3625" t="s">
        <v>455</v>
      </c>
      <c r="F3625" t="s">
        <v>427</v>
      </c>
      <c r="G3625" t="s">
        <v>421</v>
      </c>
      <c r="H3625" t="s">
        <v>424</v>
      </c>
      <c r="I3625" t="s">
        <v>428</v>
      </c>
      <c r="J3625" t="s">
        <v>514</v>
      </c>
      <c r="L3625" t="s">
        <v>423</v>
      </c>
      <c r="M3625" t="s">
        <v>421</v>
      </c>
      <c r="N3625" t="s">
        <v>424</v>
      </c>
    </row>
    <row r="3626" spans="1:14" ht="15" customHeight="1" x14ac:dyDescent="0.25">
      <c r="A3626" s="82">
        <v>45901</v>
      </c>
      <c r="B3626" t="s">
        <v>529</v>
      </c>
      <c r="C3626" t="s">
        <v>425</v>
      </c>
      <c r="D3626" t="s">
        <v>532</v>
      </c>
      <c r="E3626" t="s">
        <v>421</v>
      </c>
      <c r="F3626" t="s">
        <v>455</v>
      </c>
      <c r="G3626" t="s">
        <v>427</v>
      </c>
      <c r="H3626" t="s">
        <v>424</v>
      </c>
      <c r="I3626" t="s">
        <v>428</v>
      </c>
      <c r="J3626" t="s">
        <v>514</v>
      </c>
      <c r="L3626" t="s">
        <v>423</v>
      </c>
      <c r="M3626" t="s">
        <v>421</v>
      </c>
      <c r="N3626" t="s">
        <v>424</v>
      </c>
    </row>
    <row r="3627" spans="1:14" ht="15" customHeight="1" x14ac:dyDescent="0.25">
      <c r="A3627" s="82">
        <v>45902</v>
      </c>
      <c r="B3627" t="s">
        <v>426</v>
      </c>
      <c r="C3627" t="s">
        <v>425</v>
      </c>
      <c r="D3627" t="s">
        <v>532</v>
      </c>
      <c r="E3627" t="s">
        <v>427</v>
      </c>
      <c r="F3627" t="s">
        <v>421</v>
      </c>
      <c r="G3627" t="s">
        <v>455</v>
      </c>
      <c r="H3627" t="s">
        <v>424</v>
      </c>
      <c r="I3627" t="s">
        <v>428</v>
      </c>
      <c r="J3627" t="s">
        <v>514</v>
      </c>
      <c r="L3627" t="s">
        <v>423</v>
      </c>
      <c r="M3627" t="s">
        <v>421</v>
      </c>
      <c r="N3627" t="s">
        <v>424</v>
      </c>
    </row>
    <row r="3628" spans="1:14" ht="15" customHeight="1" x14ac:dyDescent="0.25">
      <c r="A3628" s="82">
        <v>45903</v>
      </c>
      <c r="B3628" t="s">
        <v>426</v>
      </c>
      <c r="C3628" t="s">
        <v>425</v>
      </c>
      <c r="D3628" t="s">
        <v>430</v>
      </c>
      <c r="E3628" t="s">
        <v>455</v>
      </c>
      <c r="F3628" t="s">
        <v>421</v>
      </c>
      <c r="G3628" t="s">
        <v>427</v>
      </c>
      <c r="H3628" t="s">
        <v>424</v>
      </c>
      <c r="I3628" t="s">
        <v>428</v>
      </c>
      <c r="J3628" t="s">
        <v>514</v>
      </c>
      <c r="L3628" t="s">
        <v>423</v>
      </c>
      <c r="M3628" t="s">
        <v>421</v>
      </c>
      <c r="N3628" t="s">
        <v>424</v>
      </c>
    </row>
    <row r="3629" spans="1:14" ht="15" customHeight="1" x14ac:dyDescent="0.25">
      <c r="A3629" s="82">
        <v>45904</v>
      </c>
      <c r="B3629" t="s">
        <v>426</v>
      </c>
      <c r="C3629" t="s">
        <v>425</v>
      </c>
      <c r="D3629" t="s">
        <v>430</v>
      </c>
      <c r="E3629" t="s">
        <v>517</v>
      </c>
      <c r="F3629" t="s">
        <v>427</v>
      </c>
      <c r="G3629" t="s">
        <v>455</v>
      </c>
      <c r="H3629" t="s">
        <v>424</v>
      </c>
      <c r="I3629" t="s">
        <v>428</v>
      </c>
      <c r="J3629" t="s">
        <v>514</v>
      </c>
      <c r="L3629" t="s">
        <v>423</v>
      </c>
      <c r="M3629" t="s">
        <v>421</v>
      </c>
      <c r="N3629" t="s">
        <v>424</v>
      </c>
    </row>
    <row r="3630" spans="1:14" ht="15" customHeight="1" x14ac:dyDescent="0.25">
      <c r="A3630" s="82">
        <v>45905</v>
      </c>
      <c r="B3630" t="s">
        <v>427</v>
      </c>
      <c r="C3630" t="s">
        <v>425</v>
      </c>
      <c r="D3630" t="s">
        <v>421</v>
      </c>
      <c r="E3630" t="s">
        <v>514</v>
      </c>
      <c r="F3630" t="s">
        <v>455</v>
      </c>
      <c r="G3630" t="s">
        <v>424</v>
      </c>
      <c r="H3630" t="s">
        <v>430</v>
      </c>
      <c r="I3630" t="s">
        <v>425</v>
      </c>
      <c r="J3630" t="s">
        <v>529</v>
      </c>
      <c r="L3630" t="s">
        <v>424</v>
      </c>
      <c r="M3630" t="s">
        <v>423</v>
      </c>
      <c r="N3630" t="s">
        <v>421</v>
      </c>
    </row>
    <row r="3631" spans="1:14" ht="15" customHeight="1" x14ac:dyDescent="0.25">
      <c r="A3631" s="82">
        <v>45906</v>
      </c>
      <c r="B3631" t="s">
        <v>455</v>
      </c>
      <c r="C3631" t="s">
        <v>421</v>
      </c>
      <c r="D3631" t="s">
        <v>427</v>
      </c>
      <c r="E3631" t="s">
        <v>514</v>
      </c>
      <c r="F3631" t="s">
        <v>428</v>
      </c>
      <c r="G3631" t="s">
        <v>424</v>
      </c>
      <c r="H3631" t="s">
        <v>430</v>
      </c>
      <c r="I3631" t="s">
        <v>425</v>
      </c>
      <c r="J3631" t="s">
        <v>426</v>
      </c>
      <c r="L3631" t="s">
        <v>424</v>
      </c>
      <c r="M3631" t="s">
        <v>423</v>
      </c>
      <c r="N3631" t="s">
        <v>421</v>
      </c>
    </row>
    <row r="3632" spans="1:14" ht="15" customHeight="1" x14ac:dyDescent="0.25">
      <c r="A3632" s="82">
        <v>45907</v>
      </c>
      <c r="B3632" t="s">
        <v>427</v>
      </c>
      <c r="C3632" t="s">
        <v>421</v>
      </c>
      <c r="D3632" t="s">
        <v>455</v>
      </c>
      <c r="E3632" t="s">
        <v>514</v>
      </c>
      <c r="F3632" t="s">
        <v>428</v>
      </c>
      <c r="G3632" t="s">
        <v>424</v>
      </c>
      <c r="H3632" t="s">
        <v>430</v>
      </c>
      <c r="I3632" t="s">
        <v>425</v>
      </c>
      <c r="J3632" t="s">
        <v>426</v>
      </c>
      <c r="L3632" t="s">
        <v>424</v>
      </c>
      <c r="M3632" t="s">
        <v>423</v>
      </c>
      <c r="N3632" t="s">
        <v>421</v>
      </c>
    </row>
    <row r="3633" spans="1:14" ht="15" customHeight="1" x14ac:dyDescent="0.25">
      <c r="A3633" s="82">
        <v>45908</v>
      </c>
      <c r="B3633" t="s">
        <v>455</v>
      </c>
      <c r="C3633" t="s">
        <v>427</v>
      </c>
      <c r="D3633" t="s">
        <v>421</v>
      </c>
      <c r="E3633" t="s">
        <v>514</v>
      </c>
      <c r="F3633" t="s">
        <v>428</v>
      </c>
      <c r="G3633" t="s">
        <v>424</v>
      </c>
      <c r="H3633" t="s">
        <v>430</v>
      </c>
      <c r="I3633" t="s">
        <v>425</v>
      </c>
      <c r="J3633" t="s">
        <v>529</v>
      </c>
      <c r="L3633" t="s">
        <v>424</v>
      </c>
      <c r="M3633" t="s">
        <v>423</v>
      </c>
      <c r="N3633" t="s">
        <v>421</v>
      </c>
    </row>
    <row r="3634" spans="1:14" ht="15" customHeight="1" x14ac:dyDescent="0.25">
      <c r="A3634" s="82">
        <v>45909</v>
      </c>
      <c r="B3634" t="s">
        <v>421</v>
      </c>
      <c r="C3634" t="s">
        <v>455</v>
      </c>
      <c r="D3634" t="s">
        <v>427</v>
      </c>
      <c r="E3634" t="s">
        <v>514</v>
      </c>
      <c r="F3634" t="s">
        <v>428</v>
      </c>
      <c r="G3634" t="s">
        <v>424</v>
      </c>
      <c r="H3634" t="s">
        <v>430</v>
      </c>
      <c r="I3634" t="s">
        <v>425</v>
      </c>
      <c r="J3634" t="s">
        <v>426</v>
      </c>
      <c r="L3634" t="s">
        <v>424</v>
      </c>
      <c r="M3634" t="s">
        <v>423</v>
      </c>
      <c r="N3634" t="s">
        <v>421</v>
      </c>
    </row>
    <row r="3635" spans="1:14" ht="15" customHeight="1" x14ac:dyDescent="0.25">
      <c r="A3635" s="82">
        <v>45910</v>
      </c>
      <c r="B3635" t="s">
        <v>421</v>
      </c>
      <c r="C3635" t="s">
        <v>427</v>
      </c>
      <c r="D3635" t="s">
        <v>455</v>
      </c>
      <c r="E3635" t="s">
        <v>514</v>
      </c>
      <c r="F3635" t="s">
        <v>428</v>
      </c>
      <c r="G3635" t="s">
        <v>424</v>
      </c>
      <c r="H3635" t="s">
        <v>430</v>
      </c>
      <c r="I3635" t="s">
        <v>425</v>
      </c>
      <c r="J3635" t="s">
        <v>426</v>
      </c>
      <c r="L3635" t="s">
        <v>424</v>
      </c>
      <c r="M3635" t="s">
        <v>423</v>
      </c>
      <c r="N3635" t="s">
        <v>421</v>
      </c>
    </row>
    <row r="3636" spans="1:14" ht="15" customHeight="1" x14ac:dyDescent="0.25">
      <c r="A3636" s="82">
        <v>45911</v>
      </c>
      <c r="B3636" t="s">
        <v>427</v>
      </c>
      <c r="C3636" t="s">
        <v>455</v>
      </c>
      <c r="D3636" t="s">
        <v>517</v>
      </c>
      <c r="E3636" t="s">
        <v>514</v>
      </c>
      <c r="F3636" t="s">
        <v>428</v>
      </c>
      <c r="G3636" t="s">
        <v>424</v>
      </c>
      <c r="H3636" t="s">
        <v>430</v>
      </c>
      <c r="I3636" t="s">
        <v>425</v>
      </c>
      <c r="J3636" t="s">
        <v>426</v>
      </c>
      <c r="L3636" t="s">
        <v>424</v>
      </c>
      <c r="M3636" t="s">
        <v>423</v>
      </c>
      <c r="N3636" t="s">
        <v>421</v>
      </c>
    </row>
    <row r="3637" spans="1:14" ht="15" customHeight="1" x14ac:dyDescent="0.25">
      <c r="A3637" s="82">
        <v>45912</v>
      </c>
      <c r="B3637" t="s">
        <v>455</v>
      </c>
      <c r="C3637" t="s">
        <v>424</v>
      </c>
      <c r="D3637" t="s">
        <v>509</v>
      </c>
      <c r="E3637" t="s">
        <v>535</v>
      </c>
      <c r="F3637" t="s">
        <v>425</v>
      </c>
      <c r="G3637" t="s">
        <v>427</v>
      </c>
      <c r="H3637" t="s">
        <v>421</v>
      </c>
      <c r="I3637" t="s">
        <v>425</v>
      </c>
      <c r="J3637" t="s">
        <v>423</v>
      </c>
      <c r="L3637" t="s">
        <v>421</v>
      </c>
      <c r="M3637" t="s">
        <v>428</v>
      </c>
      <c r="N3637" t="s">
        <v>423</v>
      </c>
    </row>
    <row r="3638" spans="1:14" ht="15" customHeight="1" x14ac:dyDescent="0.25">
      <c r="A3638" s="82">
        <v>45913</v>
      </c>
      <c r="B3638" t="s">
        <v>428</v>
      </c>
      <c r="C3638" t="s">
        <v>421</v>
      </c>
      <c r="D3638" t="s">
        <v>509</v>
      </c>
      <c r="E3638" t="s">
        <v>429</v>
      </c>
      <c r="F3638" t="s">
        <v>425</v>
      </c>
      <c r="G3638" t="s">
        <v>455</v>
      </c>
      <c r="H3638" t="s">
        <v>424</v>
      </c>
      <c r="I3638" t="s">
        <v>536</v>
      </c>
      <c r="J3638" t="s">
        <v>427</v>
      </c>
      <c r="L3638" t="s">
        <v>421</v>
      </c>
      <c r="M3638" t="s">
        <v>428</v>
      </c>
      <c r="N3638" t="s">
        <v>423</v>
      </c>
    </row>
    <row r="3639" spans="1:14" ht="15" customHeight="1" x14ac:dyDescent="0.25">
      <c r="A3639" s="82">
        <v>45914</v>
      </c>
      <c r="B3639" t="s">
        <v>428</v>
      </c>
      <c r="C3639" t="s">
        <v>421</v>
      </c>
      <c r="D3639" t="s">
        <v>509</v>
      </c>
      <c r="E3639" t="s">
        <v>429</v>
      </c>
      <c r="F3639" t="s">
        <v>425</v>
      </c>
      <c r="G3639" t="s">
        <v>427</v>
      </c>
      <c r="H3639" t="s">
        <v>424</v>
      </c>
      <c r="I3639" t="s">
        <v>536</v>
      </c>
      <c r="J3639" t="s">
        <v>455</v>
      </c>
      <c r="L3639" t="s">
        <v>421</v>
      </c>
      <c r="M3639" t="s">
        <v>428</v>
      </c>
      <c r="N3639" t="s">
        <v>423</v>
      </c>
    </row>
    <row r="3640" spans="1:14" ht="15" customHeight="1" x14ac:dyDescent="0.25">
      <c r="A3640" s="82">
        <v>45915</v>
      </c>
      <c r="B3640" t="s">
        <v>428</v>
      </c>
      <c r="C3640" t="s">
        <v>427</v>
      </c>
      <c r="D3640" t="s">
        <v>509</v>
      </c>
      <c r="E3640" t="s">
        <v>535</v>
      </c>
      <c r="F3640" t="s">
        <v>425</v>
      </c>
      <c r="G3640" t="s">
        <v>455</v>
      </c>
      <c r="H3640" t="s">
        <v>424</v>
      </c>
      <c r="I3640" t="s">
        <v>536</v>
      </c>
      <c r="J3640" t="s">
        <v>421</v>
      </c>
      <c r="L3640" t="s">
        <v>421</v>
      </c>
      <c r="M3640" t="s">
        <v>428</v>
      </c>
      <c r="N3640" t="s">
        <v>423</v>
      </c>
    </row>
    <row r="3641" spans="1:14" ht="15" customHeight="1" x14ac:dyDescent="0.25">
      <c r="A3641" s="82">
        <v>45916</v>
      </c>
      <c r="B3641" t="s">
        <v>428</v>
      </c>
      <c r="C3641" t="s">
        <v>455</v>
      </c>
      <c r="D3641" t="s">
        <v>537</v>
      </c>
      <c r="E3641" t="s">
        <v>429</v>
      </c>
      <c r="F3641" t="s">
        <v>425</v>
      </c>
      <c r="G3641" t="s">
        <v>421</v>
      </c>
      <c r="H3641" t="s">
        <v>509</v>
      </c>
      <c r="I3641" t="s">
        <v>536</v>
      </c>
      <c r="J3641" t="s">
        <v>427</v>
      </c>
      <c r="L3641" t="s">
        <v>421</v>
      </c>
      <c r="M3641" t="s">
        <v>428</v>
      </c>
      <c r="N3641" t="s">
        <v>423</v>
      </c>
    </row>
    <row r="3642" spans="1:14" ht="15" customHeight="1" x14ac:dyDescent="0.25">
      <c r="A3642" s="82">
        <v>45917</v>
      </c>
      <c r="B3642" t="s">
        <v>428</v>
      </c>
      <c r="C3642" t="s">
        <v>427</v>
      </c>
      <c r="D3642" t="s">
        <v>537</v>
      </c>
      <c r="E3642" t="s">
        <v>429</v>
      </c>
      <c r="F3642" t="s">
        <v>425</v>
      </c>
      <c r="G3642" t="s">
        <v>421</v>
      </c>
      <c r="H3642" t="s">
        <v>509</v>
      </c>
      <c r="I3642" t="s">
        <v>536</v>
      </c>
      <c r="J3642" t="s">
        <v>455</v>
      </c>
      <c r="L3642" t="s">
        <v>421</v>
      </c>
      <c r="M3642" t="s">
        <v>424</v>
      </c>
      <c r="N3642" t="s">
        <v>423</v>
      </c>
    </row>
    <row r="3643" spans="1:14" ht="15" customHeight="1" x14ac:dyDescent="0.25">
      <c r="A3643" s="82">
        <v>45918</v>
      </c>
      <c r="B3643" t="s">
        <v>428</v>
      </c>
      <c r="C3643" t="s">
        <v>455</v>
      </c>
      <c r="D3643" t="s">
        <v>424</v>
      </c>
      <c r="E3643" t="s">
        <v>514</v>
      </c>
      <c r="F3643" t="s">
        <v>425</v>
      </c>
      <c r="G3643" t="s">
        <v>421</v>
      </c>
      <c r="H3643" t="s">
        <v>509</v>
      </c>
      <c r="I3643" t="s">
        <v>536</v>
      </c>
      <c r="J3643" t="s">
        <v>427</v>
      </c>
      <c r="L3643" t="s">
        <v>421</v>
      </c>
      <c r="M3643" t="s">
        <v>424</v>
      </c>
      <c r="N3643" t="s">
        <v>423</v>
      </c>
    </row>
    <row r="3644" spans="1:14" ht="15" customHeight="1" x14ac:dyDescent="0.25">
      <c r="A3644" s="82">
        <v>45919</v>
      </c>
      <c r="B3644" t="s">
        <v>425</v>
      </c>
      <c r="C3644" t="s">
        <v>429</v>
      </c>
      <c r="D3644" t="s">
        <v>427</v>
      </c>
      <c r="E3644" t="s">
        <v>509</v>
      </c>
      <c r="F3644" t="s">
        <v>425</v>
      </c>
      <c r="G3644" t="s">
        <v>421</v>
      </c>
      <c r="H3644" t="s">
        <v>424</v>
      </c>
      <c r="I3644" t="s">
        <v>536</v>
      </c>
      <c r="J3644" t="s">
        <v>455</v>
      </c>
      <c r="L3644" t="s">
        <v>423</v>
      </c>
      <c r="M3644" t="s">
        <v>421</v>
      </c>
      <c r="N3644" t="s">
        <v>424</v>
      </c>
    </row>
    <row r="3645" spans="1:14" ht="15" customHeight="1" x14ac:dyDescent="0.25">
      <c r="A3645" s="82">
        <v>45920</v>
      </c>
      <c r="B3645" t="s">
        <v>425</v>
      </c>
      <c r="C3645" t="s">
        <v>429</v>
      </c>
      <c r="D3645" t="s">
        <v>455</v>
      </c>
      <c r="E3645" t="s">
        <v>509</v>
      </c>
      <c r="F3645" t="s">
        <v>421</v>
      </c>
      <c r="G3645" t="s">
        <v>427</v>
      </c>
      <c r="H3645" t="s">
        <v>424</v>
      </c>
      <c r="I3645" t="s">
        <v>536</v>
      </c>
      <c r="J3645" t="s">
        <v>428</v>
      </c>
      <c r="L3645" t="s">
        <v>423</v>
      </c>
      <c r="M3645" t="s">
        <v>421</v>
      </c>
      <c r="N3645" t="s">
        <v>424</v>
      </c>
    </row>
    <row r="3646" spans="1:14" ht="15" customHeight="1" x14ac:dyDescent="0.25">
      <c r="A3646" s="82">
        <v>45921</v>
      </c>
      <c r="B3646" t="s">
        <v>425</v>
      </c>
      <c r="C3646" t="s">
        <v>429</v>
      </c>
      <c r="D3646" t="s">
        <v>427</v>
      </c>
      <c r="E3646" t="s">
        <v>509</v>
      </c>
      <c r="F3646" t="s">
        <v>421</v>
      </c>
      <c r="G3646" t="s">
        <v>455</v>
      </c>
      <c r="H3646" t="s">
        <v>424</v>
      </c>
      <c r="I3646" t="s">
        <v>536</v>
      </c>
      <c r="J3646" t="s">
        <v>428</v>
      </c>
      <c r="L3646" t="s">
        <v>423</v>
      </c>
      <c r="M3646" t="s">
        <v>421</v>
      </c>
      <c r="N3646" t="s">
        <v>424</v>
      </c>
    </row>
    <row r="3647" spans="1:14" ht="15" customHeight="1" x14ac:dyDescent="0.25">
      <c r="A3647" s="82">
        <v>45922</v>
      </c>
      <c r="B3647" t="s">
        <v>425</v>
      </c>
      <c r="C3647" t="s">
        <v>429</v>
      </c>
      <c r="D3647" t="s">
        <v>455</v>
      </c>
      <c r="E3647" t="s">
        <v>509</v>
      </c>
      <c r="F3647" t="s">
        <v>427</v>
      </c>
      <c r="G3647" t="s">
        <v>421</v>
      </c>
      <c r="H3647" t="s">
        <v>424</v>
      </c>
      <c r="I3647" t="s">
        <v>536</v>
      </c>
      <c r="J3647" t="s">
        <v>428</v>
      </c>
      <c r="L3647" t="s">
        <v>423</v>
      </c>
      <c r="M3647" t="s">
        <v>421</v>
      </c>
      <c r="N3647" t="s">
        <v>424</v>
      </c>
    </row>
    <row r="3648" spans="1:14" ht="15" customHeight="1" x14ac:dyDescent="0.25">
      <c r="A3648" s="82">
        <v>45923</v>
      </c>
      <c r="B3648" t="s">
        <v>425</v>
      </c>
      <c r="C3648" t="s">
        <v>429</v>
      </c>
      <c r="D3648" t="s">
        <v>538</v>
      </c>
      <c r="E3648" t="s">
        <v>509</v>
      </c>
      <c r="F3648" t="s">
        <v>455</v>
      </c>
      <c r="G3648" t="s">
        <v>427</v>
      </c>
      <c r="H3648" t="s">
        <v>424</v>
      </c>
      <c r="I3648" t="s">
        <v>536</v>
      </c>
      <c r="J3648" t="s">
        <v>428</v>
      </c>
      <c r="L3648" t="s">
        <v>423</v>
      </c>
      <c r="M3648" t="s">
        <v>421</v>
      </c>
      <c r="N3648" t="s">
        <v>424</v>
      </c>
    </row>
    <row r="3649" spans="1:14" ht="15" customHeight="1" x14ac:dyDescent="0.25">
      <c r="A3649" s="82">
        <v>45924</v>
      </c>
      <c r="B3649" t="s">
        <v>425</v>
      </c>
      <c r="C3649" t="s">
        <v>429</v>
      </c>
      <c r="D3649" t="s">
        <v>538</v>
      </c>
      <c r="E3649" t="s">
        <v>509</v>
      </c>
      <c r="F3649" t="s">
        <v>427</v>
      </c>
      <c r="G3649" t="s">
        <v>455</v>
      </c>
      <c r="H3649" t="s">
        <v>424</v>
      </c>
      <c r="I3649" t="s">
        <v>536</v>
      </c>
      <c r="J3649" t="s">
        <v>428</v>
      </c>
      <c r="L3649" t="s">
        <v>423</v>
      </c>
      <c r="M3649" t="s">
        <v>421</v>
      </c>
      <c r="N3649" t="s">
        <v>424</v>
      </c>
    </row>
    <row r="3650" spans="1:14" ht="15" customHeight="1" x14ac:dyDescent="0.25">
      <c r="A3650" s="82">
        <v>45925</v>
      </c>
      <c r="B3650" t="s">
        <v>425</v>
      </c>
      <c r="C3650" t="s">
        <v>429</v>
      </c>
      <c r="D3650" t="s">
        <v>517</v>
      </c>
      <c r="E3650" t="s">
        <v>509</v>
      </c>
      <c r="F3650" t="s">
        <v>455</v>
      </c>
      <c r="G3650" t="s">
        <v>427</v>
      </c>
      <c r="H3650" t="s">
        <v>424</v>
      </c>
      <c r="I3650" t="s">
        <v>536</v>
      </c>
      <c r="J3650" t="s">
        <v>428</v>
      </c>
      <c r="L3650" t="s">
        <v>423</v>
      </c>
      <c r="M3650" t="s">
        <v>421</v>
      </c>
      <c r="N3650" t="s">
        <v>424</v>
      </c>
    </row>
    <row r="3651" spans="1:14" ht="15" customHeight="1" x14ac:dyDescent="0.25">
      <c r="A3651" s="82">
        <v>45926</v>
      </c>
      <c r="B3651" t="s">
        <v>425</v>
      </c>
      <c r="C3651" t="s">
        <v>421</v>
      </c>
      <c r="D3651" t="s">
        <v>509</v>
      </c>
      <c r="E3651" t="s">
        <v>428</v>
      </c>
      <c r="F3651" t="s">
        <v>429</v>
      </c>
      <c r="G3651" t="s">
        <v>455</v>
      </c>
      <c r="H3651" t="s">
        <v>427</v>
      </c>
      <c r="I3651" t="s">
        <v>536</v>
      </c>
      <c r="J3651" t="s">
        <v>425</v>
      </c>
      <c r="L3651" t="s">
        <v>424</v>
      </c>
      <c r="M3651" t="s">
        <v>423</v>
      </c>
      <c r="N3651" t="s">
        <v>421</v>
      </c>
    </row>
    <row r="3652" spans="1:14" ht="15" customHeight="1" x14ac:dyDescent="0.25">
      <c r="A3652" s="82">
        <v>45927</v>
      </c>
      <c r="B3652" t="s">
        <v>421</v>
      </c>
      <c r="C3652" t="s">
        <v>427</v>
      </c>
      <c r="D3652" t="s">
        <v>509</v>
      </c>
      <c r="E3652" t="s">
        <v>428</v>
      </c>
      <c r="F3652" t="s">
        <v>429</v>
      </c>
      <c r="G3652" t="s">
        <v>424</v>
      </c>
      <c r="H3652" t="s">
        <v>455</v>
      </c>
      <c r="I3652" t="s">
        <v>536</v>
      </c>
      <c r="J3652" t="s">
        <v>425</v>
      </c>
      <c r="L3652" t="s">
        <v>424</v>
      </c>
      <c r="M3652" t="s">
        <v>423</v>
      </c>
      <c r="N3652" t="s">
        <v>421</v>
      </c>
    </row>
    <row r="3653" spans="1:14" ht="15" customHeight="1" x14ac:dyDescent="0.25">
      <c r="A3653" s="82">
        <v>45928</v>
      </c>
      <c r="B3653" t="s">
        <v>421</v>
      </c>
      <c r="C3653" t="s">
        <v>455</v>
      </c>
      <c r="D3653" t="s">
        <v>509</v>
      </c>
      <c r="E3653" t="s">
        <v>428</v>
      </c>
      <c r="F3653" t="s">
        <v>429</v>
      </c>
      <c r="G3653" t="s">
        <v>424</v>
      </c>
      <c r="H3653" t="s">
        <v>427</v>
      </c>
      <c r="I3653" t="s">
        <v>536</v>
      </c>
      <c r="J3653" t="s">
        <v>425</v>
      </c>
      <c r="L3653" t="s">
        <v>424</v>
      </c>
      <c r="M3653" t="s">
        <v>423</v>
      </c>
      <c r="N3653" t="s">
        <v>421</v>
      </c>
    </row>
    <row r="3654" spans="1:14" ht="15" customHeight="1" x14ac:dyDescent="0.25">
      <c r="A3654" s="82">
        <v>45929</v>
      </c>
      <c r="B3654" t="s">
        <v>427</v>
      </c>
      <c r="C3654" t="s">
        <v>421</v>
      </c>
      <c r="D3654" t="s">
        <v>509</v>
      </c>
      <c r="E3654" t="s">
        <v>428</v>
      </c>
      <c r="F3654" t="s">
        <v>429</v>
      </c>
      <c r="G3654" t="s">
        <v>424</v>
      </c>
      <c r="H3654" t="s">
        <v>455</v>
      </c>
      <c r="I3654" t="s">
        <v>536</v>
      </c>
      <c r="J3654" t="s">
        <v>425</v>
      </c>
      <c r="L3654" t="s">
        <v>424</v>
      </c>
      <c r="M3654" t="s">
        <v>423</v>
      </c>
      <c r="N3654" t="s">
        <v>421</v>
      </c>
    </row>
    <row r="3655" spans="1:14" ht="15" customHeight="1" x14ac:dyDescent="0.25">
      <c r="A3655" s="82">
        <v>45930</v>
      </c>
      <c r="B3655" t="s">
        <v>455</v>
      </c>
      <c r="C3655" t="s">
        <v>427</v>
      </c>
      <c r="D3655" t="s">
        <v>430</v>
      </c>
      <c r="E3655" t="s">
        <v>428</v>
      </c>
      <c r="F3655" t="s">
        <v>429</v>
      </c>
      <c r="G3655" t="s">
        <v>424</v>
      </c>
      <c r="H3655" t="s">
        <v>421</v>
      </c>
      <c r="I3655" t="s">
        <v>536</v>
      </c>
      <c r="J3655" t="s">
        <v>425</v>
      </c>
      <c r="L3655" t="s">
        <v>424</v>
      </c>
      <c r="M3655" t="s">
        <v>423</v>
      </c>
      <c r="N3655" t="s">
        <v>421</v>
      </c>
    </row>
    <row r="3656" spans="1:14" ht="15" customHeight="1" x14ac:dyDescent="0.25">
      <c r="A3656" s="82">
        <v>45931</v>
      </c>
      <c r="B3656" t="s">
        <v>427</v>
      </c>
      <c r="C3656" t="s">
        <v>455</v>
      </c>
      <c r="D3656" t="s">
        <v>430</v>
      </c>
      <c r="E3656" t="s">
        <v>428</v>
      </c>
      <c r="F3656" t="s">
        <v>429</v>
      </c>
      <c r="G3656" t="s">
        <v>424</v>
      </c>
      <c r="H3656" t="s">
        <v>421</v>
      </c>
      <c r="I3656" t="s">
        <v>536</v>
      </c>
      <c r="J3656" t="s">
        <v>425</v>
      </c>
      <c r="L3656" t="s">
        <v>424</v>
      </c>
      <c r="M3656" t="s">
        <v>423</v>
      </c>
      <c r="N3656" t="s">
        <v>421</v>
      </c>
    </row>
    <row r="3657" spans="1:14" ht="15" customHeight="1" x14ac:dyDescent="0.25">
      <c r="A3657" s="82">
        <v>45932</v>
      </c>
      <c r="B3657" t="s">
        <v>455</v>
      </c>
      <c r="C3657" t="s">
        <v>427</v>
      </c>
      <c r="D3657" t="s">
        <v>430</v>
      </c>
      <c r="E3657" t="s">
        <v>428</v>
      </c>
      <c r="F3657" t="s">
        <v>429</v>
      </c>
      <c r="G3657" t="s">
        <v>424</v>
      </c>
      <c r="H3657" t="s">
        <v>421</v>
      </c>
      <c r="I3657" t="s">
        <v>536</v>
      </c>
      <c r="J3657" t="s">
        <v>425</v>
      </c>
      <c r="L3657" t="s">
        <v>424</v>
      </c>
      <c r="M3657" t="s">
        <v>423</v>
      </c>
      <c r="N3657" t="s">
        <v>421</v>
      </c>
    </row>
    <row r="3658" spans="1:14" ht="15" customHeight="1" x14ac:dyDescent="0.25">
      <c r="A3658" s="82">
        <v>45933</v>
      </c>
      <c r="B3658" t="s">
        <v>429</v>
      </c>
      <c r="C3658" t="s">
        <v>455</v>
      </c>
      <c r="D3658" t="s">
        <v>428</v>
      </c>
      <c r="E3658" t="s">
        <v>425</v>
      </c>
      <c r="F3658" t="s">
        <v>421</v>
      </c>
      <c r="G3658" t="s">
        <v>427</v>
      </c>
      <c r="H3658" t="s">
        <v>430</v>
      </c>
      <c r="I3658" t="s">
        <v>536</v>
      </c>
      <c r="J3658" t="s">
        <v>425</v>
      </c>
      <c r="L3658" t="s">
        <v>421</v>
      </c>
      <c r="M3658" t="s">
        <v>424</v>
      </c>
      <c r="N3658" t="s">
        <v>423</v>
      </c>
    </row>
    <row r="3659" spans="1:14" ht="15" customHeight="1" x14ac:dyDescent="0.25">
      <c r="A3659" s="82">
        <v>45934</v>
      </c>
      <c r="B3659" t="s">
        <v>429</v>
      </c>
      <c r="C3659" t="s">
        <v>424</v>
      </c>
      <c r="D3659" t="s">
        <v>428</v>
      </c>
      <c r="E3659" t="s">
        <v>425</v>
      </c>
      <c r="F3659" t="s">
        <v>427</v>
      </c>
      <c r="G3659" t="s">
        <v>455</v>
      </c>
      <c r="H3659" t="s">
        <v>430</v>
      </c>
      <c r="I3659" t="s">
        <v>536</v>
      </c>
      <c r="J3659" t="s">
        <v>421</v>
      </c>
      <c r="L3659" t="s">
        <v>421</v>
      </c>
      <c r="M3659" t="s">
        <v>424</v>
      </c>
      <c r="N3659" t="s">
        <v>423</v>
      </c>
    </row>
    <row r="3660" spans="1:14" ht="15" customHeight="1" x14ac:dyDescent="0.25">
      <c r="A3660" s="82">
        <v>45935</v>
      </c>
      <c r="B3660" t="s">
        <v>429</v>
      </c>
      <c r="C3660" t="s">
        <v>424</v>
      </c>
      <c r="D3660" t="s">
        <v>428</v>
      </c>
      <c r="E3660" t="s">
        <v>425</v>
      </c>
      <c r="F3660" t="s">
        <v>455</v>
      </c>
      <c r="G3660" t="s">
        <v>427</v>
      </c>
      <c r="H3660" t="s">
        <v>430</v>
      </c>
      <c r="I3660" t="s">
        <v>536</v>
      </c>
      <c r="J3660" t="s">
        <v>421</v>
      </c>
      <c r="L3660" t="s">
        <v>421</v>
      </c>
      <c r="M3660" t="s">
        <v>424</v>
      </c>
      <c r="N3660" t="s">
        <v>423</v>
      </c>
    </row>
    <row r="3661" spans="1:14" ht="15" customHeight="1" x14ac:dyDescent="0.25">
      <c r="A3661" s="82">
        <v>45936</v>
      </c>
      <c r="B3661" t="s">
        <v>429</v>
      </c>
      <c r="C3661" t="s">
        <v>424</v>
      </c>
      <c r="D3661" t="s">
        <v>428</v>
      </c>
      <c r="E3661" t="s">
        <v>425</v>
      </c>
      <c r="F3661" t="s">
        <v>421</v>
      </c>
      <c r="G3661" t="s">
        <v>455</v>
      </c>
      <c r="H3661" t="s">
        <v>430</v>
      </c>
      <c r="I3661" t="s">
        <v>536</v>
      </c>
      <c r="J3661" t="s">
        <v>427</v>
      </c>
      <c r="L3661" t="s">
        <v>421</v>
      </c>
      <c r="M3661" t="s">
        <v>424</v>
      </c>
      <c r="N3661" t="s">
        <v>423</v>
      </c>
    </row>
    <row r="3662" spans="1:14" ht="15" customHeight="1" x14ac:dyDescent="0.25">
      <c r="A3662" s="82">
        <v>45937</v>
      </c>
      <c r="B3662" t="s">
        <v>429</v>
      </c>
      <c r="C3662" t="s">
        <v>424</v>
      </c>
      <c r="D3662" t="s">
        <v>428</v>
      </c>
      <c r="E3662" t="s">
        <v>425</v>
      </c>
      <c r="F3662" t="s">
        <v>427</v>
      </c>
      <c r="G3662" t="s">
        <v>421</v>
      </c>
      <c r="H3662" t="s">
        <v>430</v>
      </c>
      <c r="I3662" t="s">
        <v>536</v>
      </c>
      <c r="J3662" t="s">
        <v>455</v>
      </c>
      <c r="L3662" t="s">
        <v>421</v>
      </c>
      <c r="M3662" t="s">
        <v>424</v>
      </c>
      <c r="N3662" t="s">
        <v>423</v>
      </c>
    </row>
    <row r="3663" spans="1:14" ht="15" customHeight="1" x14ac:dyDescent="0.25">
      <c r="A3663" s="82">
        <v>45938</v>
      </c>
      <c r="B3663" t="s">
        <v>429</v>
      </c>
      <c r="C3663" t="s">
        <v>424</v>
      </c>
      <c r="D3663" t="s">
        <v>428</v>
      </c>
      <c r="E3663" t="s">
        <v>425</v>
      </c>
      <c r="F3663" t="s">
        <v>455</v>
      </c>
      <c r="G3663" t="s">
        <v>421</v>
      </c>
      <c r="H3663" t="s">
        <v>430</v>
      </c>
      <c r="I3663" t="s">
        <v>536</v>
      </c>
      <c r="J3663" t="s">
        <v>427</v>
      </c>
      <c r="L3663" t="s">
        <v>421</v>
      </c>
      <c r="M3663" t="s">
        <v>424</v>
      </c>
      <c r="N3663" t="s">
        <v>423</v>
      </c>
    </row>
    <row r="3664" spans="1:14" ht="15" customHeight="1" x14ac:dyDescent="0.25">
      <c r="A3664" s="82">
        <v>45939</v>
      </c>
      <c r="B3664" t="s">
        <v>429</v>
      </c>
      <c r="C3664" t="s">
        <v>424</v>
      </c>
      <c r="D3664" t="s">
        <v>428</v>
      </c>
      <c r="E3664" t="s">
        <v>425</v>
      </c>
      <c r="F3664" t="s">
        <v>427</v>
      </c>
      <c r="G3664" t="s">
        <v>421</v>
      </c>
      <c r="H3664" t="s">
        <v>430</v>
      </c>
      <c r="I3664" t="s">
        <v>536</v>
      </c>
      <c r="J3664" t="s">
        <v>455</v>
      </c>
      <c r="L3664" t="s">
        <v>421</v>
      </c>
      <c r="M3664" t="s">
        <v>424</v>
      </c>
      <c r="N3664" t="s">
        <v>423</v>
      </c>
    </row>
    <row r="3665" spans="1:14" ht="15" customHeight="1" x14ac:dyDescent="0.25">
      <c r="A3665" s="82">
        <v>45940</v>
      </c>
      <c r="B3665" t="s">
        <v>421</v>
      </c>
      <c r="C3665" t="s">
        <v>427</v>
      </c>
      <c r="D3665" t="s">
        <v>425</v>
      </c>
      <c r="E3665" t="s">
        <v>425</v>
      </c>
      <c r="F3665" t="s">
        <v>455</v>
      </c>
      <c r="G3665" t="s">
        <v>430</v>
      </c>
      <c r="H3665" t="s">
        <v>428</v>
      </c>
      <c r="I3665" t="s">
        <v>536</v>
      </c>
      <c r="J3665" t="s">
        <v>429</v>
      </c>
      <c r="L3665" t="s">
        <v>423</v>
      </c>
      <c r="M3665" t="s">
        <v>421</v>
      </c>
      <c r="N3665" t="s">
        <v>428</v>
      </c>
    </row>
    <row r="3666" spans="1:14" ht="15" customHeight="1" x14ac:dyDescent="0.25">
      <c r="A3666" s="82">
        <v>45941</v>
      </c>
      <c r="B3666" t="s">
        <v>427</v>
      </c>
      <c r="C3666" t="s">
        <v>455</v>
      </c>
      <c r="D3666" t="s">
        <v>425</v>
      </c>
      <c r="E3666" t="s">
        <v>421</v>
      </c>
      <c r="F3666" t="s">
        <v>424</v>
      </c>
      <c r="G3666" t="s">
        <v>430</v>
      </c>
      <c r="H3666" t="s">
        <v>428</v>
      </c>
      <c r="I3666" t="s">
        <v>536</v>
      </c>
      <c r="J3666" t="s">
        <v>429</v>
      </c>
      <c r="L3666" t="s">
        <v>423</v>
      </c>
      <c r="M3666" t="s">
        <v>421</v>
      </c>
      <c r="N3666" t="s">
        <v>428</v>
      </c>
    </row>
    <row r="3667" spans="1:14" ht="15" customHeight="1" x14ac:dyDescent="0.25">
      <c r="A3667" s="82">
        <v>45942</v>
      </c>
      <c r="B3667" t="s">
        <v>455</v>
      </c>
      <c r="C3667" t="s">
        <v>427</v>
      </c>
      <c r="D3667" t="s">
        <v>425</v>
      </c>
      <c r="E3667" t="s">
        <v>421</v>
      </c>
      <c r="F3667" t="s">
        <v>424</v>
      </c>
      <c r="G3667" t="s">
        <v>430</v>
      </c>
      <c r="H3667" t="s">
        <v>428</v>
      </c>
      <c r="I3667" t="s">
        <v>536</v>
      </c>
      <c r="J3667" t="s">
        <v>429</v>
      </c>
      <c r="L3667" t="s">
        <v>423</v>
      </c>
      <c r="M3667" t="s">
        <v>421</v>
      </c>
      <c r="N3667" t="s">
        <v>428</v>
      </c>
    </row>
    <row r="3668" spans="1:14" ht="15" customHeight="1" x14ac:dyDescent="0.25">
      <c r="A3668" s="82">
        <v>45943</v>
      </c>
      <c r="B3668" t="s">
        <v>421</v>
      </c>
      <c r="C3668" t="s">
        <v>455</v>
      </c>
      <c r="D3668" t="s">
        <v>425</v>
      </c>
      <c r="E3668" t="s">
        <v>427</v>
      </c>
      <c r="F3668" t="s">
        <v>424</v>
      </c>
      <c r="G3668" t="s">
        <v>430</v>
      </c>
      <c r="H3668" t="s">
        <v>428</v>
      </c>
      <c r="I3668" t="s">
        <v>536</v>
      </c>
      <c r="J3668" t="s">
        <v>429</v>
      </c>
      <c r="L3668" t="s">
        <v>423</v>
      </c>
      <c r="M3668" t="s">
        <v>421</v>
      </c>
      <c r="N3668" t="s">
        <v>428</v>
      </c>
    </row>
    <row r="3669" spans="1:14" ht="15" customHeight="1" x14ac:dyDescent="0.25">
      <c r="A3669" s="82">
        <v>45944</v>
      </c>
      <c r="B3669" t="s">
        <v>427</v>
      </c>
      <c r="C3669" t="s">
        <v>421</v>
      </c>
      <c r="D3669" t="s">
        <v>425</v>
      </c>
      <c r="E3669" t="s">
        <v>455</v>
      </c>
      <c r="F3669" t="s">
        <v>424</v>
      </c>
      <c r="G3669" t="s">
        <v>430</v>
      </c>
      <c r="H3669" t="s">
        <v>428</v>
      </c>
      <c r="I3669" t="s">
        <v>536</v>
      </c>
      <c r="J3669" t="s">
        <v>429</v>
      </c>
      <c r="L3669" t="s">
        <v>423</v>
      </c>
      <c r="M3669" t="s">
        <v>421</v>
      </c>
      <c r="N3669" t="s">
        <v>428</v>
      </c>
    </row>
    <row r="3670" spans="1:14" ht="15" customHeight="1" x14ac:dyDescent="0.25">
      <c r="A3670" s="82">
        <v>45945</v>
      </c>
      <c r="B3670" t="s">
        <v>455</v>
      </c>
      <c r="C3670" t="s">
        <v>421</v>
      </c>
      <c r="D3670" t="s">
        <v>425</v>
      </c>
      <c r="E3670" t="s">
        <v>427</v>
      </c>
      <c r="F3670" t="s">
        <v>424</v>
      </c>
      <c r="G3670" t="s">
        <v>430</v>
      </c>
      <c r="H3670" t="s">
        <v>428</v>
      </c>
      <c r="I3670" t="s">
        <v>536</v>
      </c>
      <c r="J3670" t="s">
        <v>429</v>
      </c>
      <c r="L3670" t="s">
        <v>423</v>
      </c>
      <c r="M3670" t="s">
        <v>421</v>
      </c>
      <c r="N3670" t="s">
        <v>424</v>
      </c>
    </row>
    <row r="3671" spans="1:14" ht="15" customHeight="1" x14ac:dyDescent="0.25">
      <c r="A3671" s="82">
        <v>45946</v>
      </c>
      <c r="B3671" t="s">
        <v>427</v>
      </c>
      <c r="C3671" t="s">
        <v>421</v>
      </c>
      <c r="D3671" t="s">
        <v>425</v>
      </c>
      <c r="E3671" t="s">
        <v>455</v>
      </c>
      <c r="F3671" t="s">
        <v>424</v>
      </c>
      <c r="G3671" t="s">
        <v>430</v>
      </c>
      <c r="H3671" t="s">
        <v>428</v>
      </c>
      <c r="I3671" t="s">
        <v>536</v>
      </c>
      <c r="J3671" t="s">
        <v>429</v>
      </c>
      <c r="L3671" t="s">
        <v>423</v>
      </c>
      <c r="M3671" t="s">
        <v>421</v>
      </c>
      <c r="N3671" t="s">
        <v>424</v>
      </c>
    </row>
    <row r="3672" spans="1:14" ht="15" customHeight="1" x14ac:dyDescent="0.25">
      <c r="A3672" s="82">
        <v>45947</v>
      </c>
      <c r="B3672" t="s">
        <v>455</v>
      </c>
      <c r="C3672" t="s">
        <v>430</v>
      </c>
      <c r="D3672" t="s">
        <v>425</v>
      </c>
      <c r="E3672" t="s">
        <v>429</v>
      </c>
      <c r="F3672" t="s">
        <v>427</v>
      </c>
      <c r="G3672" t="s">
        <v>428</v>
      </c>
      <c r="H3672" t="s">
        <v>425</v>
      </c>
      <c r="I3672" t="s">
        <v>536</v>
      </c>
      <c r="J3672" t="s">
        <v>421</v>
      </c>
      <c r="L3672" t="s">
        <v>424</v>
      </c>
      <c r="M3672" t="s">
        <v>423</v>
      </c>
      <c r="N3672" t="s">
        <v>421</v>
      </c>
    </row>
    <row r="3673" spans="1:14" ht="15" customHeight="1" x14ac:dyDescent="0.25">
      <c r="A3673" s="82">
        <v>45948</v>
      </c>
      <c r="B3673" t="s">
        <v>424</v>
      </c>
      <c r="C3673" t="s">
        <v>430</v>
      </c>
      <c r="D3673" t="s">
        <v>421</v>
      </c>
      <c r="E3673" t="s">
        <v>429</v>
      </c>
      <c r="F3673" t="s">
        <v>455</v>
      </c>
      <c r="G3673" t="s">
        <v>428</v>
      </c>
      <c r="H3673" t="s">
        <v>425</v>
      </c>
      <c r="I3673" t="s">
        <v>536</v>
      </c>
      <c r="J3673" t="s">
        <v>427</v>
      </c>
      <c r="L3673" t="s">
        <v>424</v>
      </c>
      <c r="M3673" t="s">
        <v>423</v>
      </c>
      <c r="N3673" t="s">
        <v>421</v>
      </c>
    </row>
    <row r="3674" spans="1:14" ht="15" customHeight="1" x14ac:dyDescent="0.25">
      <c r="A3674" s="82">
        <v>45949</v>
      </c>
      <c r="B3674" t="s">
        <v>424</v>
      </c>
      <c r="C3674" t="s">
        <v>430</v>
      </c>
      <c r="D3674" t="s">
        <v>421</v>
      </c>
      <c r="E3674" t="s">
        <v>429</v>
      </c>
      <c r="F3674" t="s">
        <v>427</v>
      </c>
      <c r="G3674" t="s">
        <v>428</v>
      </c>
      <c r="H3674" t="s">
        <v>425</v>
      </c>
      <c r="I3674" t="s">
        <v>536</v>
      </c>
      <c r="J3674" t="s">
        <v>455</v>
      </c>
      <c r="L3674" t="s">
        <v>424</v>
      </c>
      <c r="M3674" t="s">
        <v>423</v>
      </c>
      <c r="N3674" t="s">
        <v>421</v>
      </c>
    </row>
    <row r="3675" spans="1:14" ht="15" customHeight="1" x14ac:dyDescent="0.25">
      <c r="A3675" s="82">
        <v>45950</v>
      </c>
      <c r="B3675" t="s">
        <v>424</v>
      </c>
      <c r="C3675" t="s">
        <v>430</v>
      </c>
      <c r="D3675" t="s">
        <v>427</v>
      </c>
      <c r="E3675" t="s">
        <v>429</v>
      </c>
      <c r="F3675" t="s">
        <v>455</v>
      </c>
      <c r="G3675" t="s">
        <v>428</v>
      </c>
      <c r="H3675" t="s">
        <v>425</v>
      </c>
      <c r="I3675" t="s">
        <v>536</v>
      </c>
      <c r="J3675" t="s">
        <v>421</v>
      </c>
      <c r="L3675" t="s">
        <v>424</v>
      </c>
      <c r="M3675" t="s">
        <v>423</v>
      </c>
      <c r="N3675" t="s">
        <v>421</v>
      </c>
    </row>
    <row r="3676" spans="1:14" ht="15" customHeight="1" x14ac:dyDescent="0.25">
      <c r="A3676" s="82">
        <v>45951</v>
      </c>
      <c r="B3676" t="s">
        <v>424</v>
      </c>
      <c r="C3676" t="s">
        <v>430</v>
      </c>
      <c r="D3676" t="s">
        <v>455</v>
      </c>
      <c r="E3676" t="s">
        <v>429</v>
      </c>
      <c r="F3676" t="s">
        <v>421</v>
      </c>
      <c r="G3676" t="s">
        <v>428</v>
      </c>
      <c r="H3676" t="s">
        <v>425</v>
      </c>
      <c r="I3676" t="s">
        <v>536</v>
      </c>
      <c r="J3676" t="s">
        <v>427</v>
      </c>
      <c r="L3676" t="s">
        <v>424</v>
      </c>
      <c r="M3676" t="s">
        <v>423</v>
      </c>
      <c r="N3676" t="s">
        <v>421</v>
      </c>
    </row>
    <row r="3677" spans="1:14" ht="15" customHeight="1" x14ac:dyDescent="0.25">
      <c r="A3677" s="82">
        <v>45952</v>
      </c>
      <c r="B3677" t="s">
        <v>424</v>
      </c>
      <c r="C3677" t="s">
        <v>539</v>
      </c>
      <c r="D3677" t="s">
        <v>427</v>
      </c>
      <c r="E3677" t="s">
        <v>429</v>
      </c>
      <c r="F3677" t="s">
        <v>421</v>
      </c>
      <c r="G3677" t="s">
        <v>428</v>
      </c>
      <c r="H3677" t="s">
        <v>425</v>
      </c>
      <c r="I3677" t="s">
        <v>536</v>
      </c>
      <c r="J3677" t="s">
        <v>455</v>
      </c>
      <c r="L3677" t="s">
        <v>424</v>
      </c>
      <c r="M3677" t="s">
        <v>423</v>
      </c>
      <c r="N3677" t="s">
        <v>421</v>
      </c>
    </row>
    <row r="3678" spans="1:14" ht="15" customHeight="1" x14ac:dyDescent="0.25">
      <c r="A3678" s="82">
        <v>45953</v>
      </c>
      <c r="B3678" t="s">
        <v>424</v>
      </c>
      <c r="C3678" t="s">
        <v>539</v>
      </c>
      <c r="D3678" t="s">
        <v>455</v>
      </c>
      <c r="E3678" t="s">
        <v>429</v>
      </c>
      <c r="F3678" t="s">
        <v>421</v>
      </c>
      <c r="G3678" t="s">
        <v>428</v>
      </c>
      <c r="H3678" t="s">
        <v>425</v>
      </c>
      <c r="I3678" t="s">
        <v>536</v>
      </c>
      <c r="J3678" t="s">
        <v>427</v>
      </c>
      <c r="L3678" t="s">
        <v>424</v>
      </c>
      <c r="M3678" t="s">
        <v>423</v>
      </c>
      <c r="N3678" t="s">
        <v>421</v>
      </c>
    </row>
    <row r="3679" spans="1:14" ht="15" customHeight="1" x14ac:dyDescent="0.25">
      <c r="A3679" s="82">
        <v>45954</v>
      </c>
      <c r="B3679" t="s">
        <v>427</v>
      </c>
      <c r="C3679" t="s">
        <v>428</v>
      </c>
      <c r="D3679" t="s">
        <v>429</v>
      </c>
      <c r="E3679" t="s">
        <v>421</v>
      </c>
      <c r="F3679" t="s">
        <v>430</v>
      </c>
      <c r="G3679" t="s">
        <v>425</v>
      </c>
      <c r="H3679" t="s">
        <v>425</v>
      </c>
      <c r="I3679" t="s">
        <v>536</v>
      </c>
      <c r="J3679" t="s">
        <v>455</v>
      </c>
      <c r="L3679" t="s">
        <v>421</v>
      </c>
      <c r="M3679" t="s">
        <v>424</v>
      </c>
      <c r="N3679" t="s">
        <v>423</v>
      </c>
    </row>
    <row r="3680" spans="1:14" ht="15" customHeight="1" x14ac:dyDescent="0.25">
      <c r="A3680" s="82">
        <v>45955</v>
      </c>
      <c r="B3680" t="s">
        <v>455</v>
      </c>
      <c r="C3680" t="s">
        <v>428</v>
      </c>
      <c r="D3680" t="s">
        <v>429</v>
      </c>
      <c r="E3680" t="s">
        <v>427</v>
      </c>
      <c r="F3680" t="s">
        <v>430</v>
      </c>
      <c r="G3680" t="s">
        <v>425</v>
      </c>
      <c r="H3680" t="s">
        <v>421</v>
      </c>
      <c r="I3680" t="s">
        <v>536</v>
      </c>
      <c r="J3680" t="s">
        <v>424</v>
      </c>
      <c r="L3680" t="s">
        <v>421</v>
      </c>
      <c r="M3680" t="s">
        <v>424</v>
      </c>
      <c r="N3680" t="s">
        <v>423</v>
      </c>
    </row>
    <row r="3681" spans="1:14" ht="15" customHeight="1" x14ac:dyDescent="0.25">
      <c r="A3681" s="82">
        <v>45956</v>
      </c>
      <c r="B3681" t="s">
        <v>427</v>
      </c>
      <c r="C3681" t="s">
        <v>428</v>
      </c>
      <c r="D3681" t="s">
        <v>429</v>
      </c>
      <c r="E3681" t="s">
        <v>455</v>
      </c>
      <c r="F3681" t="s">
        <v>430</v>
      </c>
      <c r="G3681" t="s">
        <v>425</v>
      </c>
      <c r="H3681" t="s">
        <v>421</v>
      </c>
      <c r="I3681" t="s">
        <v>536</v>
      </c>
      <c r="J3681" t="s">
        <v>424</v>
      </c>
      <c r="L3681" t="s">
        <v>421</v>
      </c>
      <c r="M3681" t="s">
        <v>424</v>
      </c>
      <c r="N3681" t="s">
        <v>423</v>
      </c>
    </row>
    <row r="3682" spans="1:14" ht="15" customHeight="1" x14ac:dyDescent="0.25">
      <c r="A3682" s="82">
        <v>45957</v>
      </c>
      <c r="B3682" t="s">
        <v>455</v>
      </c>
      <c r="C3682" t="s">
        <v>428</v>
      </c>
      <c r="D3682" t="s">
        <v>429</v>
      </c>
      <c r="E3682" t="s">
        <v>421</v>
      </c>
      <c r="F3682" t="s">
        <v>430</v>
      </c>
      <c r="G3682" t="s">
        <v>425</v>
      </c>
      <c r="H3682" t="s">
        <v>427</v>
      </c>
      <c r="I3682" t="s">
        <v>536</v>
      </c>
      <c r="J3682" t="s">
        <v>424</v>
      </c>
      <c r="L3682" t="s">
        <v>421</v>
      </c>
      <c r="M3682" t="s">
        <v>424</v>
      </c>
      <c r="N3682" t="s">
        <v>423</v>
      </c>
    </row>
    <row r="3683" spans="1:14" ht="15" customHeight="1" x14ac:dyDescent="0.25">
      <c r="A3683" s="82">
        <v>45958</v>
      </c>
      <c r="B3683" t="s">
        <v>421</v>
      </c>
      <c r="C3683" t="s">
        <v>428</v>
      </c>
      <c r="D3683" t="s">
        <v>429</v>
      </c>
      <c r="E3683" t="s">
        <v>427</v>
      </c>
      <c r="F3683" t="s">
        <v>430</v>
      </c>
      <c r="G3683" t="s">
        <v>425</v>
      </c>
      <c r="H3683" t="s">
        <v>455</v>
      </c>
      <c r="I3683" t="s">
        <v>536</v>
      </c>
      <c r="J3683" t="s">
        <v>424</v>
      </c>
      <c r="L3683" t="s">
        <v>421</v>
      </c>
      <c r="M3683" t="s">
        <v>424</v>
      </c>
      <c r="N3683" t="s">
        <v>423</v>
      </c>
    </row>
    <row r="3684" spans="1:14" ht="15" customHeight="1" x14ac:dyDescent="0.25">
      <c r="A3684" s="82">
        <v>45959</v>
      </c>
      <c r="B3684" t="s">
        <v>421</v>
      </c>
      <c r="C3684" t="s">
        <v>428</v>
      </c>
      <c r="D3684" t="s">
        <v>429</v>
      </c>
      <c r="E3684" t="s">
        <v>455</v>
      </c>
      <c r="F3684" t="s">
        <v>430</v>
      </c>
      <c r="G3684" t="s">
        <v>425</v>
      </c>
      <c r="H3684" t="s">
        <v>427</v>
      </c>
      <c r="I3684" t="s">
        <v>536</v>
      </c>
      <c r="J3684" t="s">
        <v>424</v>
      </c>
      <c r="L3684" t="s">
        <v>421</v>
      </c>
      <c r="M3684" t="s">
        <v>424</v>
      </c>
      <c r="N3684" t="s">
        <v>423</v>
      </c>
    </row>
    <row r="3685" spans="1:14" ht="15" customHeight="1" x14ac:dyDescent="0.25">
      <c r="A3685" s="82">
        <v>45960</v>
      </c>
      <c r="B3685" t="s">
        <v>421</v>
      </c>
      <c r="C3685" t="s">
        <v>428</v>
      </c>
      <c r="D3685" t="s">
        <v>429</v>
      </c>
      <c r="E3685" t="s">
        <v>427</v>
      </c>
      <c r="F3685" t="s">
        <v>430</v>
      </c>
      <c r="G3685" t="s">
        <v>425</v>
      </c>
      <c r="H3685" t="s">
        <v>455</v>
      </c>
      <c r="I3685" t="s">
        <v>536</v>
      </c>
      <c r="J3685" t="s">
        <v>424</v>
      </c>
      <c r="L3685" t="s">
        <v>421</v>
      </c>
      <c r="M3685" t="s">
        <v>424</v>
      </c>
      <c r="N3685" t="s">
        <v>423</v>
      </c>
    </row>
    <row r="3686" spans="1:14" ht="15" customHeight="1" x14ac:dyDescent="0.25">
      <c r="A3686" s="82">
        <v>45961</v>
      </c>
      <c r="B3686" t="s">
        <v>430</v>
      </c>
      <c r="C3686" t="s">
        <v>425</v>
      </c>
      <c r="D3686" t="s">
        <v>421</v>
      </c>
      <c r="E3686" t="s">
        <v>455</v>
      </c>
      <c r="F3686" t="s">
        <v>428</v>
      </c>
      <c r="G3686" t="s">
        <v>425</v>
      </c>
      <c r="H3686" t="s">
        <v>429</v>
      </c>
      <c r="I3686" t="s">
        <v>536</v>
      </c>
      <c r="J3686" t="s">
        <v>427</v>
      </c>
      <c r="L3686" t="s">
        <v>423</v>
      </c>
      <c r="M3686" t="s">
        <v>421</v>
      </c>
      <c r="N3686" t="s">
        <v>424</v>
      </c>
    </row>
    <row r="3687" spans="1:14" ht="15" customHeight="1" x14ac:dyDescent="0.25">
      <c r="A3687" s="82">
        <v>45962</v>
      </c>
      <c r="B3687" t="s">
        <v>430</v>
      </c>
      <c r="C3687" t="s">
        <v>425</v>
      </c>
      <c r="D3687" t="s">
        <v>427</v>
      </c>
      <c r="E3687" t="s">
        <v>424</v>
      </c>
      <c r="F3687" t="s">
        <v>428</v>
      </c>
      <c r="G3687" t="s">
        <v>421</v>
      </c>
      <c r="H3687" t="s">
        <v>429</v>
      </c>
      <c r="I3687" t="s">
        <v>536</v>
      </c>
      <c r="J3687" t="s">
        <v>455</v>
      </c>
      <c r="L3687" t="s">
        <v>423</v>
      </c>
      <c r="M3687" t="s">
        <v>421</v>
      </c>
      <c r="N3687" t="s">
        <v>424</v>
      </c>
    </row>
    <row r="3688" spans="1:14" ht="15" customHeight="1" x14ac:dyDescent="0.25">
      <c r="A3688" s="82">
        <v>45963</v>
      </c>
      <c r="B3688" t="s">
        <v>430</v>
      </c>
      <c r="C3688" t="s">
        <v>425</v>
      </c>
      <c r="D3688" t="s">
        <v>455</v>
      </c>
      <c r="E3688" t="s">
        <v>424</v>
      </c>
      <c r="F3688" t="s">
        <v>428</v>
      </c>
      <c r="G3688" t="s">
        <v>421</v>
      </c>
      <c r="H3688" t="s">
        <v>429</v>
      </c>
      <c r="I3688" t="s">
        <v>536</v>
      </c>
      <c r="J3688" t="s">
        <v>427</v>
      </c>
      <c r="L3688" t="s">
        <v>423</v>
      </c>
      <c r="M3688" t="s">
        <v>421</v>
      </c>
      <c r="N3688" t="s">
        <v>424</v>
      </c>
    </row>
    <row r="3689" spans="1:14" ht="15" customHeight="1" x14ac:dyDescent="0.25">
      <c r="A3689" s="82">
        <v>45964</v>
      </c>
      <c r="B3689" t="s">
        <v>430</v>
      </c>
      <c r="C3689" t="s">
        <v>425</v>
      </c>
      <c r="D3689" t="s">
        <v>421</v>
      </c>
      <c r="E3689" t="s">
        <v>424</v>
      </c>
      <c r="F3689" t="s">
        <v>428</v>
      </c>
      <c r="G3689" t="s">
        <v>427</v>
      </c>
      <c r="H3689" t="s">
        <v>429</v>
      </c>
      <c r="I3689" t="s">
        <v>536</v>
      </c>
      <c r="J3689" t="s">
        <v>455</v>
      </c>
      <c r="L3689" t="s">
        <v>423</v>
      </c>
      <c r="M3689" t="s">
        <v>421</v>
      </c>
      <c r="N3689" t="s">
        <v>424</v>
      </c>
    </row>
    <row r="3690" spans="1:14" ht="15" customHeight="1" x14ac:dyDescent="0.25">
      <c r="A3690" s="82">
        <v>45965</v>
      </c>
      <c r="B3690" t="s">
        <v>430</v>
      </c>
      <c r="C3690" t="s">
        <v>425</v>
      </c>
      <c r="D3690" t="s">
        <v>427</v>
      </c>
      <c r="E3690" t="s">
        <v>424</v>
      </c>
      <c r="F3690" t="s">
        <v>428</v>
      </c>
      <c r="G3690" t="s">
        <v>455</v>
      </c>
      <c r="H3690" t="s">
        <v>429</v>
      </c>
      <c r="I3690" t="s">
        <v>536</v>
      </c>
      <c r="J3690" t="s">
        <v>421</v>
      </c>
      <c r="L3690" t="s">
        <v>423</v>
      </c>
      <c r="M3690" t="s">
        <v>421</v>
      </c>
      <c r="N3690" t="s">
        <v>424</v>
      </c>
    </row>
    <row r="3691" spans="1:14" ht="15" customHeight="1" x14ac:dyDescent="0.25">
      <c r="A3691" s="82">
        <v>45966</v>
      </c>
      <c r="B3691" t="s">
        <v>430</v>
      </c>
      <c r="C3691" t="s">
        <v>425</v>
      </c>
      <c r="D3691" t="s">
        <v>455</v>
      </c>
      <c r="E3691" t="s">
        <v>424</v>
      </c>
      <c r="F3691" t="s">
        <v>428</v>
      </c>
      <c r="G3691" t="s">
        <v>427</v>
      </c>
      <c r="H3691" t="s">
        <v>429</v>
      </c>
      <c r="I3691" t="s">
        <v>536</v>
      </c>
      <c r="J3691" t="s">
        <v>421</v>
      </c>
      <c r="L3691" t="s">
        <v>423</v>
      </c>
      <c r="M3691" t="s">
        <v>421</v>
      </c>
      <c r="N3691" t="s">
        <v>424</v>
      </c>
    </row>
    <row r="3692" spans="1:14" ht="15" customHeight="1" x14ac:dyDescent="0.25">
      <c r="A3692" s="82">
        <v>45967</v>
      </c>
      <c r="B3692" t="s">
        <v>430</v>
      </c>
      <c r="C3692" t="s">
        <v>425</v>
      </c>
      <c r="D3692" t="s">
        <v>427</v>
      </c>
      <c r="E3692" t="s">
        <v>424</v>
      </c>
      <c r="F3692" t="s">
        <v>428</v>
      </c>
      <c r="G3692" t="s">
        <v>455</v>
      </c>
      <c r="H3692" t="s">
        <v>429</v>
      </c>
      <c r="I3692" t="s">
        <v>536</v>
      </c>
      <c r="J3692" t="s">
        <v>421</v>
      </c>
      <c r="L3692" t="s">
        <v>423</v>
      </c>
      <c r="M3692" t="s">
        <v>421</v>
      </c>
      <c r="N3692" t="s">
        <v>424</v>
      </c>
    </row>
    <row r="3693" spans="1:14" ht="15" customHeight="1" x14ac:dyDescent="0.25">
      <c r="A3693" s="82">
        <v>45968</v>
      </c>
      <c r="B3693" t="s">
        <v>428</v>
      </c>
      <c r="C3693" t="s">
        <v>425</v>
      </c>
      <c r="D3693" t="s">
        <v>455</v>
      </c>
      <c r="E3693" t="s">
        <v>427</v>
      </c>
      <c r="F3693" t="s">
        <v>425</v>
      </c>
      <c r="G3693" t="s">
        <v>429</v>
      </c>
      <c r="H3693" t="s">
        <v>421</v>
      </c>
      <c r="I3693" t="s">
        <v>536</v>
      </c>
      <c r="J3693" t="s">
        <v>430</v>
      </c>
      <c r="L3693" t="s">
        <v>428</v>
      </c>
      <c r="M3693" t="s">
        <v>423</v>
      </c>
      <c r="N3693" t="s">
        <v>421</v>
      </c>
    </row>
    <row r="3694" spans="1:14" ht="15" customHeight="1" x14ac:dyDescent="0.25">
      <c r="A3694" s="82">
        <v>45969</v>
      </c>
      <c r="B3694" t="s">
        <v>428</v>
      </c>
      <c r="C3694" t="s">
        <v>421</v>
      </c>
      <c r="D3694" t="s">
        <v>424</v>
      </c>
      <c r="E3694" t="s">
        <v>455</v>
      </c>
      <c r="F3694" t="s">
        <v>425</v>
      </c>
      <c r="G3694" t="s">
        <v>429</v>
      </c>
      <c r="H3694" t="s">
        <v>427</v>
      </c>
      <c r="I3694" t="s">
        <v>536</v>
      </c>
      <c r="J3694" t="s">
        <v>430</v>
      </c>
      <c r="L3694" t="s">
        <v>428</v>
      </c>
      <c r="M3694" t="s">
        <v>423</v>
      </c>
      <c r="N3694" t="s">
        <v>421</v>
      </c>
    </row>
    <row r="3695" spans="1:14" ht="15" customHeight="1" x14ac:dyDescent="0.25">
      <c r="A3695" s="82">
        <v>45970</v>
      </c>
      <c r="B3695" t="s">
        <v>428</v>
      </c>
      <c r="C3695" t="s">
        <v>421</v>
      </c>
      <c r="D3695" t="s">
        <v>424</v>
      </c>
      <c r="E3695" t="s">
        <v>427</v>
      </c>
      <c r="F3695" t="s">
        <v>425</v>
      </c>
      <c r="G3695" t="s">
        <v>429</v>
      </c>
      <c r="H3695" t="s">
        <v>455</v>
      </c>
      <c r="I3695" t="s">
        <v>536</v>
      </c>
      <c r="J3695" t="s">
        <v>430</v>
      </c>
      <c r="L3695" t="s">
        <v>428</v>
      </c>
      <c r="M3695" t="s">
        <v>423</v>
      </c>
      <c r="N3695" t="s">
        <v>421</v>
      </c>
    </row>
    <row r="3696" spans="1:14" ht="15" customHeight="1" x14ac:dyDescent="0.25">
      <c r="A3696" s="82">
        <v>45971</v>
      </c>
      <c r="B3696" t="s">
        <v>428</v>
      </c>
      <c r="C3696" t="s">
        <v>427</v>
      </c>
      <c r="D3696" t="s">
        <v>424</v>
      </c>
      <c r="E3696" t="s">
        <v>455</v>
      </c>
      <c r="F3696" t="s">
        <v>425</v>
      </c>
      <c r="G3696" t="s">
        <v>429</v>
      </c>
      <c r="H3696" t="s">
        <v>421</v>
      </c>
      <c r="I3696" t="s">
        <v>536</v>
      </c>
      <c r="J3696" t="s">
        <v>430</v>
      </c>
      <c r="L3696" t="s">
        <v>428</v>
      </c>
      <c r="M3696" t="s">
        <v>423</v>
      </c>
      <c r="N3696" t="s">
        <v>421</v>
      </c>
    </row>
    <row r="3697" spans="1:14" ht="15" customHeight="1" x14ac:dyDescent="0.25">
      <c r="A3697" s="82">
        <v>45972</v>
      </c>
      <c r="B3697" t="s">
        <v>428</v>
      </c>
      <c r="C3697" t="s">
        <v>455</v>
      </c>
      <c r="D3697" t="s">
        <v>424</v>
      </c>
      <c r="E3697" t="s">
        <v>421</v>
      </c>
      <c r="F3697" t="s">
        <v>425</v>
      </c>
      <c r="G3697" t="s">
        <v>429</v>
      </c>
      <c r="H3697" t="s">
        <v>427</v>
      </c>
      <c r="I3697" t="s">
        <v>536</v>
      </c>
      <c r="J3697" t="s">
        <v>430</v>
      </c>
      <c r="L3697" t="s">
        <v>428</v>
      </c>
      <c r="M3697" t="s">
        <v>423</v>
      </c>
      <c r="N3697" t="s">
        <v>421</v>
      </c>
    </row>
    <row r="3698" spans="1:14" ht="15" customHeight="1" x14ac:dyDescent="0.25">
      <c r="A3698" s="82">
        <v>45973</v>
      </c>
      <c r="B3698" t="s">
        <v>428</v>
      </c>
      <c r="C3698" t="s">
        <v>427</v>
      </c>
      <c r="D3698" t="s">
        <v>424</v>
      </c>
      <c r="E3698" t="s">
        <v>421</v>
      </c>
      <c r="F3698" t="s">
        <v>425</v>
      </c>
      <c r="G3698" t="s">
        <v>429</v>
      </c>
      <c r="H3698" t="s">
        <v>455</v>
      </c>
      <c r="I3698" t="s">
        <v>536</v>
      </c>
      <c r="J3698" t="s">
        <v>430</v>
      </c>
      <c r="L3698" t="s">
        <v>424</v>
      </c>
      <c r="M3698" t="s">
        <v>423</v>
      </c>
      <c r="N3698" t="s">
        <v>421</v>
      </c>
    </row>
    <row r="3699" spans="1:14" ht="15" customHeight="1" x14ac:dyDescent="0.25">
      <c r="A3699" s="82">
        <v>45974</v>
      </c>
      <c r="B3699" t="s">
        <v>428</v>
      </c>
      <c r="C3699" t="s">
        <v>455</v>
      </c>
      <c r="D3699" t="s">
        <v>424</v>
      </c>
      <c r="E3699" t="s">
        <v>421</v>
      </c>
      <c r="F3699" t="s">
        <v>425</v>
      </c>
      <c r="G3699" t="s">
        <v>429</v>
      </c>
      <c r="H3699" t="s">
        <v>427</v>
      </c>
      <c r="I3699" t="s">
        <v>536</v>
      </c>
      <c r="J3699" t="s">
        <v>430</v>
      </c>
      <c r="L3699" t="s">
        <v>424</v>
      </c>
      <c r="M3699" t="s">
        <v>423</v>
      </c>
      <c r="N3699" t="s">
        <v>421</v>
      </c>
    </row>
    <row r="3700" spans="1:14" ht="15" customHeight="1" x14ac:dyDescent="0.25">
      <c r="A3700" s="82">
        <v>45975</v>
      </c>
      <c r="B3700" t="s">
        <v>425</v>
      </c>
      <c r="C3700" t="s">
        <v>429</v>
      </c>
      <c r="D3700" t="s">
        <v>427</v>
      </c>
      <c r="E3700" t="s">
        <v>430</v>
      </c>
      <c r="F3700" t="s">
        <v>425</v>
      </c>
      <c r="G3700" t="s">
        <v>421</v>
      </c>
      <c r="H3700" t="s">
        <v>455</v>
      </c>
      <c r="I3700" t="s">
        <v>536</v>
      </c>
      <c r="J3700" t="s">
        <v>428</v>
      </c>
      <c r="L3700" t="s">
        <v>421</v>
      </c>
      <c r="M3700" t="s">
        <v>424</v>
      </c>
      <c r="N3700" t="s">
        <v>423</v>
      </c>
    </row>
    <row r="3701" spans="1:14" ht="15" customHeight="1" x14ac:dyDescent="0.25">
      <c r="A3701" s="82">
        <v>45976</v>
      </c>
      <c r="B3701" t="s">
        <v>425</v>
      </c>
      <c r="C3701" t="s">
        <v>429</v>
      </c>
      <c r="D3701" t="s">
        <v>455</v>
      </c>
      <c r="E3701" t="s">
        <v>430</v>
      </c>
      <c r="F3701" t="s">
        <v>421</v>
      </c>
      <c r="G3701" t="s">
        <v>427</v>
      </c>
      <c r="H3701" t="s">
        <v>424</v>
      </c>
      <c r="I3701" t="s">
        <v>536</v>
      </c>
      <c r="J3701" t="s">
        <v>428</v>
      </c>
      <c r="L3701" t="s">
        <v>421</v>
      </c>
      <c r="M3701" t="s">
        <v>424</v>
      </c>
      <c r="N3701" t="s">
        <v>423</v>
      </c>
    </row>
    <row r="3702" spans="1:14" ht="15" customHeight="1" x14ac:dyDescent="0.25">
      <c r="A3702" s="82">
        <v>45977</v>
      </c>
      <c r="B3702" t="s">
        <v>425</v>
      </c>
      <c r="C3702" t="s">
        <v>429</v>
      </c>
      <c r="D3702" t="s">
        <v>427</v>
      </c>
      <c r="E3702" t="s">
        <v>430</v>
      </c>
      <c r="F3702" t="s">
        <v>421</v>
      </c>
      <c r="G3702" t="s">
        <v>455</v>
      </c>
      <c r="H3702" t="s">
        <v>424</v>
      </c>
      <c r="I3702" t="s">
        <v>536</v>
      </c>
      <c r="J3702" t="s">
        <v>428</v>
      </c>
      <c r="L3702" t="s">
        <v>421</v>
      </c>
      <c r="M3702" t="s">
        <v>424</v>
      </c>
      <c r="N3702" t="s">
        <v>423</v>
      </c>
    </row>
    <row r="3703" spans="1:14" ht="15" customHeight="1" x14ac:dyDescent="0.25">
      <c r="A3703" s="82">
        <v>45978</v>
      </c>
      <c r="B3703" t="s">
        <v>425</v>
      </c>
      <c r="C3703" t="s">
        <v>429</v>
      </c>
      <c r="D3703" t="s">
        <v>455</v>
      </c>
      <c r="E3703" t="s">
        <v>430</v>
      </c>
      <c r="F3703" t="s">
        <v>427</v>
      </c>
      <c r="G3703" t="s">
        <v>421</v>
      </c>
      <c r="H3703" t="s">
        <v>424</v>
      </c>
      <c r="I3703" t="s">
        <v>536</v>
      </c>
      <c r="J3703" t="s">
        <v>428</v>
      </c>
      <c r="L3703" t="s">
        <v>421</v>
      </c>
      <c r="M3703" t="s">
        <v>424</v>
      </c>
      <c r="N3703" t="s">
        <v>423</v>
      </c>
    </row>
    <row r="3704" spans="1:14" ht="15" customHeight="1" x14ac:dyDescent="0.25">
      <c r="A3704" s="82">
        <v>45979</v>
      </c>
      <c r="B3704" t="s">
        <v>425</v>
      </c>
      <c r="C3704" t="s">
        <v>429</v>
      </c>
      <c r="D3704" t="s">
        <v>421</v>
      </c>
      <c r="E3704" t="s">
        <v>430</v>
      </c>
      <c r="F3704" t="s">
        <v>455</v>
      </c>
      <c r="G3704" t="s">
        <v>427</v>
      </c>
      <c r="H3704" t="s">
        <v>424</v>
      </c>
      <c r="I3704" t="s">
        <v>536</v>
      </c>
      <c r="J3704" t="s">
        <v>428</v>
      </c>
      <c r="L3704" t="s">
        <v>421</v>
      </c>
      <c r="M3704" t="s">
        <v>424</v>
      </c>
      <c r="N3704" t="s">
        <v>423</v>
      </c>
    </row>
    <row r="3705" spans="1:14" ht="15" customHeight="1" x14ac:dyDescent="0.25">
      <c r="A3705" s="82">
        <v>45980</v>
      </c>
      <c r="B3705" t="s">
        <v>425</v>
      </c>
      <c r="C3705" t="s">
        <v>429</v>
      </c>
      <c r="D3705" t="s">
        <v>421</v>
      </c>
      <c r="E3705" t="s">
        <v>430</v>
      </c>
      <c r="F3705" t="s">
        <v>427</v>
      </c>
      <c r="G3705" t="s">
        <v>455</v>
      </c>
      <c r="H3705" t="s">
        <v>424</v>
      </c>
      <c r="I3705" t="s">
        <v>536</v>
      </c>
      <c r="J3705" t="s">
        <v>428</v>
      </c>
      <c r="L3705" t="s">
        <v>421</v>
      </c>
      <c r="M3705" t="s">
        <v>424</v>
      </c>
      <c r="N3705" t="s">
        <v>423</v>
      </c>
    </row>
    <row r="3706" spans="1:14" ht="15" customHeight="1" x14ac:dyDescent="0.25">
      <c r="A3706" s="82">
        <v>45981</v>
      </c>
      <c r="B3706" t="s">
        <v>425</v>
      </c>
      <c r="C3706" t="s">
        <v>429</v>
      </c>
      <c r="D3706" t="s">
        <v>421</v>
      </c>
      <c r="E3706" t="s">
        <v>430</v>
      </c>
      <c r="F3706" t="s">
        <v>455</v>
      </c>
      <c r="G3706" t="s">
        <v>427</v>
      </c>
      <c r="H3706" t="s">
        <v>424</v>
      </c>
      <c r="I3706" t="s">
        <v>536</v>
      </c>
      <c r="J3706" t="s">
        <v>428</v>
      </c>
      <c r="L3706" t="s">
        <v>421</v>
      </c>
      <c r="M3706" t="s">
        <v>424</v>
      </c>
      <c r="N3706" t="s">
        <v>423</v>
      </c>
    </row>
    <row r="3707" spans="1:14" ht="15" customHeight="1" x14ac:dyDescent="0.25">
      <c r="A3707" s="82">
        <v>45982</v>
      </c>
      <c r="B3707" t="s">
        <v>425</v>
      </c>
      <c r="C3707" t="s">
        <v>421</v>
      </c>
      <c r="D3707" t="s">
        <v>430</v>
      </c>
      <c r="E3707" t="s">
        <v>428</v>
      </c>
      <c r="F3707" t="s">
        <v>429</v>
      </c>
      <c r="G3707" t="s">
        <v>455</v>
      </c>
      <c r="H3707" t="s">
        <v>427</v>
      </c>
      <c r="I3707" t="s">
        <v>536</v>
      </c>
      <c r="J3707" t="s">
        <v>425</v>
      </c>
      <c r="L3707" t="s">
        <v>423</v>
      </c>
      <c r="M3707" t="s">
        <v>421</v>
      </c>
      <c r="N3707" t="s">
        <v>424</v>
      </c>
    </row>
    <row r="3708" spans="1:14" ht="15" customHeight="1" x14ac:dyDescent="0.25">
      <c r="A3708" s="82">
        <v>45983</v>
      </c>
      <c r="B3708" t="s">
        <v>421</v>
      </c>
      <c r="C3708" t="s">
        <v>427</v>
      </c>
      <c r="D3708" t="s">
        <v>430</v>
      </c>
      <c r="E3708" t="s">
        <v>428</v>
      </c>
      <c r="F3708" t="s">
        <v>429</v>
      </c>
      <c r="G3708" t="s">
        <v>424</v>
      </c>
      <c r="H3708" t="s">
        <v>455</v>
      </c>
      <c r="I3708" t="s">
        <v>536</v>
      </c>
      <c r="J3708" t="s">
        <v>425</v>
      </c>
      <c r="L3708" t="s">
        <v>423</v>
      </c>
      <c r="M3708" t="s">
        <v>421</v>
      </c>
      <c r="N3708" t="s">
        <v>424</v>
      </c>
    </row>
    <row r="3709" spans="1:14" ht="15" customHeight="1" x14ac:dyDescent="0.25">
      <c r="A3709" s="82">
        <v>45984</v>
      </c>
      <c r="B3709" t="s">
        <v>421</v>
      </c>
      <c r="C3709" t="s">
        <v>455</v>
      </c>
      <c r="D3709" t="s">
        <v>430</v>
      </c>
      <c r="E3709" t="s">
        <v>428</v>
      </c>
      <c r="F3709" t="s">
        <v>429</v>
      </c>
      <c r="G3709" t="s">
        <v>424</v>
      </c>
      <c r="H3709" t="s">
        <v>427</v>
      </c>
      <c r="I3709" t="s">
        <v>536</v>
      </c>
      <c r="J3709" t="s">
        <v>425</v>
      </c>
      <c r="L3709" t="s">
        <v>423</v>
      </c>
      <c r="M3709" t="s">
        <v>421</v>
      </c>
      <c r="N3709" t="s">
        <v>424</v>
      </c>
    </row>
    <row r="3710" spans="1:14" ht="15" customHeight="1" x14ac:dyDescent="0.25">
      <c r="A3710" s="82">
        <v>45985</v>
      </c>
      <c r="B3710" t="s">
        <v>427</v>
      </c>
      <c r="C3710" t="s">
        <v>421</v>
      </c>
      <c r="D3710" t="s">
        <v>430</v>
      </c>
      <c r="E3710" t="s">
        <v>428</v>
      </c>
      <c r="F3710" t="s">
        <v>429</v>
      </c>
      <c r="G3710" t="s">
        <v>424</v>
      </c>
      <c r="H3710" t="s">
        <v>455</v>
      </c>
      <c r="I3710" t="s">
        <v>536</v>
      </c>
      <c r="J3710" t="s">
        <v>425</v>
      </c>
      <c r="L3710" t="s">
        <v>423</v>
      </c>
      <c r="M3710" t="s">
        <v>421</v>
      </c>
      <c r="N3710" t="s">
        <v>424</v>
      </c>
    </row>
    <row r="3711" spans="1:14" ht="15" customHeight="1" x14ac:dyDescent="0.25">
      <c r="A3711" s="82">
        <v>45986</v>
      </c>
      <c r="B3711" t="s">
        <v>455</v>
      </c>
      <c r="C3711" t="s">
        <v>427</v>
      </c>
      <c r="D3711" t="s">
        <v>430</v>
      </c>
      <c r="E3711" t="s">
        <v>428</v>
      </c>
      <c r="F3711" t="s">
        <v>429</v>
      </c>
      <c r="G3711" t="s">
        <v>424</v>
      </c>
      <c r="H3711" t="s">
        <v>421</v>
      </c>
      <c r="I3711" t="s">
        <v>536</v>
      </c>
      <c r="J3711" t="s">
        <v>425</v>
      </c>
      <c r="L3711" t="s">
        <v>423</v>
      </c>
      <c r="M3711" t="s">
        <v>421</v>
      </c>
      <c r="N3711" t="s">
        <v>424</v>
      </c>
    </row>
    <row r="3712" spans="1:14" ht="15" customHeight="1" x14ac:dyDescent="0.25">
      <c r="A3712" s="82">
        <v>45987</v>
      </c>
      <c r="B3712" t="s">
        <v>427</v>
      </c>
      <c r="C3712" t="s">
        <v>455</v>
      </c>
      <c r="D3712" t="s">
        <v>430</v>
      </c>
      <c r="E3712" t="s">
        <v>428</v>
      </c>
      <c r="F3712" t="s">
        <v>429</v>
      </c>
      <c r="G3712" t="s">
        <v>424</v>
      </c>
      <c r="H3712" t="s">
        <v>421</v>
      </c>
      <c r="I3712" t="s">
        <v>536</v>
      </c>
      <c r="J3712" t="s">
        <v>425</v>
      </c>
      <c r="L3712" t="s">
        <v>423</v>
      </c>
      <c r="M3712" t="s">
        <v>421</v>
      </c>
      <c r="N3712" t="s">
        <v>424</v>
      </c>
    </row>
    <row r="3713" spans="1:14" ht="15" customHeight="1" x14ac:dyDescent="0.25">
      <c r="A3713" s="82">
        <v>45988</v>
      </c>
      <c r="B3713" t="s">
        <v>455</v>
      </c>
      <c r="C3713" t="s">
        <v>427</v>
      </c>
      <c r="D3713" t="s">
        <v>430</v>
      </c>
      <c r="E3713" t="s">
        <v>428</v>
      </c>
      <c r="F3713" t="s">
        <v>429</v>
      </c>
      <c r="G3713" t="s">
        <v>424</v>
      </c>
      <c r="H3713" t="s">
        <v>421</v>
      </c>
      <c r="I3713" t="s">
        <v>536</v>
      </c>
      <c r="J3713" t="s">
        <v>425</v>
      </c>
      <c r="L3713" t="s">
        <v>423</v>
      </c>
      <c r="M3713" t="s">
        <v>421</v>
      </c>
      <c r="N3713" t="s">
        <v>424</v>
      </c>
    </row>
    <row r="3714" spans="1:14" ht="15" customHeight="1" x14ac:dyDescent="0.25">
      <c r="A3714" s="82">
        <v>45989</v>
      </c>
      <c r="B3714" t="s">
        <v>429</v>
      </c>
      <c r="C3714" t="s">
        <v>455</v>
      </c>
      <c r="D3714" t="s">
        <v>428</v>
      </c>
      <c r="E3714" t="s">
        <v>425</v>
      </c>
      <c r="F3714" t="s">
        <v>421</v>
      </c>
      <c r="G3714" t="s">
        <v>427</v>
      </c>
      <c r="H3714" t="s">
        <v>430</v>
      </c>
      <c r="I3714" t="s">
        <v>536</v>
      </c>
      <c r="J3714" t="s">
        <v>425</v>
      </c>
      <c r="L3714" t="s">
        <v>424</v>
      </c>
      <c r="M3714" t="s">
        <v>423</v>
      </c>
      <c r="N3714" t="s">
        <v>421</v>
      </c>
    </row>
    <row r="3715" spans="1:14" ht="15" customHeight="1" x14ac:dyDescent="0.25">
      <c r="A3715" s="82">
        <v>45990</v>
      </c>
      <c r="B3715" t="s">
        <v>429</v>
      </c>
      <c r="C3715" t="s">
        <v>424</v>
      </c>
      <c r="D3715" t="s">
        <v>428</v>
      </c>
      <c r="E3715" t="s">
        <v>425</v>
      </c>
      <c r="F3715" t="s">
        <v>427</v>
      </c>
      <c r="G3715" t="s">
        <v>455</v>
      </c>
      <c r="H3715" t="s">
        <v>430</v>
      </c>
      <c r="I3715" t="s">
        <v>536</v>
      </c>
      <c r="J3715" t="s">
        <v>421</v>
      </c>
      <c r="L3715" t="s">
        <v>424</v>
      </c>
      <c r="M3715" t="s">
        <v>423</v>
      </c>
      <c r="N3715" t="s">
        <v>421</v>
      </c>
    </row>
    <row r="3716" spans="1:14" ht="15" customHeight="1" x14ac:dyDescent="0.25">
      <c r="A3716" s="82">
        <v>45991</v>
      </c>
      <c r="B3716" t="s">
        <v>429</v>
      </c>
      <c r="C3716" t="s">
        <v>424</v>
      </c>
      <c r="D3716" t="s">
        <v>428</v>
      </c>
      <c r="E3716" t="s">
        <v>425</v>
      </c>
      <c r="F3716" t="s">
        <v>455</v>
      </c>
      <c r="G3716" t="s">
        <v>427</v>
      </c>
      <c r="H3716" t="s">
        <v>430</v>
      </c>
      <c r="I3716" t="s">
        <v>536</v>
      </c>
      <c r="J3716" t="s">
        <v>421</v>
      </c>
      <c r="L3716" t="s">
        <v>424</v>
      </c>
      <c r="M3716" t="s">
        <v>423</v>
      </c>
      <c r="N3716" t="s">
        <v>421</v>
      </c>
    </row>
    <row r="3717" spans="1:14" ht="15" customHeight="1" x14ac:dyDescent="0.25">
      <c r="A3717" s="82">
        <v>45992</v>
      </c>
      <c r="B3717" t="s">
        <v>429</v>
      </c>
      <c r="C3717" t="s">
        <v>424</v>
      </c>
      <c r="D3717" t="s">
        <v>428</v>
      </c>
      <c r="E3717" t="s">
        <v>425</v>
      </c>
      <c r="F3717" t="s">
        <v>421</v>
      </c>
      <c r="G3717" t="s">
        <v>455</v>
      </c>
      <c r="H3717" t="s">
        <v>430</v>
      </c>
      <c r="I3717" t="s">
        <v>536</v>
      </c>
      <c r="J3717" t="s">
        <v>427</v>
      </c>
      <c r="L3717" t="s">
        <v>424</v>
      </c>
      <c r="M3717" t="s">
        <v>423</v>
      </c>
      <c r="N3717" t="s">
        <v>421</v>
      </c>
    </row>
    <row r="3718" spans="1:14" ht="15" customHeight="1" x14ac:dyDescent="0.25">
      <c r="A3718" s="82">
        <v>45993</v>
      </c>
      <c r="B3718" t="s">
        <v>429</v>
      </c>
      <c r="C3718" t="s">
        <v>424</v>
      </c>
      <c r="D3718" t="s">
        <v>428</v>
      </c>
      <c r="E3718" t="s">
        <v>425</v>
      </c>
      <c r="F3718" t="s">
        <v>427</v>
      </c>
      <c r="G3718" t="s">
        <v>421</v>
      </c>
      <c r="H3718" t="s">
        <v>430</v>
      </c>
      <c r="I3718" t="s">
        <v>536</v>
      </c>
      <c r="J3718" t="s">
        <v>455</v>
      </c>
      <c r="L3718" t="s">
        <v>424</v>
      </c>
      <c r="M3718" t="s">
        <v>423</v>
      </c>
      <c r="N3718" t="s">
        <v>421</v>
      </c>
    </row>
    <row r="3719" spans="1:14" ht="15" customHeight="1" x14ac:dyDescent="0.25">
      <c r="A3719" s="82">
        <v>45994</v>
      </c>
      <c r="B3719" t="s">
        <v>429</v>
      </c>
      <c r="C3719" t="s">
        <v>424</v>
      </c>
      <c r="D3719" t="s">
        <v>428</v>
      </c>
      <c r="E3719" t="s">
        <v>425</v>
      </c>
      <c r="F3719" t="s">
        <v>455</v>
      </c>
      <c r="G3719" t="s">
        <v>421</v>
      </c>
      <c r="H3719" t="s">
        <v>430</v>
      </c>
      <c r="I3719" t="s">
        <v>536</v>
      </c>
      <c r="J3719" t="s">
        <v>427</v>
      </c>
      <c r="L3719" t="s">
        <v>424</v>
      </c>
      <c r="M3719" t="s">
        <v>423</v>
      </c>
      <c r="N3719" t="s">
        <v>421</v>
      </c>
    </row>
    <row r="3720" spans="1:14" ht="15" customHeight="1" x14ac:dyDescent="0.25">
      <c r="A3720" s="82">
        <v>45995</v>
      </c>
      <c r="B3720" t="s">
        <v>429</v>
      </c>
      <c r="C3720" t="s">
        <v>424</v>
      </c>
      <c r="D3720" t="s">
        <v>428</v>
      </c>
      <c r="E3720" t="s">
        <v>425</v>
      </c>
      <c r="F3720" t="s">
        <v>427</v>
      </c>
      <c r="G3720" t="s">
        <v>421</v>
      </c>
      <c r="H3720" t="s">
        <v>430</v>
      </c>
      <c r="I3720" t="s">
        <v>536</v>
      </c>
      <c r="J3720" t="s">
        <v>455</v>
      </c>
      <c r="L3720" t="s">
        <v>424</v>
      </c>
      <c r="M3720" t="s">
        <v>423</v>
      </c>
      <c r="N3720" t="s">
        <v>421</v>
      </c>
    </row>
    <row r="3721" spans="1:14" ht="15" customHeight="1" x14ac:dyDescent="0.25">
      <c r="A3721" s="82">
        <v>45996</v>
      </c>
      <c r="B3721" t="s">
        <v>421</v>
      </c>
      <c r="C3721" t="s">
        <v>427</v>
      </c>
      <c r="D3721" t="s">
        <v>425</v>
      </c>
      <c r="E3721" t="s">
        <v>425</v>
      </c>
      <c r="F3721" t="s">
        <v>455</v>
      </c>
      <c r="G3721" t="s">
        <v>430</v>
      </c>
      <c r="H3721" t="s">
        <v>428</v>
      </c>
      <c r="I3721" t="s">
        <v>536</v>
      </c>
      <c r="J3721" t="s">
        <v>429</v>
      </c>
      <c r="L3721" t="s">
        <v>421</v>
      </c>
      <c r="M3721" t="s">
        <v>428</v>
      </c>
      <c r="N3721" t="s">
        <v>423</v>
      </c>
    </row>
    <row r="3722" spans="1:14" ht="15" customHeight="1" x14ac:dyDescent="0.25">
      <c r="A3722" s="82">
        <v>45997</v>
      </c>
      <c r="B3722" t="s">
        <v>427</v>
      </c>
      <c r="C3722" t="s">
        <v>455</v>
      </c>
      <c r="D3722" t="s">
        <v>425</v>
      </c>
      <c r="E3722" t="s">
        <v>421</v>
      </c>
      <c r="F3722" t="s">
        <v>424</v>
      </c>
      <c r="G3722" t="s">
        <v>430</v>
      </c>
      <c r="H3722" t="s">
        <v>428</v>
      </c>
      <c r="I3722" t="s">
        <v>536</v>
      </c>
      <c r="J3722" t="s">
        <v>429</v>
      </c>
      <c r="L3722" t="s">
        <v>421</v>
      </c>
      <c r="M3722" t="s">
        <v>428</v>
      </c>
      <c r="N3722" t="s">
        <v>423</v>
      </c>
    </row>
    <row r="3723" spans="1:14" ht="15" customHeight="1" x14ac:dyDescent="0.25">
      <c r="A3723" s="82">
        <v>45998</v>
      </c>
      <c r="B3723" t="s">
        <v>455</v>
      </c>
      <c r="C3723" t="s">
        <v>427</v>
      </c>
      <c r="D3723" t="s">
        <v>425</v>
      </c>
      <c r="E3723" t="s">
        <v>421</v>
      </c>
      <c r="F3723" t="s">
        <v>424</v>
      </c>
      <c r="G3723" t="s">
        <v>430</v>
      </c>
      <c r="H3723" t="s">
        <v>428</v>
      </c>
      <c r="I3723" t="s">
        <v>536</v>
      </c>
      <c r="J3723" t="s">
        <v>429</v>
      </c>
      <c r="L3723" t="s">
        <v>421</v>
      </c>
      <c r="M3723" t="s">
        <v>428</v>
      </c>
      <c r="N3723" t="s">
        <v>423</v>
      </c>
    </row>
    <row r="3724" spans="1:14" ht="15" customHeight="1" x14ac:dyDescent="0.25">
      <c r="A3724" s="82">
        <v>45999</v>
      </c>
      <c r="B3724" t="s">
        <v>421</v>
      </c>
      <c r="C3724" t="s">
        <v>455</v>
      </c>
      <c r="D3724" t="s">
        <v>425</v>
      </c>
      <c r="E3724" t="s">
        <v>430</v>
      </c>
      <c r="F3724" t="s">
        <v>424</v>
      </c>
      <c r="G3724" t="s">
        <v>427</v>
      </c>
      <c r="H3724" t="s">
        <v>428</v>
      </c>
      <c r="I3724" t="s">
        <v>536</v>
      </c>
      <c r="J3724" t="s">
        <v>429</v>
      </c>
      <c r="L3724" t="s">
        <v>421</v>
      </c>
      <c r="M3724" t="s">
        <v>428</v>
      </c>
      <c r="N3724" t="s">
        <v>423</v>
      </c>
    </row>
    <row r="3725" spans="1:14" ht="15" customHeight="1" x14ac:dyDescent="0.25">
      <c r="A3725" s="82">
        <v>46000</v>
      </c>
      <c r="B3725" t="s">
        <v>427</v>
      </c>
      <c r="C3725" t="s">
        <v>421</v>
      </c>
      <c r="D3725" t="s">
        <v>425</v>
      </c>
      <c r="E3725" t="s">
        <v>430</v>
      </c>
      <c r="F3725" t="s">
        <v>424</v>
      </c>
      <c r="G3725" t="s">
        <v>455</v>
      </c>
      <c r="H3725" t="s">
        <v>428</v>
      </c>
      <c r="I3725" t="s">
        <v>536</v>
      </c>
      <c r="J3725" t="s">
        <v>429</v>
      </c>
      <c r="L3725" t="s">
        <v>421</v>
      </c>
      <c r="M3725" t="s">
        <v>428</v>
      </c>
      <c r="N3725" t="s">
        <v>423</v>
      </c>
    </row>
    <row r="3726" spans="1:14" ht="15" customHeight="1" x14ac:dyDescent="0.25">
      <c r="A3726" s="82">
        <v>46001</v>
      </c>
      <c r="B3726" t="s">
        <v>455</v>
      </c>
      <c r="C3726" t="s">
        <v>421</v>
      </c>
      <c r="D3726" t="s">
        <v>425</v>
      </c>
      <c r="E3726" t="s">
        <v>427</v>
      </c>
      <c r="F3726" t="s">
        <v>424</v>
      </c>
      <c r="G3726" t="s">
        <v>430</v>
      </c>
      <c r="H3726" t="s">
        <v>428</v>
      </c>
      <c r="I3726" t="s">
        <v>536</v>
      </c>
      <c r="J3726" t="s">
        <v>429</v>
      </c>
      <c r="L3726" t="s">
        <v>421</v>
      </c>
      <c r="M3726" t="s">
        <v>424</v>
      </c>
      <c r="N3726" t="s">
        <v>423</v>
      </c>
    </row>
    <row r="3727" spans="1:14" ht="15" customHeight="1" x14ac:dyDescent="0.25">
      <c r="A3727" s="82">
        <v>46002</v>
      </c>
      <c r="B3727" t="s">
        <v>427</v>
      </c>
      <c r="C3727" t="s">
        <v>421</v>
      </c>
      <c r="D3727" t="s">
        <v>425</v>
      </c>
      <c r="E3727" t="s">
        <v>455</v>
      </c>
      <c r="F3727" t="s">
        <v>424</v>
      </c>
      <c r="G3727" t="s">
        <v>430</v>
      </c>
      <c r="H3727" t="s">
        <v>428</v>
      </c>
      <c r="I3727" t="s">
        <v>536</v>
      </c>
      <c r="J3727" t="s">
        <v>429</v>
      </c>
      <c r="L3727" t="s">
        <v>421</v>
      </c>
      <c r="M3727" t="s">
        <v>424</v>
      </c>
      <c r="N3727" t="s">
        <v>423</v>
      </c>
    </row>
    <row r="3728" spans="1:14" ht="15" customHeight="1" x14ac:dyDescent="0.25">
      <c r="A3728" s="82">
        <v>46003</v>
      </c>
      <c r="B3728" t="s">
        <v>455</v>
      </c>
      <c r="C3728" t="s">
        <v>430</v>
      </c>
      <c r="D3728" t="s">
        <v>425</v>
      </c>
      <c r="E3728" t="s">
        <v>429</v>
      </c>
      <c r="F3728" t="s">
        <v>427</v>
      </c>
      <c r="G3728" t="s">
        <v>428</v>
      </c>
      <c r="H3728" t="s">
        <v>425</v>
      </c>
      <c r="I3728" t="s">
        <v>536</v>
      </c>
      <c r="J3728" t="s">
        <v>421</v>
      </c>
      <c r="L3728" t="s">
        <v>423</v>
      </c>
      <c r="M3728" t="s">
        <v>421</v>
      </c>
      <c r="N3728" t="s">
        <v>424</v>
      </c>
    </row>
    <row r="3729" spans="1:14" ht="15" customHeight="1" x14ac:dyDescent="0.25">
      <c r="A3729" s="82">
        <v>46004</v>
      </c>
      <c r="B3729" t="s">
        <v>424</v>
      </c>
      <c r="C3729" t="s">
        <v>430</v>
      </c>
      <c r="D3729" t="s">
        <v>421</v>
      </c>
      <c r="E3729" t="s">
        <v>429</v>
      </c>
      <c r="F3729" t="s">
        <v>455</v>
      </c>
      <c r="G3729" t="s">
        <v>428</v>
      </c>
      <c r="H3729" t="s">
        <v>425</v>
      </c>
      <c r="I3729" t="s">
        <v>536</v>
      </c>
      <c r="J3729" t="s">
        <v>427</v>
      </c>
      <c r="L3729" t="s">
        <v>423</v>
      </c>
      <c r="M3729" t="s">
        <v>421</v>
      </c>
      <c r="N3729" t="s">
        <v>424</v>
      </c>
    </row>
    <row r="3730" spans="1:14" ht="15" customHeight="1" x14ac:dyDescent="0.25">
      <c r="A3730" s="82">
        <v>46005</v>
      </c>
      <c r="B3730" t="s">
        <v>424</v>
      </c>
      <c r="C3730" t="s">
        <v>430</v>
      </c>
      <c r="D3730" t="s">
        <v>421</v>
      </c>
      <c r="E3730" t="s">
        <v>429</v>
      </c>
      <c r="F3730" t="s">
        <v>427</v>
      </c>
      <c r="G3730" t="s">
        <v>428</v>
      </c>
      <c r="H3730" t="s">
        <v>425</v>
      </c>
      <c r="I3730" t="s">
        <v>536</v>
      </c>
      <c r="J3730" t="s">
        <v>455</v>
      </c>
      <c r="L3730" t="s">
        <v>423</v>
      </c>
      <c r="M3730" t="s">
        <v>421</v>
      </c>
      <c r="N3730" t="s">
        <v>424</v>
      </c>
    </row>
    <row r="3731" spans="1:14" ht="15" customHeight="1" x14ac:dyDescent="0.25">
      <c r="A3731" s="82">
        <v>46006</v>
      </c>
      <c r="B3731" t="s">
        <v>424</v>
      </c>
      <c r="C3731" t="s">
        <v>430</v>
      </c>
      <c r="D3731" t="s">
        <v>427</v>
      </c>
      <c r="E3731" t="s">
        <v>429</v>
      </c>
      <c r="F3731" t="s">
        <v>455</v>
      </c>
      <c r="G3731" t="s">
        <v>428</v>
      </c>
      <c r="H3731" t="s">
        <v>425</v>
      </c>
      <c r="I3731" t="s">
        <v>536</v>
      </c>
      <c r="J3731" t="s">
        <v>421</v>
      </c>
      <c r="L3731" t="s">
        <v>423</v>
      </c>
      <c r="M3731" t="s">
        <v>421</v>
      </c>
      <c r="N3731" t="s">
        <v>424</v>
      </c>
    </row>
    <row r="3732" spans="1:14" ht="15" customHeight="1" x14ac:dyDescent="0.25">
      <c r="A3732" s="82">
        <v>46007</v>
      </c>
      <c r="B3732" t="s">
        <v>424</v>
      </c>
      <c r="C3732" t="s">
        <v>430</v>
      </c>
      <c r="D3732" t="s">
        <v>455</v>
      </c>
      <c r="E3732" t="s">
        <v>429</v>
      </c>
      <c r="F3732" t="s">
        <v>421</v>
      </c>
      <c r="G3732" t="s">
        <v>428</v>
      </c>
      <c r="H3732" t="s">
        <v>425</v>
      </c>
      <c r="I3732" t="s">
        <v>536</v>
      </c>
      <c r="J3732" t="s">
        <v>427</v>
      </c>
      <c r="L3732" t="s">
        <v>423</v>
      </c>
      <c r="M3732" t="s">
        <v>421</v>
      </c>
      <c r="N3732" t="s">
        <v>424</v>
      </c>
    </row>
    <row r="3733" spans="1:14" ht="15" customHeight="1" x14ac:dyDescent="0.25">
      <c r="A3733" s="82">
        <v>46008</v>
      </c>
      <c r="B3733" t="s">
        <v>424</v>
      </c>
      <c r="C3733" t="s">
        <v>430</v>
      </c>
      <c r="D3733" t="s">
        <v>427</v>
      </c>
      <c r="E3733" t="s">
        <v>429</v>
      </c>
      <c r="F3733" t="s">
        <v>421</v>
      </c>
      <c r="G3733" t="s">
        <v>428</v>
      </c>
      <c r="H3733" t="s">
        <v>425</v>
      </c>
      <c r="I3733" t="s">
        <v>536</v>
      </c>
      <c r="J3733" t="s">
        <v>455</v>
      </c>
      <c r="L3733" t="s">
        <v>423</v>
      </c>
      <c r="M3733" t="s">
        <v>421</v>
      </c>
      <c r="N3733" t="s">
        <v>424</v>
      </c>
    </row>
    <row r="3734" spans="1:14" ht="15" customHeight="1" x14ac:dyDescent="0.25">
      <c r="A3734" s="82">
        <v>46009</v>
      </c>
      <c r="B3734" t="s">
        <v>424</v>
      </c>
      <c r="C3734" t="s">
        <v>430</v>
      </c>
      <c r="D3734" t="s">
        <v>455</v>
      </c>
      <c r="E3734" t="s">
        <v>429</v>
      </c>
      <c r="F3734" t="s">
        <v>421</v>
      </c>
      <c r="G3734" t="s">
        <v>428</v>
      </c>
      <c r="H3734" t="s">
        <v>425</v>
      </c>
      <c r="I3734" t="s">
        <v>536</v>
      </c>
      <c r="J3734" t="s">
        <v>427</v>
      </c>
      <c r="L3734" t="s">
        <v>423</v>
      </c>
      <c r="M3734" t="s">
        <v>421</v>
      </c>
      <c r="N3734" t="s">
        <v>424</v>
      </c>
    </row>
    <row r="3735" spans="1:14" ht="15" customHeight="1" x14ac:dyDescent="0.25">
      <c r="A3735" s="82">
        <v>46010</v>
      </c>
      <c r="B3735" t="s">
        <v>427</v>
      </c>
      <c r="C3735" t="s">
        <v>428</v>
      </c>
      <c r="D3735" t="s">
        <v>429</v>
      </c>
      <c r="E3735" t="s">
        <v>424</v>
      </c>
      <c r="F3735" t="s">
        <v>430</v>
      </c>
      <c r="G3735" t="s">
        <v>425</v>
      </c>
      <c r="H3735" t="s">
        <v>425</v>
      </c>
      <c r="I3735" t="s">
        <v>536</v>
      </c>
      <c r="J3735" t="s">
        <v>455</v>
      </c>
      <c r="K3735" t="s">
        <v>421</v>
      </c>
      <c r="L3735" t="s">
        <v>424</v>
      </c>
      <c r="M3735" t="s">
        <v>423</v>
      </c>
      <c r="N3735" t="s">
        <v>421</v>
      </c>
    </row>
    <row r="3736" spans="1:14" ht="15" customHeight="1" x14ac:dyDescent="0.25">
      <c r="A3736" s="82">
        <v>46011</v>
      </c>
      <c r="B3736" t="s">
        <v>455</v>
      </c>
      <c r="C3736" t="s">
        <v>428</v>
      </c>
      <c r="D3736" t="s">
        <v>429</v>
      </c>
      <c r="E3736" t="s">
        <v>424</v>
      </c>
      <c r="F3736" t="s">
        <v>430</v>
      </c>
      <c r="G3736" t="s">
        <v>425</v>
      </c>
      <c r="H3736" t="s">
        <v>421</v>
      </c>
      <c r="I3736" t="s">
        <v>536</v>
      </c>
      <c r="J3736" t="s">
        <v>426</v>
      </c>
      <c r="K3736" t="s">
        <v>427</v>
      </c>
      <c r="L3736" t="s">
        <v>424</v>
      </c>
      <c r="M3736" t="s">
        <v>423</v>
      </c>
      <c r="N3736" t="s">
        <v>421</v>
      </c>
    </row>
    <row r="3737" spans="1:14" ht="15" customHeight="1" x14ac:dyDescent="0.25">
      <c r="A3737" s="82">
        <v>46012</v>
      </c>
      <c r="B3737" t="s">
        <v>427</v>
      </c>
      <c r="C3737" t="s">
        <v>428</v>
      </c>
      <c r="D3737" t="s">
        <v>429</v>
      </c>
      <c r="E3737" t="s">
        <v>424</v>
      </c>
      <c r="F3737" t="s">
        <v>430</v>
      </c>
      <c r="G3737" t="s">
        <v>425</v>
      </c>
      <c r="H3737" t="s">
        <v>421</v>
      </c>
      <c r="I3737" t="s">
        <v>536</v>
      </c>
      <c r="J3737" t="s">
        <v>426</v>
      </c>
      <c r="K3737" t="s">
        <v>455</v>
      </c>
      <c r="L3737" t="s">
        <v>424</v>
      </c>
      <c r="M3737" t="s">
        <v>423</v>
      </c>
      <c r="N3737" t="s">
        <v>421</v>
      </c>
    </row>
    <row r="3738" spans="1:14" ht="15" customHeight="1" x14ac:dyDescent="0.25">
      <c r="A3738" s="82">
        <v>46013</v>
      </c>
      <c r="B3738" t="s">
        <v>455</v>
      </c>
      <c r="C3738" t="s">
        <v>428</v>
      </c>
      <c r="D3738" t="s">
        <v>429</v>
      </c>
      <c r="E3738" t="s">
        <v>424</v>
      </c>
      <c r="F3738" t="s">
        <v>427</v>
      </c>
      <c r="G3738" t="s">
        <v>425</v>
      </c>
      <c r="H3738" t="s">
        <v>426</v>
      </c>
      <c r="I3738" t="s">
        <v>536</v>
      </c>
      <c r="J3738" t="s">
        <v>430</v>
      </c>
      <c r="K3738" t="s">
        <v>421</v>
      </c>
      <c r="L3738" t="s">
        <v>424</v>
      </c>
      <c r="M3738" t="s">
        <v>423</v>
      </c>
      <c r="N3738" t="s">
        <v>421</v>
      </c>
    </row>
    <row r="3739" spans="1:14" ht="15" customHeight="1" x14ac:dyDescent="0.25">
      <c r="A3739" s="82">
        <v>46014</v>
      </c>
      <c r="B3739" t="s">
        <v>430</v>
      </c>
      <c r="C3739" t="s">
        <v>428</v>
      </c>
      <c r="D3739" t="s">
        <v>429</v>
      </c>
      <c r="E3739" t="s">
        <v>424</v>
      </c>
      <c r="F3739" t="s">
        <v>455</v>
      </c>
      <c r="G3739" t="s">
        <v>425</v>
      </c>
      <c r="H3739" t="s">
        <v>426</v>
      </c>
      <c r="I3739" t="s">
        <v>536</v>
      </c>
      <c r="J3739" t="s">
        <v>421</v>
      </c>
      <c r="K3739" t="s">
        <v>427</v>
      </c>
      <c r="L3739" t="s">
        <v>424</v>
      </c>
      <c r="M3739" t="s">
        <v>423</v>
      </c>
      <c r="N3739" t="s">
        <v>421</v>
      </c>
    </row>
    <row r="3740" spans="1:14" ht="15" customHeight="1" x14ac:dyDescent="0.25">
      <c r="A3740" s="82">
        <v>46015</v>
      </c>
      <c r="B3740" t="s">
        <v>430</v>
      </c>
      <c r="C3740" t="s">
        <v>428</v>
      </c>
      <c r="D3740" t="s">
        <v>429</v>
      </c>
      <c r="E3740" t="s">
        <v>424</v>
      </c>
      <c r="F3740" t="s">
        <v>427</v>
      </c>
      <c r="G3740" t="s">
        <v>425</v>
      </c>
      <c r="H3740" t="s">
        <v>426</v>
      </c>
      <c r="I3740" t="s">
        <v>536</v>
      </c>
      <c r="J3740" t="s">
        <v>421</v>
      </c>
      <c r="K3740" t="s">
        <v>455</v>
      </c>
      <c r="L3740" t="s">
        <v>424</v>
      </c>
      <c r="M3740" t="s">
        <v>423</v>
      </c>
      <c r="N3740" t="s">
        <v>421</v>
      </c>
    </row>
    <row r="3741" spans="1:14" ht="15" customHeight="1" x14ac:dyDescent="0.25">
      <c r="A3741" s="82">
        <v>46016</v>
      </c>
      <c r="B3741" t="s">
        <v>430</v>
      </c>
      <c r="C3741" t="s">
        <v>428</v>
      </c>
      <c r="D3741" t="s">
        <v>426</v>
      </c>
      <c r="E3741" t="s">
        <v>424</v>
      </c>
      <c r="F3741" t="s">
        <v>455</v>
      </c>
      <c r="G3741" t="s">
        <v>425</v>
      </c>
      <c r="H3741" t="s">
        <v>426</v>
      </c>
      <c r="I3741" t="s">
        <v>536</v>
      </c>
      <c r="J3741" t="s">
        <v>421</v>
      </c>
      <c r="K3741" t="s">
        <v>427</v>
      </c>
      <c r="L3741" t="s">
        <v>424</v>
      </c>
      <c r="M3741" t="s">
        <v>423</v>
      </c>
      <c r="N3741" t="s">
        <v>421</v>
      </c>
    </row>
    <row r="3742" spans="1:14" ht="15" customHeight="1" x14ac:dyDescent="0.25">
      <c r="A3742" s="82">
        <v>46017</v>
      </c>
      <c r="B3742" t="s">
        <v>430</v>
      </c>
      <c r="C3742" t="s">
        <v>425</v>
      </c>
      <c r="D3742" t="s">
        <v>426</v>
      </c>
      <c r="E3742" t="s">
        <v>427</v>
      </c>
      <c r="F3742" t="s">
        <v>428</v>
      </c>
      <c r="G3742" t="s">
        <v>425</v>
      </c>
      <c r="H3742" t="s">
        <v>429</v>
      </c>
      <c r="I3742" t="s">
        <v>536</v>
      </c>
      <c r="J3742" t="s">
        <v>421</v>
      </c>
      <c r="K3742" t="s">
        <v>455</v>
      </c>
      <c r="L3742" t="s">
        <v>421</v>
      </c>
      <c r="M3742" t="s">
        <v>424</v>
      </c>
      <c r="N3742" t="s">
        <v>423</v>
      </c>
    </row>
    <row r="3743" spans="1:14" ht="15" customHeight="1" x14ac:dyDescent="0.25">
      <c r="A3743" s="82">
        <v>46018</v>
      </c>
      <c r="B3743" t="s">
        <v>430</v>
      </c>
      <c r="C3743" t="s">
        <v>425</v>
      </c>
      <c r="D3743" t="s">
        <v>426</v>
      </c>
      <c r="E3743" t="s">
        <v>455</v>
      </c>
      <c r="F3743" t="s">
        <v>428</v>
      </c>
      <c r="G3743" t="s">
        <v>421</v>
      </c>
      <c r="H3743" t="s">
        <v>427</v>
      </c>
      <c r="I3743" t="s">
        <v>536</v>
      </c>
      <c r="J3743" t="s">
        <v>424</v>
      </c>
      <c r="K3743" t="s">
        <v>429</v>
      </c>
      <c r="L3743" t="s">
        <v>421</v>
      </c>
      <c r="M3743" t="s">
        <v>424</v>
      </c>
      <c r="N3743" t="s">
        <v>423</v>
      </c>
    </row>
    <row r="3744" spans="1:14" ht="15" customHeight="1" x14ac:dyDescent="0.25">
      <c r="A3744" s="82">
        <v>46019</v>
      </c>
      <c r="B3744" t="s">
        <v>430</v>
      </c>
      <c r="C3744" t="s">
        <v>425</v>
      </c>
      <c r="D3744" t="s">
        <v>426</v>
      </c>
      <c r="E3744" t="s">
        <v>427</v>
      </c>
      <c r="F3744" t="s">
        <v>428</v>
      </c>
      <c r="G3744" t="s">
        <v>421</v>
      </c>
      <c r="H3744" t="s">
        <v>455</v>
      </c>
      <c r="I3744" t="s">
        <v>536</v>
      </c>
      <c r="J3744" t="s">
        <v>424</v>
      </c>
      <c r="K3744" t="s">
        <v>429</v>
      </c>
      <c r="L3744" t="s">
        <v>421</v>
      </c>
      <c r="M3744" t="s">
        <v>424</v>
      </c>
      <c r="N3744" t="s">
        <v>423</v>
      </c>
    </row>
    <row r="3745" spans="1:14" ht="15" customHeight="1" x14ac:dyDescent="0.25">
      <c r="A3745" s="82">
        <v>46020</v>
      </c>
      <c r="B3745" t="s">
        <v>430</v>
      </c>
      <c r="C3745" t="s">
        <v>425</v>
      </c>
      <c r="D3745" t="s">
        <v>426</v>
      </c>
      <c r="E3745" t="s">
        <v>455</v>
      </c>
      <c r="F3745" t="s">
        <v>428</v>
      </c>
      <c r="G3745" t="s">
        <v>424</v>
      </c>
      <c r="H3745" t="s">
        <v>427</v>
      </c>
      <c r="I3745" t="s">
        <v>536</v>
      </c>
      <c r="J3745" t="s">
        <v>421</v>
      </c>
      <c r="K3745" t="s">
        <v>429</v>
      </c>
      <c r="L3745" t="s">
        <v>421</v>
      </c>
      <c r="M3745" t="s">
        <v>424</v>
      </c>
      <c r="N3745" t="s">
        <v>423</v>
      </c>
    </row>
    <row r="3746" spans="1:14" ht="15" customHeight="1" x14ac:dyDescent="0.25">
      <c r="A3746" s="82">
        <v>46021</v>
      </c>
      <c r="B3746" t="s">
        <v>430</v>
      </c>
      <c r="C3746" t="s">
        <v>425</v>
      </c>
      <c r="D3746" t="s">
        <v>426</v>
      </c>
      <c r="E3746" t="s">
        <v>421</v>
      </c>
      <c r="F3746" t="s">
        <v>428</v>
      </c>
      <c r="G3746" t="s">
        <v>424</v>
      </c>
      <c r="H3746" t="s">
        <v>455</v>
      </c>
      <c r="I3746" t="s">
        <v>536</v>
      </c>
      <c r="J3746" t="s">
        <v>427</v>
      </c>
      <c r="K3746" t="s">
        <v>429</v>
      </c>
      <c r="L3746" t="s">
        <v>421</v>
      </c>
      <c r="M3746" t="s">
        <v>424</v>
      </c>
      <c r="N3746" t="s">
        <v>423</v>
      </c>
    </row>
    <row r="3747" spans="1:14" ht="15" customHeight="1" x14ac:dyDescent="0.25">
      <c r="A3747" s="82">
        <v>46022</v>
      </c>
      <c r="B3747" t="s">
        <v>430</v>
      </c>
      <c r="C3747" t="s">
        <v>425</v>
      </c>
      <c r="D3747" t="s">
        <v>426</v>
      </c>
      <c r="E3747" t="s">
        <v>421</v>
      </c>
      <c r="F3747" t="s">
        <v>428</v>
      </c>
      <c r="G3747" t="s">
        <v>424</v>
      </c>
      <c r="H3747" t="s">
        <v>427</v>
      </c>
      <c r="I3747" t="s">
        <v>536</v>
      </c>
      <c r="J3747" t="s">
        <v>455</v>
      </c>
      <c r="K3747" t="s">
        <v>429</v>
      </c>
      <c r="L3747" t="s">
        <v>421</v>
      </c>
      <c r="M3747" t="s">
        <v>424</v>
      </c>
      <c r="N3747" t="s">
        <v>423</v>
      </c>
    </row>
    <row r="3748" spans="1:14" ht="15" customHeight="1" x14ac:dyDescent="0.25">
      <c r="A3748" s="82">
        <v>46023</v>
      </c>
      <c r="B3748" t="s">
        <v>430</v>
      </c>
      <c r="C3748" t="s">
        <v>425</v>
      </c>
      <c r="D3748" t="s">
        <v>426</v>
      </c>
      <c r="E3748" t="s">
        <v>421</v>
      </c>
      <c r="F3748" t="s">
        <v>428</v>
      </c>
      <c r="G3748" t="s">
        <v>424</v>
      </c>
      <c r="H3748" t="s">
        <v>455</v>
      </c>
      <c r="I3748" t="s">
        <v>536</v>
      </c>
      <c r="J3748" t="s">
        <v>427</v>
      </c>
      <c r="K3748" t="s">
        <v>429</v>
      </c>
      <c r="L3748" t="s">
        <v>421</v>
      </c>
      <c r="M3748" t="s">
        <v>424</v>
      </c>
      <c r="N3748" t="s">
        <v>423</v>
      </c>
    </row>
    <row r="3749" spans="1:14" ht="15" customHeight="1" x14ac:dyDescent="0.25">
      <c r="A3749" s="82">
        <v>46024</v>
      </c>
      <c r="B3749" t="s">
        <v>428</v>
      </c>
      <c r="C3749" t="s">
        <v>425</v>
      </c>
      <c r="D3749" t="s">
        <v>430</v>
      </c>
      <c r="E3749" t="s">
        <v>429</v>
      </c>
      <c r="F3749" t="s">
        <v>425</v>
      </c>
      <c r="G3749" t="s">
        <v>424</v>
      </c>
      <c r="H3749" t="s">
        <v>421</v>
      </c>
      <c r="I3749" t="s">
        <v>536</v>
      </c>
      <c r="J3749" t="s">
        <v>455</v>
      </c>
      <c r="K3749" t="s">
        <v>427</v>
      </c>
      <c r="L3749" t="s">
        <v>423</v>
      </c>
      <c r="M3749" t="s">
        <v>421</v>
      </c>
      <c r="N3749" t="s">
        <v>428</v>
      </c>
    </row>
    <row r="3750" spans="1:14" ht="15" customHeight="1" x14ac:dyDescent="0.25">
      <c r="A3750" s="82">
        <v>46025</v>
      </c>
      <c r="B3750" t="s">
        <v>428</v>
      </c>
      <c r="C3750" t="s">
        <v>421</v>
      </c>
      <c r="D3750" t="s">
        <v>424</v>
      </c>
      <c r="E3750" t="s">
        <v>429</v>
      </c>
      <c r="F3750" t="s">
        <v>425</v>
      </c>
      <c r="G3750" t="s">
        <v>427</v>
      </c>
      <c r="H3750" t="s">
        <v>430</v>
      </c>
      <c r="I3750" t="s">
        <v>536</v>
      </c>
      <c r="J3750" t="s">
        <v>426</v>
      </c>
      <c r="K3750" t="s">
        <v>455</v>
      </c>
      <c r="L3750" t="s">
        <v>423</v>
      </c>
      <c r="M3750" t="s">
        <v>421</v>
      </c>
      <c r="N3750" t="s">
        <v>428</v>
      </c>
    </row>
    <row r="3751" spans="1:14" ht="15" customHeight="1" x14ac:dyDescent="0.25">
      <c r="A3751" s="82">
        <v>46026</v>
      </c>
      <c r="B3751" t="s">
        <v>428</v>
      </c>
      <c r="C3751" t="s">
        <v>421</v>
      </c>
      <c r="D3751" t="s">
        <v>424</v>
      </c>
      <c r="E3751" t="s">
        <v>429</v>
      </c>
      <c r="F3751" t="s">
        <v>425</v>
      </c>
      <c r="G3751" t="s">
        <v>455</v>
      </c>
      <c r="H3751" t="s">
        <v>430</v>
      </c>
      <c r="I3751" t="s">
        <v>536</v>
      </c>
      <c r="J3751" t="s">
        <v>426</v>
      </c>
      <c r="K3751" t="s">
        <v>427</v>
      </c>
      <c r="L3751" t="s">
        <v>423</v>
      </c>
      <c r="M3751" t="s">
        <v>421</v>
      </c>
      <c r="N3751" t="s">
        <v>428</v>
      </c>
    </row>
    <row r="3752" spans="1:14" ht="15" customHeight="1" x14ac:dyDescent="0.25">
      <c r="A3752" s="82">
        <v>46027</v>
      </c>
      <c r="B3752" t="s">
        <v>428</v>
      </c>
      <c r="C3752" t="s">
        <v>427</v>
      </c>
      <c r="D3752" t="s">
        <v>421</v>
      </c>
      <c r="E3752" t="s">
        <v>426</v>
      </c>
      <c r="F3752" t="s">
        <v>425</v>
      </c>
      <c r="G3752" t="s">
        <v>540</v>
      </c>
      <c r="H3752" t="s">
        <v>424</v>
      </c>
      <c r="I3752" t="s">
        <v>536</v>
      </c>
      <c r="J3752" t="s">
        <v>541</v>
      </c>
      <c r="K3752" t="s">
        <v>455</v>
      </c>
      <c r="L3752" t="s">
        <v>423</v>
      </c>
      <c r="M3752" t="s">
        <v>421</v>
      </c>
      <c r="N3752" t="s">
        <v>428</v>
      </c>
    </row>
    <row r="3753" spans="1:14" ht="15" customHeight="1" x14ac:dyDescent="0.25">
      <c r="A3753" s="82">
        <v>46028</v>
      </c>
      <c r="B3753" t="s">
        <v>428</v>
      </c>
      <c r="C3753" t="s">
        <v>455</v>
      </c>
      <c r="D3753" t="s">
        <v>427</v>
      </c>
      <c r="E3753" t="s">
        <v>426</v>
      </c>
      <c r="F3753" t="s">
        <v>425</v>
      </c>
      <c r="G3753" t="s">
        <v>430</v>
      </c>
      <c r="H3753" t="s">
        <v>421</v>
      </c>
      <c r="I3753" t="s">
        <v>536</v>
      </c>
      <c r="J3753" t="s">
        <v>541</v>
      </c>
      <c r="K3753" t="s">
        <v>542</v>
      </c>
      <c r="L3753" t="s">
        <v>423</v>
      </c>
      <c r="M3753" t="s">
        <v>421</v>
      </c>
      <c r="N3753" t="s">
        <v>428</v>
      </c>
    </row>
    <row r="3754" spans="1:14" ht="15" customHeight="1" x14ac:dyDescent="0.25">
      <c r="A3754" s="82">
        <v>46029</v>
      </c>
      <c r="B3754" t="s">
        <v>428</v>
      </c>
      <c r="C3754" t="s">
        <v>427</v>
      </c>
      <c r="D3754" t="s">
        <v>455</v>
      </c>
      <c r="E3754" t="s">
        <v>426</v>
      </c>
      <c r="F3754" t="s">
        <v>425</v>
      </c>
      <c r="G3754" t="s">
        <v>430</v>
      </c>
      <c r="H3754" t="s">
        <v>421</v>
      </c>
      <c r="I3754" t="s">
        <v>536</v>
      </c>
      <c r="J3754" t="s">
        <v>429</v>
      </c>
      <c r="K3754" t="s">
        <v>542</v>
      </c>
      <c r="L3754" t="s">
        <v>423</v>
      </c>
      <c r="M3754" t="s">
        <v>421</v>
      </c>
      <c r="N3754" t="s">
        <v>424</v>
      </c>
    </row>
    <row r="3755" spans="1:14" ht="15" customHeight="1" x14ac:dyDescent="0.25">
      <c r="A3755" s="82">
        <v>46030</v>
      </c>
      <c r="B3755" t="s">
        <v>428</v>
      </c>
      <c r="C3755" t="s">
        <v>455</v>
      </c>
      <c r="D3755" t="s">
        <v>429</v>
      </c>
      <c r="E3755" t="s">
        <v>426</v>
      </c>
      <c r="F3755" t="s">
        <v>425</v>
      </c>
      <c r="G3755" t="s">
        <v>430</v>
      </c>
      <c r="H3755" t="s">
        <v>427</v>
      </c>
      <c r="I3755" t="s">
        <v>536</v>
      </c>
      <c r="J3755" t="s">
        <v>421</v>
      </c>
      <c r="K3755" t="s">
        <v>542</v>
      </c>
      <c r="L3755" t="s">
        <v>423</v>
      </c>
      <c r="M3755" t="s">
        <v>421</v>
      </c>
      <c r="N3755" t="s">
        <v>424</v>
      </c>
    </row>
    <row r="3756" spans="1:14" ht="15" customHeight="1" x14ac:dyDescent="0.25">
      <c r="A3756" s="82">
        <v>46031</v>
      </c>
      <c r="B3756" t="s">
        <v>425</v>
      </c>
      <c r="C3756" t="s">
        <v>430</v>
      </c>
      <c r="D3756" t="s">
        <v>426</v>
      </c>
      <c r="E3756" t="s">
        <v>427</v>
      </c>
      <c r="F3756" t="s">
        <v>425</v>
      </c>
      <c r="G3756" t="s">
        <v>421</v>
      </c>
      <c r="H3756" t="s">
        <v>455</v>
      </c>
      <c r="I3756" t="s">
        <v>536</v>
      </c>
      <c r="J3756" t="s">
        <v>429</v>
      </c>
      <c r="K3756" t="s">
        <v>542</v>
      </c>
      <c r="L3756" t="s">
        <v>424</v>
      </c>
      <c r="M3756" t="s">
        <v>423</v>
      </c>
      <c r="N3756" t="s">
        <v>421</v>
      </c>
    </row>
    <row r="3757" spans="1:14" ht="15" customHeight="1" x14ac:dyDescent="0.25">
      <c r="A3757" s="82">
        <v>46032</v>
      </c>
      <c r="B3757" t="s">
        <v>425</v>
      </c>
      <c r="C3757" t="s">
        <v>430</v>
      </c>
      <c r="D3757" t="s">
        <v>426</v>
      </c>
      <c r="E3757" t="s">
        <v>455</v>
      </c>
      <c r="F3757" t="s">
        <v>421</v>
      </c>
      <c r="G3757" t="s">
        <v>427</v>
      </c>
      <c r="H3757" t="s">
        <v>428</v>
      </c>
      <c r="I3757" t="s">
        <v>536</v>
      </c>
      <c r="J3757" t="s">
        <v>429</v>
      </c>
      <c r="K3757" t="s">
        <v>424</v>
      </c>
      <c r="L3757" t="s">
        <v>424</v>
      </c>
      <c r="M3757" t="s">
        <v>423</v>
      </c>
      <c r="N3757" t="s">
        <v>421</v>
      </c>
    </row>
    <row r="3758" spans="1:14" ht="15" customHeight="1" x14ac:dyDescent="0.25">
      <c r="A3758" s="82">
        <v>46033</v>
      </c>
      <c r="B3758" t="s">
        <v>425</v>
      </c>
      <c r="C3758" t="s">
        <v>430</v>
      </c>
      <c r="D3758" t="s">
        <v>426</v>
      </c>
      <c r="E3758" t="s">
        <v>427</v>
      </c>
      <c r="F3758" t="s">
        <v>421</v>
      </c>
      <c r="G3758" t="s">
        <v>455</v>
      </c>
      <c r="H3758" t="s">
        <v>428</v>
      </c>
      <c r="I3758" t="s">
        <v>536</v>
      </c>
      <c r="J3758" t="s">
        <v>429</v>
      </c>
      <c r="K3758" t="s">
        <v>424</v>
      </c>
      <c r="L3758" t="s">
        <v>424</v>
      </c>
      <c r="M3758" t="s">
        <v>423</v>
      </c>
      <c r="N3758" t="s">
        <v>421</v>
      </c>
    </row>
    <row r="3759" spans="1:14" ht="15" customHeight="1" x14ac:dyDescent="0.25">
      <c r="A3759" s="82">
        <v>46034</v>
      </c>
      <c r="B3759" t="s">
        <v>425</v>
      </c>
      <c r="C3759" t="s">
        <v>430</v>
      </c>
      <c r="D3759" t="s">
        <v>426</v>
      </c>
      <c r="E3759" t="s">
        <v>455</v>
      </c>
      <c r="F3759" t="s">
        <v>427</v>
      </c>
      <c r="G3759" t="s">
        <v>421</v>
      </c>
      <c r="H3759" t="s">
        <v>428</v>
      </c>
      <c r="I3759" t="s">
        <v>536</v>
      </c>
      <c r="J3759" t="s">
        <v>429</v>
      </c>
      <c r="K3759" t="s">
        <v>424</v>
      </c>
      <c r="L3759" t="s">
        <v>424</v>
      </c>
      <c r="M3759" t="s">
        <v>423</v>
      </c>
      <c r="N3759" t="s">
        <v>421</v>
      </c>
    </row>
    <row r="3760" spans="1:14" ht="15" customHeight="1" x14ac:dyDescent="0.25">
      <c r="A3760" s="82">
        <v>46035</v>
      </c>
      <c r="B3760" t="s">
        <v>425</v>
      </c>
      <c r="C3760" t="s">
        <v>430</v>
      </c>
      <c r="D3760" t="s">
        <v>426</v>
      </c>
      <c r="E3760" t="s">
        <v>421</v>
      </c>
      <c r="F3760" t="s">
        <v>455</v>
      </c>
      <c r="G3760" t="s">
        <v>427</v>
      </c>
      <c r="H3760" t="s">
        <v>428</v>
      </c>
      <c r="I3760" t="s">
        <v>536</v>
      </c>
      <c r="J3760" t="s">
        <v>429</v>
      </c>
      <c r="K3760" t="s">
        <v>424</v>
      </c>
      <c r="L3760" t="s">
        <v>424</v>
      </c>
      <c r="M3760" t="s">
        <v>423</v>
      </c>
      <c r="N3760" t="s">
        <v>421</v>
      </c>
    </row>
    <row r="3761" spans="1:14" ht="15" customHeight="1" x14ac:dyDescent="0.25">
      <c r="A3761" s="82">
        <v>46036</v>
      </c>
      <c r="B3761" t="s">
        <v>425</v>
      </c>
      <c r="C3761" t="s">
        <v>430</v>
      </c>
      <c r="D3761" t="s">
        <v>426</v>
      </c>
      <c r="E3761" t="s">
        <v>421</v>
      </c>
      <c r="F3761" t="s">
        <v>427</v>
      </c>
      <c r="G3761" t="s">
        <v>455</v>
      </c>
      <c r="H3761" t="s">
        <v>428</v>
      </c>
      <c r="I3761" t="s">
        <v>536</v>
      </c>
      <c r="J3761" t="s">
        <v>429</v>
      </c>
      <c r="K3761" t="s">
        <v>424</v>
      </c>
      <c r="L3761" t="s">
        <v>424</v>
      </c>
      <c r="M3761" t="s">
        <v>423</v>
      </c>
      <c r="N3761" t="s">
        <v>421</v>
      </c>
    </row>
    <row r="3762" spans="1:14" ht="15" customHeight="1" x14ac:dyDescent="0.25">
      <c r="A3762" s="82">
        <v>46037</v>
      </c>
      <c r="B3762" t="s">
        <v>425</v>
      </c>
      <c r="C3762" t="s">
        <v>430</v>
      </c>
      <c r="D3762" t="s">
        <v>426</v>
      </c>
      <c r="E3762" t="s">
        <v>427</v>
      </c>
      <c r="F3762" t="s">
        <v>455</v>
      </c>
      <c r="G3762" t="s">
        <v>421</v>
      </c>
      <c r="H3762" t="s">
        <v>428</v>
      </c>
      <c r="I3762" t="s">
        <v>536</v>
      </c>
      <c r="J3762" t="s">
        <v>429</v>
      </c>
      <c r="K3762" t="s">
        <v>424</v>
      </c>
      <c r="L3762" t="s">
        <v>424</v>
      </c>
      <c r="M3762" t="s">
        <v>423</v>
      </c>
      <c r="N3762" t="s">
        <v>421</v>
      </c>
    </row>
    <row r="3763" spans="1:14" ht="15" customHeight="1" x14ac:dyDescent="0.25">
      <c r="A3763" s="82">
        <v>46038</v>
      </c>
      <c r="B3763" t="s">
        <v>425</v>
      </c>
      <c r="C3763" t="s">
        <v>421</v>
      </c>
      <c r="D3763" t="s">
        <v>427</v>
      </c>
      <c r="E3763" t="s">
        <v>455</v>
      </c>
      <c r="F3763" t="s">
        <v>424</v>
      </c>
      <c r="G3763" t="s">
        <v>429</v>
      </c>
      <c r="H3763" t="s">
        <v>425</v>
      </c>
      <c r="I3763" t="s">
        <v>536</v>
      </c>
      <c r="J3763" t="s">
        <v>426</v>
      </c>
      <c r="K3763" t="s">
        <v>430</v>
      </c>
      <c r="L3763" t="s">
        <v>421</v>
      </c>
      <c r="M3763" t="s">
        <v>424</v>
      </c>
      <c r="N3763" t="s">
        <v>423</v>
      </c>
    </row>
    <row r="3764" spans="1:14" ht="15" customHeight="1" x14ac:dyDescent="0.25">
      <c r="A3764" s="82">
        <v>46039</v>
      </c>
      <c r="B3764" t="s">
        <v>421</v>
      </c>
      <c r="C3764" t="s">
        <v>427</v>
      </c>
      <c r="D3764" t="s">
        <v>455</v>
      </c>
      <c r="E3764" t="s">
        <v>428</v>
      </c>
      <c r="F3764" t="s">
        <v>424</v>
      </c>
      <c r="G3764" t="s">
        <v>429</v>
      </c>
      <c r="H3764" t="s">
        <v>425</v>
      </c>
      <c r="I3764" t="s">
        <v>536</v>
      </c>
      <c r="J3764" t="s">
        <v>426</v>
      </c>
      <c r="K3764" t="s">
        <v>430</v>
      </c>
      <c r="L3764" t="s">
        <v>421</v>
      </c>
      <c r="M3764" t="s">
        <v>424</v>
      </c>
      <c r="N3764" t="s">
        <v>423</v>
      </c>
    </row>
    <row r="3765" spans="1:14" ht="15" customHeight="1" x14ac:dyDescent="0.25">
      <c r="A3765" s="82">
        <v>46040</v>
      </c>
      <c r="B3765" t="s">
        <v>421</v>
      </c>
      <c r="C3765" t="s">
        <v>455</v>
      </c>
      <c r="D3765" t="s">
        <v>427</v>
      </c>
      <c r="E3765" t="s">
        <v>428</v>
      </c>
      <c r="F3765" t="s">
        <v>424</v>
      </c>
      <c r="G3765" t="s">
        <v>429</v>
      </c>
      <c r="H3765" t="s">
        <v>425</v>
      </c>
      <c r="I3765" t="s">
        <v>536</v>
      </c>
      <c r="J3765" t="s">
        <v>426</v>
      </c>
      <c r="K3765" t="s">
        <v>430</v>
      </c>
      <c r="L3765" t="s">
        <v>421</v>
      </c>
      <c r="M3765" t="s">
        <v>424</v>
      </c>
      <c r="N3765" t="s">
        <v>423</v>
      </c>
    </row>
    <row r="3766" spans="1:14" ht="15" customHeight="1" x14ac:dyDescent="0.25">
      <c r="A3766" s="82">
        <v>46041</v>
      </c>
      <c r="B3766" t="s">
        <v>427</v>
      </c>
      <c r="C3766" t="s">
        <v>421</v>
      </c>
      <c r="D3766" t="s">
        <v>455</v>
      </c>
      <c r="E3766" t="s">
        <v>428</v>
      </c>
      <c r="F3766" t="s">
        <v>424</v>
      </c>
      <c r="G3766" t="s">
        <v>429</v>
      </c>
      <c r="H3766" t="s">
        <v>425</v>
      </c>
      <c r="I3766" t="s">
        <v>536</v>
      </c>
      <c r="J3766" t="s">
        <v>426</v>
      </c>
      <c r="K3766" t="s">
        <v>430</v>
      </c>
      <c r="L3766" t="s">
        <v>421</v>
      </c>
      <c r="M3766" t="s">
        <v>424</v>
      </c>
      <c r="N3766" t="s">
        <v>423</v>
      </c>
    </row>
    <row r="3767" spans="1:14" ht="15" customHeight="1" x14ac:dyDescent="0.25">
      <c r="A3767" s="82">
        <v>46042</v>
      </c>
      <c r="B3767" t="s">
        <v>455</v>
      </c>
      <c r="C3767" t="s">
        <v>427</v>
      </c>
      <c r="D3767" t="s">
        <v>421</v>
      </c>
      <c r="E3767" t="s">
        <v>428</v>
      </c>
      <c r="F3767" t="s">
        <v>424</v>
      </c>
      <c r="G3767" t="s">
        <v>429</v>
      </c>
      <c r="H3767" t="s">
        <v>425</v>
      </c>
      <c r="I3767" t="s">
        <v>536</v>
      </c>
      <c r="J3767" t="s">
        <v>426</v>
      </c>
      <c r="K3767" t="s">
        <v>430</v>
      </c>
      <c r="L3767" t="s">
        <v>421</v>
      </c>
      <c r="M3767" t="s">
        <v>424</v>
      </c>
      <c r="N3767" t="s">
        <v>423</v>
      </c>
    </row>
    <row r="3768" spans="1:14" ht="15" customHeight="1" x14ac:dyDescent="0.25">
      <c r="A3768" s="82">
        <v>46043</v>
      </c>
      <c r="B3768" t="s">
        <v>427</v>
      </c>
      <c r="C3768" t="s">
        <v>455</v>
      </c>
      <c r="D3768" t="s">
        <v>421</v>
      </c>
      <c r="E3768" t="s">
        <v>428</v>
      </c>
      <c r="F3768" t="s">
        <v>424</v>
      </c>
      <c r="G3768" t="s">
        <v>429</v>
      </c>
      <c r="H3768" t="s">
        <v>425</v>
      </c>
      <c r="I3768" t="s">
        <v>536</v>
      </c>
      <c r="J3768" t="s">
        <v>426</v>
      </c>
      <c r="K3768" t="s">
        <v>430</v>
      </c>
      <c r="L3768" t="s">
        <v>421</v>
      </c>
      <c r="M3768" t="s">
        <v>424</v>
      </c>
      <c r="N3768" t="s">
        <v>423</v>
      </c>
    </row>
    <row r="3769" spans="1:14" ht="15" customHeight="1" x14ac:dyDescent="0.25">
      <c r="A3769" s="82">
        <v>46044</v>
      </c>
      <c r="B3769" t="s">
        <v>455</v>
      </c>
      <c r="C3769" t="s">
        <v>421</v>
      </c>
      <c r="D3769" t="s">
        <v>427</v>
      </c>
      <c r="E3769" t="s">
        <v>428</v>
      </c>
      <c r="F3769" t="s">
        <v>424</v>
      </c>
      <c r="G3769" t="s">
        <v>429</v>
      </c>
      <c r="H3769" t="s">
        <v>425</v>
      </c>
      <c r="I3769" t="s">
        <v>536</v>
      </c>
      <c r="J3769" t="s">
        <v>426</v>
      </c>
      <c r="K3769" t="s">
        <v>430</v>
      </c>
      <c r="L3769" t="s">
        <v>421</v>
      </c>
      <c r="M3769" t="s">
        <v>424</v>
      </c>
      <c r="N3769" t="s">
        <v>423</v>
      </c>
    </row>
    <row r="3770" spans="1:14" ht="15" customHeight="1" x14ac:dyDescent="0.25">
      <c r="A3770" s="82">
        <v>46045</v>
      </c>
      <c r="B3770" t="s">
        <v>424</v>
      </c>
      <c r="C3770" t="s">
        <v>429</v>
      </c>
      <c r="D3770" t="s">
        <v>455</v>
      </c>
      <c r="E3770" t="s">
        <v>425</v>
      </c>
      <c r="F3770" t="s">
        <v>430</v>
      </c>
      <c r="G3770" t="s">
        <v>426</v>
      </c>
      <c r="H3770" t="s">
        <v>425</v>
      </c>
      <c r="I3770" t="s">
        <v>421</v>
      </c>
      <c r="J3770" t="s">
        <v>427</v>
      </c>
      <c r="L3770" t="s">
        <v>423</v>
      </c>
      <c r="M3770" t="s">
        <v>421</v>
      </c>
      <c r="N3770" t="s">
        <v>424</v>
      </c>
    </row>
    <row r="3771" spans="1:14" ht="15" customHeight="1" x14ac:dyDescent="0.25">
      <c r="A3771" s="82">
        <v>46046</v>
      </c>
      <c r="B3771" t="s">
        <v>424</v>
      </c>
      <c r="C3771" t="s">
        <v>429</v>
      </c>
      <c r="D3771" t="s">
        <v>428</v>
      </c>
      <c r="E3771" t="s">
        <v>425</v>
      </c>
      <c r="F3771" t="s">
        <v>430</v>
      </c>
      <c r="G3771" t="s">
        <v>426</v>
      </c>
      <c r="H3771" t="s">
        <v>421</v>
      </c>
      <c r="I3771" t="s">
        <v>427</v>
      </c>
      <c r="J3771" t="s">
        <v>455</v>
      </c>
      <c r="L3771" t="s">
        <v>423</v>
      </c>
      <c r="M3771" t="s">
        <v>421</v>
      </c>
      <c r="N3771" t="s">
        <v>424</v>
      </c>
    </row>
    <row r="3772" spans="1:14" ht="15" customHeight="1" x14ac:dyDescent="0.25">
      <c r="A3772" s="82">
        <v>46047</v>
      </c>
      <c r="B3772" t="s">
        <v>424</v>
      </c>
      <c r="C3772" t="s">
        <v>429</v>
      </c>
      <c r="D3772" t="s">
        <v>428</v>
      </c>
      <c r="E3772" t="s">
        <v>425</v>
      </c>
      <c r="F3772" t="s">
        <v>430</v>
      </c>
      <c r="G3772" t="s">
        <v>426</v>
      </c>
      <c r="H3772" t="s">
        <v>421</v>
      </c>
      <c r="I3772" t="s">
        <v>455</v>
      </c>
      <c r="J3772" t="s">
        <v>427</v>
      </c>
      <c r="L3772" t="s">
        <v>423</v>
      </c>
      <c r="M3772" t="s">
        <v>421</v>
      </c>
      <c r="N3772" t="s">
        <v>424</v>
      </c>
    </row>
    <row r="3773" spans="1:14" ht="15" customHeight="1" x14ac:dyDescent="0.25">
      <c r="A3773" s="82">
        <v>46048</v>
      </c>
      <c r="B3773" t="s">
        <v>424</v>
      </c>
      <c r="C3773" t="s">
        <v>429</v>
      </c>
      <c r="D3773" t="s">
        <v>428</v>
      </c>
      <c r="E3773" t="s">
        <v>425</v>
      </c>
      <c r="F3773" t="s">
        <v>430</v>
      </c>
      <c r="G3773" t="s">
        <v>426</v>
      </c>
      <c r="H3773" t="s">
        <v>427</v>
      </c>
      <c r="I3773" t="s">
        <v>421</v>
      </c>
      <c r="J3773" t="s">
        <v>455</v>
      </c>
      <c r="L3773" t="s">
        <v>423</v>
      </c>
      <c r="M3773" t="s">
        <v>421</v>
      </c>
      <c r="N3773" t="s">
        <v>424</v>
      </c>
    </row>
    <row r="3774" spans="1:14" ht="15" customHeight="1" x14ac:dyDescent="0.25">
      <c r="A3774" s="82">
        <v>46049</v>
      </c>
      <c r="B3774" t="s">
        <v>424</v>
      </c>
      <c r="C3774" t="s">
        <v>429</v>
      </c>
      <c r="D3774" t="s">
        <v>428</v>
      </c>
      <c r="E3774" t="s">
        <v>425</v>
      </c>
      <c r="F3774" t="s">
        <v>430</v>
      </c>
      <c r="G3774" t="s">
        <v>426</v>
      </c>
      <c r="H3774" t="s">
        <v>455</v>
      </c>
      <c r="I3774" t="s">
        <v>427</v>
      </c>
      <c r="J3774" t="s">
        <v>421</v>
      </c>
      <c r="L3774" t="s">
        <v>423</v>
      </c>
      <c r="M3774" t="s">
        <v>421</v>
      </c>
      <c r="N3774" t="s">
        <v>424</v>
      </c>
    </row>
    <row r="3775" spans="1:14" ht="15" customHeight="1" x14ac:dyDescent="0.25">
      <c r="A3775" s="82">
        <v>46050</v>
      </c>
      <c r="B3775" t="s">
        <v>424</v>
      </c>
      <c r="C3775" t="s">
        <v>429</v>
      </c>
      <c r="D3775" t="s">
        <v>428</v>
      </c>
      <c r="E3775" t="s">
        <v>425</v>
      </c>
      <c r="F3775" t="s">
        <v>430</v>
      </c>
      <c r="G3775" t="s">
        <v>426</v>
      </c>
      <c r="H3775" t="s">
        <v>427</v>
      </c>
      <c r="I3775" t="s">
        <v>455</v>
      </c>
      <c r="J3775" t="s">
        <v>421</v>
      </c>
      <c r="L3775" t="s">
        <v>423</v>
      </c>
      <c r="M3775" t="s">
        <v>421</v>
      </c>
      <c r="N3775" t="s">
        <v>424</v>
      </c>
    </row>
    <row r="3776" spans="1:14" ht="15" customHeight="1" x14ac:dyDescent="0.25">
      <c r="A3776" s="82">
        <v>46051</v>
      </c>
      <c r="B3776" t="s">
        <v>424</v>
      </c>
      <c r="C3776" t="s">
        <v>429</v>
      </c>
      <c r="D3776" t="s">
        <v>428</v>
      </c>
      <c r="E3776" t="s">
        <v>425</v>
      </c>
      <c r="F3776" t="s">
        <v>430</v>
      </c>
      <c r="G3776" t="s">
        <v>426</v>
      </c>
      <c r="H3776" t="s">
        <v>455</v>
      </c>
      <c r="I3776" t="s">
        <v>421</v>
      </c>
      <c r="J3776" t="s">
        <v>427</v>
      </c>
      <c r="L3776" t="s">
        <v>423</v>
      </c>
      <c r="M3776" t="s">
        <v>421</v>
      </c>
      <c r="N3776" t="s">
        <v>424</v>
      </c>
    </row>
    <row r="3777" spans="1:14" ht="15" customHeight="1" x14ac:dyDescent="0.25">
      <c r="A3777" s="82">
        <v>46052</v>
      </c>
      <c r="B3777" t="s">
        <v>430</v>
      </c>
      <c r="C3777" t="s">
        <v>426</v>
      </c>
      <c r="D3777" t="s">
        <v>425</v>
      </c>
      <c r="E3777" t="s">
        <v>425</v>
      </c>
      <c r="F3777" t="s">
        <v>421</v>
      </c>
      <c r="G3777" t="s">
        <v>427</v>
      </c>
      <c r="H3777" t="s">
        <v>424</v>
      </c>
      <c r="I3777" t="s">
        <v>429</v>
      </c>
      <c r="J3777" t="s">
        <v>455</v>
      </c>
      <c r="L3777" t="s">
        <v>428</v>
      </c>
      <c r="M3777" t="s">
        <v>423</v>
      </c>
      <c r="N3777" t="s">
        <v>421</v>
      </c>
    </row>
    <row r="3778" spans="1:14" ht="15" customHeight="1" x14ac:dyDescent="0.25">
      <c r="A3778" s="82">
        <v>46053</v>
      </c>
      <c r="B3778" t="s">
        <v>430</v>
      </c>
      <c r="C3778" t="s">
        <v>426</v>
      </c>
      <c r="D3778" t="s">
        <v>425</v>
      </c>
      <c r="E3778" t="s">
        <v>421</v>
      </c>
      <c r="F3778" t="s">
        <v>427</v>
      </c>
      <c r="G3778" t="s">
        <v>455</v>
      </c>
      <c r="H3778" t="s">
        <v>424</v>
      </c>
      <c r="I3778" t="s">
        <v>429</v>
      </c>
      <c r="J3778" t="s">
        <v>428</v>
      </c>
      <c r="L3778" t="s">
        <v>428</v>
      </c>
      <c r="M3778" t="s">
        <v>423</v>
      </c>
      <c r="N3778" t="s">
        <v>421</v>
      </c>
    </row>
    <row r="3779" spans="1:14" ht="15" customHeight="1" x14ac:dyDescent="0.25">
      <c r="A3779" s="82">
        <v>46054</v>
      </c>
      <c r="B3779" t="s">
        <v>430</v>
      </c>
      <c r="C3779" t="s">
        <v>426</v>
      </c>
      <c r="D3779" t="s">
        <v>425</v>
      </c>
      <c r="E3779" t="s">
        <v>421</v>
      </c>
      <c r="F3779" t="s">
        <v>455</v>
      </c>
      <c r="G3779" t="s">
        <v>427</v>
      </c>
      <c r="H3779" t="s">
        <v>424</v>
      </c>
      <c r="I3779" t="s">
        <v>429</v>
      </c>
      <c r="J3779" t="s">
        <v>428</v>
      </c>
      <c r="L3779" t="s">
        <v>428</v>
      </c>
      <c r="M3779" t="s">
        <v>423</v>
      </c>
      <c r="N3779" t="s">
        <v>421</v>
      </c>
    </row>
    <row r="3780" spans="1:14" ht="15" customHeight="1" x14ac:dyDescent="0.25">
      <c r="A3780" s="82">
        <v>46055</v>
      </c>
      <c r="B3780" t="s">
        <v>430</v>
      </c>
      <c r="C3780" t="s">
        <v>426</v>
      </c>
      <c r="D3780" t="s">
        <v>425</v>
      </c>
      <c r="E3780" t="s">
        <v>427</v>
      </c>
      <c r="F3780" t="s">
        <v>421</v>
      </c>
      <c r="G3780" t="s">
        <v>455</v>
      </c>
      <c r="H3780" t="s">
        <v>424</v>
      </c>
      <c r="I3780" t="s">
        <v>429</v>
      </c>
      <c r="J3780" t="s">
        <v>428</v>
      </c>
      <c r="L3780" t="s">
        <v>428</v>
      </c>
      <c r="M3780" t="s">
        <v>423</v>
      </c>
      <c r="N3780" t="s">
        <v>421</v>
      </c>
    </row>
    <row r="3781" spans="1:14" ht="15" customHeight="1" x14ac:dyDescent="0.25">
      <c r="A3781" s="82">
        <v>46056</v>
      </c>
      <c r="B3781" t="s">
        <v>430</v>
      </c>
      <c r="C3781" t="s">
        <v>426</v>
      </c>
      <c r="D3781" t="s">
        <v>425</v>
      </c>
      <c r="E3781" t="s">
        <v>455</v>
      </c>
      <c r="F3781" t="s">
        <v>427</v>
      </c>
      <c r="G3781" t="s">
        <v>421</v>
      </c>
      <c r="H3781" t="s">
        <v>424</v>
      </c>
      <c r="I3781" t="s">
        <v>429</v>
      </c>
      <c r="J3781" t="s">
        <v>428</v>
      </c>
      <c r="L3781" t="s">
        <v>428</v>
      </c>
      <c r="M3781" t="s">
        <v>423</v>
      </c>
      <c r="N3781" t="s">
        <v>421</v>
      </c>
    </row>
    <row r="3782" spans="1:14" ht="15" customHeight="1" x14ac:dyDescent="0.25">
      <c r="A3782" s="82">
        <v>46057</v>
      </c>
      <c r="B3782" t="s">
        <v>430</v>
      </c>
      <c r="C3782" t="s">
        <v>426</v>
      </c>
      <c r="D3782" t="s">
        <v>425</v>
      </c>
      <c r="E3782" t="s">
        <v>427</v>
      </c>
      <c r="F3782" t="s">
        <v>455</v>
      </c>
      <c r="G3782" t="s">
        <v>421</v>
      </c>
      <c r="H3782" t="s">
        <v>424</v>
      </c>
      <c r="I3782" t="s">
        <v>429</v>
      </c>
      <c r="J3782" t="s">
        <v>428</v>
      </c>
      <c r="L3782" t="s">
        <v>424</v>
      </c>
      <c r="M3782" t="s">
        <v>423</v>
      </c>
      <c r="N3782" t="s">
        <v>421</v>
      </c>
    </row>
    <row r="3783" spans="1:14" ht="15" customHeight="1" x14ac:dyDescent="0.25">
      <c r="A3783" s="82">
        <v>46058</v>
      </c>
      <c r="B3783" t="s">
        <v>430</v>
      </c>
      <c r="C3783" t="s">
        <v>426</v>
      </c>
      <c r="D3783" t="s">
        <v>425</v>
      </c>
      <c r="E3783" t="s">
        <v>455</v>
      </c>
      <c r="F3783" t="s">
        <v>421</v>
      </c>
      <c r="G3783" t="s">
        <v>427</v>
      </c>
      <c r="H3783" t="s">
        <v>424</v>
      </c>
      <c r="I3783" t="s">
        <v>429</v>
      </c>
      <c r="J3783" t="s">
        <v>428</v>
      </c>
      <c r="L3783" t="s">
        <v>424</v>
      </c>
      <c r="M3783" t="s">
        <v>423</v>
      </c>
      <c r="N3783" t="s">
        <v>421</v>
      </c>
    </row>
    <row r="3784" spans="1:14" ht="15" customHeight="1" x14ac:dyDescent="0.25">
      <c r="A3784" s="82">
        <v>46059</v>
      </c>
      <c r="B3784" t="s">
        <v>421</v>
      </c>
      <c r="C3784" t="s">
        <v>427</v>
      </c>
      <c r="D3784" t="s">
        <v>425</v>
      </c>
      <c r="E3784" t="s">
        <v>424</v>
      </c>
      <c r="F3784" t="s">
        <v>429</v>
      </c>
      <c r="G3784" t="s">
        <v>455</v>
      </c>
      <c r="H3784" t="s">
        <v>430</v>
      </c>
      <c r="I3784" t="s">
        <v>426</v>
      </c>
      <c r="J3784" t="s">
        <v>425</v>
      </c>
      <c r="L3784" t="s">
        <v>421</v>
      </c>
      <c r="M3784" t="s">
        <v>424</v>
      </c>
      <c r="N3784" t="s">
        <v>423</v>
      </c>
    </row>
    <row r="3785" spans="1:14" ht="15" customHeight="1" x14ac:dyDescent="0.25">
      <c r="A3785" s="82">
        <v>46060</v>
      </c>
      <c r="B3785" t="s">
        <v>427</v>
      </c>
      <c r="C3785" t="s">
        <v>455</v>
      </c>
      <c r="D3785" t="s">
        <v>421</v>
      </c>
      <c r="E3785" t="s">
        <v>424</v>
      </c>
      <c r="F3785" t="s">
        <v>429</v>
      </c>
      <c r="G3785" t="s">
        <v>428</v>
      </c>
      <c r="H3785" t="s">
        <v>430</v>
      </c>
      <c r="I3785" t="s">
        <v>426</v>
      </c>
      <c r="J3785" t="s">
        <v>425</v>
      </c>
      <c r="L3785" t="s">
        <v>421</v>
      </c>
      <c r="M3785" t="s">
        <v>424</v>
      </c>
      <c r="N3785" t="s">
        <v>423</v>
      </c>
    </row>
    <row r="3786" spans="1:14" ht="15" customHeight="1" x14ac:dyDescent="0.25">
      <c r="A3786" s="82">
        <v>46061</v>
      </c>
      <c r="B3786" t="s">
        <v>455</v>
      </c>
      <c r="C3786" t="s">
        <v>427</v>
      </c>
      <c r="D3786" t="s">
        <v>421</v>
      </c>
      <c r="E3786" t="s">
        <v>424</v>
      </c>
      <c r="F3786" t="s">
        <v>429</v>
      </c>
      <c r="G3786" t="s">
        <v>428</v>
      </c>
      <c r="H3786" t="s">
        <v>430</v>
      </c>
      <c r="I3786" t="s">
        <v>426</v>
      </c>
      <c r="J3786" t="s">
        <v>425</v>
      </c>
      <c r="L3786" t="s">
        <v>421</v>
      </c>
      <c r="M3786" t="s">
        <v>424</v>
      </c>
      <c r="N3786" t="s">
        <v>423</v>
      </c>
    </row>
    <row r="3787" spans="1:14" ht="15" customHeight="1" x14ac:dyDescent="0.25">
      <c r="A3787" s="82">
        <v>46062</v>
      </c>
      <c r="B3787" t="s">
        <v>421</v>
      </c>
      <c r="C3787" t="s">
        <v>455</v>
      </c>
      <c r="D3787" t="s">
        <v>427</v>
      </c>
      <c r="E3787" t="s">
        <v>424</v>
      </c>
      <c r="F3787" t="s">
        <v>429</v>
      </c>
      <c r="G3787" t="s">
        <v>428</v>
      </c>
      <c r="H3787" t="s">
        <v>430</v>
      </c>
      <c r="I3787" t="s">
        <v>426</v>
      </c>
      <c r="J3787" t="s">
        <v>425</v>
      </c>
      <c r="L3787" t="s">
        <v>421</v>
      </c>
      <c r="M3787" t="s">
        <v>424</v>
      </c>
      <c r="N3787" t="s">
        <v>423</v>
      </c>
    </row>
    <row r="3788" spans="1:14" ht="15" customHeight="1" x14ac:dyDescent="0.25">
      <c r="A3788" s="82">
        <v>46063</v>
      </c>
      <c r="B3788" t="s">
        <v>427</v>
      </c>
      <c r="C3788" t="s">
        <v>421</v>
      </c>
      <c r="D3788" t="s">
        <v>455</v>
      </c>
      <c r="E3788" t="s">
        <v>424</v>
      </c>
      <c r="F3788" t="s">
        <v>429</v>
      </c>
      <c r="G3788" t="s">
        <v>428</v>
      </c>
      <c r="H3788" t="s">
        <v>430</v>
      </c>
      <c r="I3788" t="s">
        <v>426</v>
      </c>
      <c r="J3788" t="s">
        <v>425</v>
      </c>
      <c r="L3788" t="s">
        <v>421</v>
      </c>
      <c r="M3788" t="s">
        <v>424</v>
      </c>
      <c r="N3788" t="s">
        <v>423</v>
      </c>
    </row>
    <row r="3789" spans="1:14" ht="15" customHeight="1" x14ac:dyDescent="0.25">
      <c r="A3789" s="82">
        <v>46064</v>
      </c>
      <c r="B3789" t="s">
        <v>455</v>
      </c>
      <c r="C3789" t="s">
        <v>421</v>
      </c>
      <c r="D3789" t="s">
        <v>427</v>
      </c>
      <c r="E3789" t="s">
        <v>424</v>
      </c>
      <c r="F3789" t="s">
        <v>429</v>
      </c>
      <c r="G3789" t="s">
        <v>428</v>
      </c>
      <c r="H3789" t="s">
        <v>430</v>
      </c>
      <c r="I3789" t="s">
        <v>426</v>
      </c>
      <c r="J3789" t="s">
        <v>425</v>
      </c>
      <c r="L3789" t="s">
        <v>421</v>
      </c>
      <c r="M3789" t="s">
        <v>424</v>
      </c>
      <c r="N3789" t="s">
        <v>423</v>
      </c>
    </row>
    <row r="3790" spans="1:14" ht="15" customHeight="1" x14ac:dyDescent="0.25">
      <c r="A3790" s="82">
        <v>46065</v>
      </c>
      <c r="B3790" t="s">
        <v>421</v>
      </c>
      <c r="C3790" t="s">
        <v>427</v>
      </c>
      <c r="D3790" t="s">
        <v>455</v>
      </c>
      <c r="E3790" t="s">
        <v>424</v>
      </c>
      <c r="F3790" t="s">
        <v>429</v>
      </c>
      <c r="G3790" t="s">
        <v>428</v>
      </c>
      <c r="H3790" t="s">
        <v>430</v>
      </c>
      <c r="I3790" t="s">
        <v>426</v>
      </c>
      <c r="J3790" t="s">
        <v>425</v>
      </c>
      <c r="L3790" t="s">
        <v>421</v>
      </c>
      <c r="M3790" t="s">
        <v>424</v>
      </c>
      <c r="N3790" t="s">
        <v>423</v>
      </c>
    </row>
    <row r="3791" spans="1:14" ht="15" customHeight="1" x14ac:dyDescent="0.25">
      <c r="A3791" s="82">
        <v>46066</v>
      </c>
      <c r="B3791" t="s">
        <v>429</v>
      </c>
      <c r="C3791" t="s">
        <v>455</v>
      </c>
      <c r="D3791" t="s">
        <v>424</v>
      </c>
      <c r="E3791" t="s">
        <v>430</v>
      </c>
      <c r="F3791" t="s">
        <v>426</v>
      </c>
      <c r="G3791" t="s">
        <v>425</v>
      </c>
      <c r="H3791" t="s">
        <v>421</v>
      </c>
      <c r="I3791" t="s">
        <v>427</v>
      </c>
      <c r="J3791" t="s">
        <v>425</v>
      </c>
      <c r="L3791" t="s">
        <v>423</v>
      </c>
      <c r="M3791" t="s">
        <v>421</v>
      </c>
      <c r="N3791" t="s">
        <v>424</v>
      </c>
    </row>
    <row r="3792" spans="1:14" ht="15" customHeight="1" x14ac:dyDescent="0.25">
      <c r="A3792" s="82">
        <v>46067</v>
      </c>
      <c r="B3792" t="s">
        <v>429</v>
      </c>
      <c r="C3792" t="s">
        <v>428</v>
      </c>
      <c r="D3792" t="s">
        <v>424</v>
      </c>
      <c r="E3792" t="s">
        <v>430</v>
      </c>
      <c r="F3792" t="s">
        <v>426</v>
      </c>
      <c r="G3792" t="s">
        <v>425</v>
      </c>
      <c r="H3792" t="s">
        <v>427</v>
      </c>
      <c r="I3792" t="s">
        <v>455</v>
      </c>
      <c r="J3792" t="s">
        <v>421</v>
      </c>
      <c r="L3792" t="s">
        <v>423</v>
      </c>
      <c r="M3792" t="s">
        <v>421</v>
      </c>
      <c r="N3792" t="s">
        <v>424</v>
      </c>
    </row>
    <row r="3793" spans="1:14" ht="15" customHeight="1" x14ac:dyDescent="0.25">
      <c r="A3793" s="82">
        <v>46068</v>
      </c>
      <c r="B3793" t="s">
        <v>429</v>
      </c>
      <c r="C3793" t="s">
        <v>428</v>
      </c>
      <c r="D3793" t="s">
        <v>424</v>
      </c>
      <c r="E3793" t="s">
        <v>430</v>
      </c>
      <c r="F3793" t="s">
        <v>426</v>
      </c>
      <c r="G3793" t="s">
        <v>425</v>
      </c>
      <c r="H3793" t="s">
        <v>455</v>
      </c>
      <c r="I3793" t="s">
        <v>427</v>
      </c>
      <c r="J3793" t="s">
        <v>421</v>
      </c>
      <c r="L3793" t="s">
        <v>423</v>
      </c>
      <c r="M3793" t="s">
        <v>421</v>
      </c>
      <c r="N3793" t="s">
        <v>424</v>
      </c>
    </row>
    <row r="3794" spans="1:14" ht="15" customHeight="1" x14ac:dyDescent="0.25">
      <c r="A3794" s="82">
        <v>46069</v>
      </c>
      <c r="B3794" t="s">
        <v>429</v>
      </c>
      <c r="C3794" t="s">
        <v>428</v>
      </c>
      <c r="D3794" t="s">
        <v>424</v>
      </c>
      <c r="E3794" t="s">
        <v>430</v>
      </c>
      <c r="F3794" t="s">
        <v>426</v>
      </c>
      <c r="G3794" t="s">
        <v>425</v>
      </c>
      <c r="H3794" t="s">
        <v>421</v>
      </c>
      <c r="I3794" t="s">
        <v>455</v>
      </c>
      <c r="J3794" t="s">
        <v>427</v>
      </c>
      <c r="L3794" t="s">
        <v>423</v>
      </c>
      <c r="M3794" t="s">
        <v>421</v>
      </c>
      <c r="N3794" t="s">
        <v>424</v>
      </c>
    </row>
    <row r="3795" spans="1:14" ht="15" customHeight="1" x14ac:dyDescent="0.25">
      <c r="A3795" s="82">
        <v>46070</v>
      </c>
      <c r="B3795" t="s">
        <v>429</v>
      </c>
      <c r="C3795" t="s">
        <v>428</v>
      </c>
      <c r="D3795" t="s">
        <v>424</v>
      </c>
      <c r="E3795" t="s">
        <v>430</v>
      </c>
      <c r="F3795" t="s">
        <v>426</v>
      </c>
      <c r="G3795" t="s">
        <v>425</v>
      </c>
      <c r="H3795" t="s">
        <v>427</v>
      </c>
      <c r="I3795" t="s">
        <v>421</v>
      </c>
      <c r="J3795" t="s">
        <v>455</v>
      </c>
      <c r="L3795" t="s">
        <v>423</v>
      </c>
      <c r="M3795" t="s">
        <v>421</v>
      </c>
      <c r="N3795" t="s">
        <v>424</v>
      </c>
    </row>
    <row r="3796" spans="1:14" ht="15" customHeight="1" x14ac:dyDescent="0.25">
      <c r="A3796" s="82">
        <v>46071</v>
      </c>
      <c r="B3796" t="s">
        <v>429</v>
      </c>
      <c r="C3796" t="s">
        <v>428</v>
      </c>
      <c r="D3796" t="s">
        <v>424</v>
      </c>
      <c r="E3796" t="s">
        <v>430</v>
      </c>
      <c r="F3796" t="s">
        <v>426</v>
      </c>
      <c r="G3796" t="s">
        <v>425</v>
      </c>
      <c r="H3796" t="s">
        <v>455</v>
      </c>
      <c r="I3796" t="s">
        <v>421</v>
      </c>
      <c r="J3796" t="s">
        <v>427</v>
      </c>
      <c r="L3796" t="s">
        <v>423</v>
      </c>
      <c r="M3796" t="s">
        <v>421</v>
      </c>
      <c r="N3796" t="s">
        <v>424</v>
      </c>
    </row>
    <row r="3797" spans="1:14" ht="15" customHeight="1" x14ac:dyDescent="0.25">
      <c r="A3797" s="82">
        <v>46072</v>
      </c>
      <c r="B3797" t="s">
        <v>429</v>
      </c>
      <c r="C3797" t="s">
        <v>428</v>
      </c>
      <c r="D3797" t="s">
        <v>424</v>
      </c>
      <c r="E3797" t="s">
        <v>430</v>
      </c>
      <c r="F3797" t="s">
        <v>426</v>
      </c>
      <c r="G3797" t="s">
        <v>425</v>
      </c>
      <c r="H3797" t="s">
        <v>421</v>
      </c>
      <c r="I3797" t="s">
        <v>427</v>
      </c>
      <c r="J3797" t="s">
        <v>455</v>
      </c>
      <c r="L3797" t="s">
        <v>423</v>
      </c>
      <c r="M3797" t="s">
        <v>421</v>
      </c>
      <c r="N3797" t="s">
        <v>424</v>
      </c>
    </row>
    <row r="3798" spans="1:14" ht="15" customHeight="1" x14ac:dyDescent="0.25">
      <c r="A3798" s="82">
        <v>46073</v>
      </c>
      <c r="B3798" t="s">
        <v>426</v>
      </c>
      <c r="C3798" t="s">
        <v>425</v>
      </c>
      <c r="D3798" t="s">
        <v>430</v>
      </c>
      <c r="E3798" t="s">
        <v>421</v>
      </c>
      <c r="F3798" t="s">
        <v>427</v>
      </c>
      <c r="G3798" t="s">
        <v>425</v>
      </c>
      <c r="H3798" t="s">
        <v>429</v>
      </c>
      <c r="I3798" t="s">
        <v>455</v>
      </c>
      <c r="J3798" t="s">
        <v>424</v>
      </c>
      <c r="L3798" t="s">
        <v>424</v>
      </c>
      <c r="M3798" t="s">
        <v>423</v>
      </c>
      <c r="N3798" t="s">
        <v>421</v>
      </c>
    </row>
    <row r="3799" spans="1:14" ht="15" customHeight="1" x14ac:dyDescent="0.25">
      <c r="A3799" s="82">
        <v>46074</v>
      </c>
      <c r="B3799" t="s">
        <v>426</v>
      </c>
      <c r="C3799" t="s">
        <v>425</v>
      </c>
      <c r="D3799" t="s">
        <v>430</v>
      </c>
      <c r="E3799" t="s">
        <v>427</v>
      </c>
      <c r="F3799" t="s">
        <v>455</v>
      </c>
      <c r="G3799" t="s">
        <v>421</v>
      </c>
      <c r="H3799" t="s">
        <v>429</v>
      </c>
      <c r="I3799" t="s">
        <v>428</v>
      </c>
      <c r="J3799" t="s">
        <v>424</v>
      </c>
      <c r="L3799" t="s">
        <v>424</v>
      </c>
      <c r="M3799" t="s">
        <v>423</v>
      </c>
      <c r="N3799" t="s">
        <v>421</v>
      </c>
    </row>
    <row r="3800" spans="1:14" ht="15" customHeight="1" x14ac:dyDescent="0.25">
      <c r="A3800" s="82">
        <v>46075</v>
      </c>
      <c r="B3800" t="s">
        <v>426</v>
      </c>
      <c r="C3800" t="s">
        <v>425</v>
      </c>
      <c r="D3800" t="s">
        <v>430</v>
      </c>
      <c r="E3800" t="s">
        <v>455</v>
      </c>
      <c r="F3800" t="s">
        <v>427</v>
      </c>
      <c r="G3800" t="s">
        <v>421</v>
      </c>
      <c r="H3800" t="s">
        <v>429</v>
      </c>
      <c r="I3800" t="s">
        <v>428</v>
      </c>
      <c r="J3800" t="s">
        <v>424</v>
      </c>
      <c r="L3800" t="s">
        <v>424</v>
      </c>
      <c r="M3800" t="s">
        <v>423</v>
      </c>
      <c r="N3800" t="s">
        <v>421</v>
      </c>
    </row>
    <row r="3801" spans="1:14" ht="15" customHeight="1" x14ac:dyDescent="0.25">
      <c r="A3801" s="82">
        <v>46076</v>
      </c>
      <c r="B3801" t="s">
        <v>426</v>
      </c>
      <c r="C3801" t="s">
        <v>425</v>
      </c>
      <c r="D3801" t="s">
        <v>430</v>
      </c>
      <c r="E3801" t="s">
        <v>421</v>
      </c>
      <c r="F3801" t="s">
        <v>455</v>
      </c>
      <c r="G3801" t="s">
        <v>427</v>
      </c>
      <c r="H3801" t="s">
        <v>429</v>
      </c>
      <c r="I3801" t="s">
        <v>428</v>
      </c>
      <c r="J3801" t="s">
        <v>424</v>
      </c>
      <c r="L3801" t="s">
        <v>424</v>
      </c>
      <c r="M3801" t="s">
        <v>423</v>
      </c>
      <c r="N3801" t="s">
        <v>421</v>
      </c>
    </row>
    <row r="3802" spans="1:14" ht="15" customHeight="1" x14ac:dyDescent="0.25">
      <c r="A3802" s="82">
        <v>46077</v>
      </c>
      <c r="B3802" t="s">
        <v>426</v>
      </c>
      <c r="C3802" t="s">
        <v>425</v>
      </c>
      <c r="D3802" t="s">
        <v>430</v>
      </c>
      <c r="E3802" t="s">
        <v>427</v>
      </c>
      <c r="F3802" t="s">
        <v>421</v>
      </c>
      <c r="G3802" t="s">
        <v>455</v>
      </c>
      <c r="H3802" t="s">
        <v>429</v>
      </c>
      <c r="I3802" t="s">
        <v>428</v>
      </c>
      <c r="J3802" t="s">
        <v>424</v>
      </c>
      <c r="L3802" t="s">
        <v>424</v>
      </c>
      <c r="M3802" t="s">
        <v>423</v>
      </c>
      <c r="N3802" t="s">
        <v>421</v>
      </c>
    </row>
    <row r="3803" spans="1:14" ht="15" customHeight="1" x14ac:dyDescent="0.25">
      <c r="A3803" s="82">
        <v>46078</v>
      </c>
      <c r="B3803" t="s">
        <v>426</v>
      </c>
      <c r="C3803" t="s">
        <v>425</v>
      </c>
      <c r="D3803" t="s">
        <v>430</v>
      </c>
      <c r="E3803" t="s">
        <v>455</v>
      </c>
      <c r="F3803" t="s">
        <v>421</v>
      </c>
      <c r="G3803" t="s">
        <v>427</v>
      </c>
      <c r="H3803" t="s">
        <v>429</v>
      </c>
      <c r="I3803" t="s">
        <v>428</v>
      </c>
      <c r="J3803" t="s">
        <v>424</v>
      </c>
      <c r="L3803" t="s">
        <v>424</v>
      </c>
      <c r="M3803" t="s">
        <v>423</v>
      </c>
      <c r="N3803" t="s">
        <v>421</v>
      </c>
    </row>
    <row r="3804" spans="1:14" ht="15" customHeight="1" x14ac:dyDescent="0.25">
      <c r="A3804" s="82">
        <v>46079</v>
      </c>
      <c r="B3804" t="s">
        <v>426</v>
      </c>
      <c r="C3804" t="s">
        <v>425</v>
      </c>
      <c r="D3804" t="s">
        <v>430</v>
      </c>
      <c r="E3804" t="s">
        <v>421</v>
      </c>
      <c r="F3804" t="s">
        <v>427</v>
      </c>
      <c r="G3804" t="s">
        <v>455</v>
      </c>
      <c r="H3804" t="s">
        <v>429</v>
      </c>
      <c r="I3804" t="s">
        <v>428</v>
      </c>
      <c r="J3804" t="s">
        <v>424</v>
      </c>
      <c r="L3804" t="s">
        <v>424</v>
      </c>
      <c r="M3804" t="s">
        <v>423</v>
      </c>
      <c r="N3804" t="s">
        <v>421</v>
      </c>
    </row>
    <row r="3805" spans="1:14" ht="15" customHeight="1" x14ac:dyDescent="0.25">
      <c r="A3805" s="82">
        <v>46080</v>
      </c>
      <c r="B3805" t="s">
        <v>427</v>
      </c>
      <c r="C3805" t="s">
        <v>425</v>
      </c>
      <c r="D3805" t="s">
        <v>421</v>
      </c>
      <c r="E3805" t="s">
        <v>429</v>
      </c>
      <c r="F3805" t="s">
        <v>455</v>
      </c>
      <c r="G3805" t="s">
        <v>424</v>
      </c>
      <c r="H3805" t="s">
        <v>426</v>
      </c>
      <c r="I3805" t="s">
        <v>425</v>
      </c>
      <c r="J3805" t="s">
        <v>430</v>
      </c>
      <c r="L3805" t="s">
        <v>421</v>
      </c>
      <c r="M3805" t="s">
        <v>428</v>
      </c>
      <c r="N3805" t="s">
        <v>423</v>
      </c>
    </row>
    <row r="3806" spans="1:14" ht="15" customHeight="1" x14ac:dyDescent="0.25">
      <c r="A3806" s="82">
        <v>46081</v>
      </c>
      <c r="B3806" t="s">
        <v>455</v>
      </c>
      <c r="C3806" t="s">
        <v>421</v>
      </c>
      <c r="D3806" t="s">
        <v>427</v>
      </c>
      <c r="E3806" t="s">
        <v>429</v>
      </c>
      <c r="F3806" t="s">
        <v>428</v>
      </c>
      <c r="G3806" t="s">
        <v>424</v>
      </c>
      <c r="H3806" t="s">
        <v>426</v>
      </c>
      <c r="I3806" t="s">
        <v>425</v>
      </c>
      <c r="J3806" t="s">
        <v>430</v>
      </c>
      <c r="L3806" t="s">
        <v>421</v>
      </c>
      <c r="M3806" t="s">
        <v>428</v>
      </c>
      <c r="N3806" t="s">
        <v>423</v>
      </c>
    </row>
    <row r="3807" spans="1:14" ht="15" customHeight="1" x14ac:dyDescent="0.25">
      <c r="A3807" s="82">
        <v>46082</v>
      </c>
      <c r="B3807" t="s">
        <v>427</v>
      </c>
      <c r="C3807" t="s">
        <v>421</v>
      </c>
      <c r="D3807" t="s">
        <v>455</v>
      </c>
      <c r="E3807" t="s">
        <v>429</v>
      </c>
      <c r="F3807" t="s">
        <v>428</v>
      </c>
      <c r="G3807" t="s">
        <v>424</v>
      </c>
      <c r="H3807" t="s">
        <v>426</v>
      </c>
      <c r="I3807" t="s">
        <v>425</v>
      </c>
      <c r="J3807" t="s">
        <v>430</v>
      </c>
      <c r="L3807" t="s">
        <v>421</v>
      </c>
      <c r="M3807" t="s">
        <v>428</v>
      </c>
      <c r="N3807" t="s">
        <v>423</v>
      </c>
    </row>
    <row r="3808" spans="1:14" ht="15" customHeight="1" x14ac:dyDescent="0.25">
      <c r="A3808" s="82">
        <v>46083</v>
      </c>
      <c r="B3808" t="s">
        <v>455</v>
      </c>
      <c r="C3808" t="s">
        <v>427</v>
      </c>
      <c r="D3808" t="s">
        <v>421</v>
      </c>
      <c r="E3808" t="s">
        <v>429</v>
      </c>
      <c r="F3808" t="s">
        <v>428</v>
      </c>
      <c r="G3808" t="s">
        <v>424</v>
      </c>
      <c r="H3808" t="s">
        <v>426</v>
      </c>
      <c r="I3808" t="s">
        <v>425</v>
      </c>
      <c r="J3808" t="s">
        <v>430</v>
      </c>
      <c r="L3808" t="s">
        <v>421</v>
      </c>
      <c r="M3808" t="s">
        <v>428</v>
      </c>
      <c r="N3808" t="s">
        <v>423</v>
      </c>
    </row>
    <row r="3809" spans="1:14" ht="15" customHeight="1" x14ac:dyDescent="0.25">
      <c r="A3809" s="82">
        <v>46084</v>
      </c>
      <c r="B3809" t="s">
        <v>421</v>
      </c>
      <c r="C3809" t="s">
        <v>455</v>
      </c>
      <c r="D3809" t="s">
        <v>427</v>
      </c>
      <c r="E3809" t="s">
        <v>429</v>
      </c>
      <c r="F3809" t="s">
        <v>428</v>
      </c>
      <c r="G3809" t="s">
        <v>424</v>
      </c>
      <c r="H3809" t="s">
        <v>426</v>
      </c>
      <c r="I3809" t="s">
        <v>425</v>
      </c>
      <c r="J3809" t="s">
        <v>430</v>
      </c>
      <c r="L3809" t="s">
        <v>421</v>
      </c>
      <c r="M3809" t="s">
        <v>428</v>
      </c>
      <c r="N3809" t="s">
        <v>423</v>
      </c>
    </row>
    <row r="3810" spans="1:14" ht="15" customHeight="1" x14ac:dyDescent="0.25">
      <c r="A3810" s="82">
        <v>46085</v>
      </c>
      <c r="B3810" t="s">
        <v>421</v>
      </c>
      <c r="C3810" t="s">
        <v>427</v>
      </c>
      <c r="D3810" t="s">
        <v>455</v>
      </c>
      <c r="E3810" t="s">
        <v>429</v>
      </c>
      <c r="F3810" t="s">
        <v>428</v>
      </c>
      <c r="G3810" t="s">
        <v>424</v>
      </c>
      <c r="H3810" t="s">
        <v>426</v>
      </c>
      <c r="I3810" t="s">
        <v>425</v>
      </c>
      <c r="J3810" t="s">
        <v>430</v>
      </c>
      <c r="L3810" t="s">
        <v>421</v>
      </c>
      <c r="M3810" t="s">
        <v>424</v>
      </c>
      <c r="N3810" t="s">
        <v>423</v>
      </c>
    </row>
    <row r="3811" spans="1:14" ht="15" customHeight="1" x14ac:dyDescent="0.25">
      <c r="A3811" s="82">
        <v>46086</v>
      </c>
      <c r="B3811" t="s">
        <v>427</v>
      </c>
      <c r="C3811" t="s">
        <v>455</v>
      </c>
      <c r="D3811" t="s">
        <v>421</v>
      </c>
      <c r="E3811" t="s">
        <v>429</v>
      </c>
      <c r="F3811" t="s">
        <v>428</v>
      </c>
      <c r="G3811" t="s">
        <v>424</v>
      </c>
      <c r="H3811" t="s">
        <v>426</v>
      </c>
      <c r="I3811" t="s">
        <v>425</v>
      </c>
      <c r="J3811" t="s">
        <v>430</v>
      </c>
      <c r="L3811" t="s">
        <v>421</v>
      </c>
      <c r="M3811" t="s">
        <v>424</v>
      </c>
      <c r="N3811" t="s">
        <v>423</v>
      </c>
    </row>
    <row r="3812" spans="1:14" ht="15" customHeight="1" x14ac:dyDescent="0.25">
      <c r="A3812" s="82">
        <v>46087</v>
      </c>
      <c r="B3812" t="s">
        <v>455</v>
      </c>
      <c r="C3812" t="s">
        <v>424</v>
      </c>
      <c r="D3812" t="s">
        <v>429</v>
      </c>
      <c r="E3812" t="s">
        <v>426</v>
      </c>
      <c r="F3812" t="s">
        <v>425</v>
      </c>
      <c r="G3812" t="s">
        <v>430</v>
      </c>
      <c r="H3812" t="s">
        <v>427</v>
      </c>
      <c r="I3812" t="s">
        <v>425</v>
      </c>
      <c r="J3812" t="s">
        <v>421</v>
      </c>
      <c r="L3812" t="s">
        <v>423</v>
      </c>
      <c r="M3812" t="s">
        <v>421</v>
      </c>
      <c r="N3812" t="s">
        <v>424</v>
      </c>
    </row>
    <row r="3813" spans="1:14" ht="15" customHeight="1" x14ac:dyDescent="0.25">
      <c r="A3813" s="82">
        <v>46088</v>
      </c>
      <c r="B3813" t="s">
        <v>428</v>
      </c>
      <c r="C3813" t="s">
        <v>424</v>
      </c>
      <c r="D3813" t="s">
        <v>429</v>
      </c>
      <c r="E3813" t="s">
        <v>426</v>
      </c>
      <c r="F3813" t="s">
        <v>425</v>
      </c>
      <c r="G3813" t="s">
        <v>430</v>
      </c>
      <c r="H3813" t="s">
        <v>455</v>
      </c>
      <c r="I3813" t="s">
        <v>421</v>
      </c>
      <c r="J3813" t="s">
        <v>427</v>
      </c>
      <c r="L3813" t="s">
        <v>423</v>
      </c>
      <c r="M3813" t="s">
        <v>421</v>
      </c>
      <c r="N3813" t="s">
        <v>424</v>
      </c>
    </row>
    <row r="3814" spans="1:14" ht="15" customHeight="1" x14ac:dyDescent="0.25">
      <c r="A3814" s="82">
        <v>46089</v>
      </c>
      <c r="B3814" t="s">
        <v>428</v>
      </c>
      <c r="C3814" t="s">
        <v>424</v>
      </c>
      <c r="D3814" t="s">
        <v>429</v>
      </c>
      <c r="E3814" t="s">
        <v>426</v>
      </c>
      <c r="F3814" t="s">
        <v>425</v>
      </c>
      <c r="G3814" t="s">
        <v>430</v>
      </c>
      <c r="H3814" t="s">
        <v>427</v>
      </c>
      <c r="I3814" t="s">
        <v>421</v>
      </c>
      <c r="J3814" t="s">
        <v>455</v>
      </c>
      <c r="L3814" t="s">
        <v>423</v>
      </c>
      <c r="M3814" t="s">
        <v>421</v>
      </c>
      <c r="N3814" t="s">
        <v>424</v>
      </c>
    </row>
    <row r="3815" spans="1:14" ht="15" customHeight="1" x14ac:dyDescent="0.25">
      <c r="A3815" s="82">
        <v>46090</v>
      </c>
      <c r="B3815" t="s">
        <v>428</v>
      </c>
      <c r="C3815" t="s">
        <v>424</v>
      </c>
      <c r="D3815" t="s">
        <v>429</v>
      </c>
      <c r="E3815" t="s">
        <v>426</v>
      </c>
      <c r="F3815" t="s">
        <v>425</v>
      </c>
      <c r="G3815" t="s">
        <v>430</v>
      </c>
      <c r="H3815" t="s">
        <v>455</v>
      </c>
      <c r="I3815" t="s">
        <v>427</v>
      </c>
      <c r="J3815" t="s">
        <v>421</v>
      </c>
      <c r="L3815" t="s">
        <v>423</v>
      </c>
      <c r="M3815" t="s">
        <v>421</v>
      </c>
      <c r="N3815" t="s">
        <v>424</v>
      </c>
    </row>
    <row r="3816" spans="1:14" ht="15" customHeight="1" x14ac:dyDescent="0.25">
      <c r="A3816" s="82">
        <v>46091</v>
      </c>
      <c r="B3816" t="s">
        <v>428</v>
      </c>
      <c r="C3816" t="s">
        <v>424</v>
      </c>
      <c r="D3816" t="s">
        <v>429</v>
      </c>
      <c r="E3816" t="s">
        <v>426</v>
      </c>
      <c r="F3816" t="s">
        <v>425</v>
      </c>
      <c r="G3816" t="s">
        <v>430</v>
      </c>
      <c r="H3816" t="s">
        <v>421</v>
      </c>
      <c r="I3816" t="s">
        <v>455</v>
      </c>
      <c r="J3816" t="s">
        <v>427</v>
      </c>
      <c r="L3816" t="s">
        <v>423</v>
      </c>
      <c r="M3816" t="s">
        <v>421</v>
      </c>
      <c r="N3816" t="s">
        <v>424</v>
      </c>
    </row>
    <row r="3817" spans="1:14" ht="15" customHeight="1" x14ac:dyDescent="0.25">
      <c r="A3817" s="82">
        <v>46092</v>
      </c>
      <c r="B3817" t="s">
        <v>428</v>
      </c>
      <c r="C3817" t="s">
        <v>424</v>
      </c>
      <c r="D3817" t="s">
        <v>429</v>
      </c>
      <c r="E3817" t="s">
        <v>426</v>
      </c>
      <c r="F3817" t="s">
        <v>425</v>
      </c>
      <c r="G3817" t="s">
        <v>430</v>
      </c>
      <c r="H3817" t="s">
        <v>421</v>
      </c>
      <c r="I3817" t="s">
        <v>427</v>
      </c>
      <c r="J3817" t="s">
        <v>455</v>
      </c>
      <c r="L3817" t="s">
        <v>423</v>
      </c>
      <c r="M3817" t="s">
        <v>421</v>
      </c>
      <c r="N3817" t="s">
        <v>424</v>
      </c>
    </row>
    <row r="3818" spans="1:14" ht="15" customHeight="1" x14ac:dyDescent="0.25">
      <c r="A3818" s="82">
        <v>46093</v>
      </c>
      <c r="B3818" t="s">
        <v>428</v>
      </c>
      <c r="C3818" t="s">
        <v>424</v>
      </c>
      <c r="D3818" t="s">
        <v>429</v>
      </c>
      <c r="E3818" t="s">
        <v>426</v>
      </c>
      <c r="F3818" t="s">
        <v>425</v>
      </c>
      <c r="G3818" t="s">
        <v>430</v>
      </c>
      <c r="H3818" t="s">
        <v>427</v>
      </c>
      <c r="I3818" t="s">
        <v>455</v>
      </c>
      <c r="J3818" t="s">
        <v>421</v>
      </c>
      <c r="L3818" t="s">
        <v>423</v>
      </c>
      <c r="M3818" t="s">
        <v>421</v>
      </c>
      <c r="N3818" t="s">
        <v>424</v>
      </c>
    </row>
    <row r="3819" spans="1:14" ht="15" customHeight="1" x14ac:dyDescent="0.25">
      <c r="A3819" s="82">
        <v>46094</v>
      </c>
      <c r="B3819" t="s">
        <v>425</v>
      </c>
      <c r="C3819" t="s">
        <v>430</v>
      </c>
      <c r="D3819" t="s">
        <v>426</v>
      </c>
      <c r="E3819" t="s">
        <v>427</v>
      </c>
      <c r="F3819" t="s">
        <v>425</v>
      </c>
      <c r="G3819" t="s">
        <v>421</v>
      </c>
      <c r="H3819" t="s">
        <v>455</v>
      </c>
      <c r="I3819" t="s">
        <v>424</v>
      </c>
      <c r="J3819" t="s">
        <v>429</v>
      </c>
      <c r="L3819" t="s">
        <v>424</v>
      </c>
      <c r="M3819" t="s">
        <v>423</v>
      </c>
      <c r="N3819" t="s">
        <v>421</v>
      </c>
    </row>
    <row r="3820" spans="1:14" ht="15" customHeight="1" x14ac:dyDescent="0.25">
      <c r="A3820" s="82">
        <v>46095</v>
      </c>
      <c r="B3820" t="s">
        <v>425</v>
      </c>
      <c r="C3820" t="s">
        <v>430</v>
      </c>
      <c r="D3820" t="s">
        <v>426</v>
      </c>
      <c r="E3820" t="s">
        <v>455</v>
      </c>
      <c r="F3820" t="s">
        <v>421</v>
      </c>
      <c r="G3820" t="s">
        <v>427</v>
      </c>
      <c r="H3820" t="s">
        <v>428</v>
      </c>
      <c r="I3820" t="s">
        <v>424</v>
      </c>
      <c r="J3820" t="s">
        <v>429</v>
      </c>
      <c r="L3820" t="s">
        <v>424</v>
      </c>
      <c r="M3820" t="s">
        <v>423</v>
      </c>
      <c r="N3820" t="s">
        <v>421</v>
      </c>
    </row>
    <row r="3821" spans="1:14" ht="15" customHeight="1" x14ac:dyDescent="0.25">
      <c r="A3821" s="82">
        <v>46096</v>
      </c>
      <c r="B3821" t="s">
        <v>425</v>
      </c>
      <c r="C3821" t="s">
        <v>430</v>
      </c>
      <c r="D3821" t="s">
        <v>426</v>
      </c>
      <c r="E3821" t="s">
        <v>427</v>
      </c>
      <c r="F3821" t="s">
        <v>421</v>
      </c>
      <c r="G3821" t="s">
        <v>455</v>
      </c>
      <c r="H3821" t="s">
        <v>428</v>
      </c>
      <c r="I3821" t="s">
        <v>424</v>
      </c>
      <c r="J3821" t="s">
        <v>429</v>
      </c>
      <c r="L3821" t="s">
        <v>424</v>
      </c>
      <c r="M3821" t="s">
        <v>423</v>
      </c>
      <c r="N3821" t="s">
        <v>421</v>
      </c>
    </row>
    <row r="3822" spans="1:14" ht="15" customHeight="1" x14ac:dyDescent="0.25">
      <c r="A3822" s="82">
        <v>46097</v>
      </c>
      <c r="B3822" t="s">
        <v>425</v>
      </c>
      <c r="C3822" t="s">
        <v>430</v>
      </c>
      <c r="D3822" t="s">
        <v>426</v>
      </c>
      <c r="E3822" t="s">
        <v>455</v>
      </c>
      <c r="F3822" t="s">
        <v>427</v>
      </c>
      <c r="G3822" t="s">
        <v>421</v>
      </c>
      <c r="H3822" t="s">
        <v>428</v>
      </c>
      <c r="I3822" t="s">
        <v>424</v>
      </c>
      <c r="J3822" t="s">
        <v>429</v>
      </c>
      <c r="L3822" t="s">
        <v>424</v>
      </c>
      <c r="M3822" t="s">
        <v>423</v>
      </c>
      <c r="N3822" t="s">
        <v>421</v>
      </c>
    </row>
    <row r="3823" spans="1:14" ht="15" customHeight="1" x14ac:dyDescent="0.25">
      <c r="A3823" s="82">
        <v>46098</v>
      </c>
      <c r="B3823" t="s">
        <v>425</v>
      </c>
      <c r="C3823" t="s">
        <v>430</v>
      </c>
      <c r="D3823" t="s">
        <v>426</v>
      </c>
      <c r="E3823" t="s">
        <v>421</v>
      </c>
      <c r="F3823" t="s">
        <v>455</v>
      </c>
      <c r="G3823" t="s">
        <v>427</v>
      </c>
      <c r="H3823" t="s">
        <v>428</v>
      </c>
      <c r="I3823" t="s">
        <v>424</v>
      </c>
      <c r="J3823" t="s">
        <v>429</v>
      </c>
      <c r="L3823" t="s">
        <v>424</v>
      </c>
      <c r="M3823" t="s">
        <v>423</v>
      </c>
      <c r="N3823" t="s">
        <v>421</v>
      </c>
    </row>
    <row r="3824" spans="1:14" ht="15" customHeight="1" x14ac:dyDescent="0.25">
      <c r="A3824" s="82">
        <v>46099</v>
      </c>
      <c r="B3824" t="s">
        <v>425</v>
      </c>
      <c r="C3824" t="s">
        <v>430</v>
      </c>
      <c r="D3824" t="s">
        <v>426</v>
      </c>
      <c r="E3824" t="s">
        <v>421</v>
      </c>
      <c r="F3824" t="s">
        <v>427</v>
      </c>
      <c r="G3824" t="s">
        <v>455</v>
      </c>
      <c r="H3824" t="s">
        <v>428</v>
      </c>
      <c r="I3824" t="s">
        <v>424</v>
      </c>
      <c r="J3824" t="s">
        <v>429</v>
      </c>
      <c r="L3824" t="s">
        <v>424</v>
      </c>
      <c r="M3824" t="s">
        <v>423</v>
      </c>
      <c r="N3824" t="s">
        <v>421</v>
      </c>
    </row>
    <row r="3825" spans="1:14" ht="15" customHeight="1" x14ac:dyDescent="0.25">
      <c r="A3825" s="82">
        <v>46100</v>
      </c>
      <c r="B3825" t="s">
        <v>425</v>
      </c>
      <c r="C3825" t="s">
        <v>430</v>
      </c>
      <c r="D3825" t="s">
        <v>426</v>
      </c>
      <c r="E3825" t="s">
        <v>427</v>
      </c>
      <c r="F3825" t="s">
        <v>455</v>
      </c>
      <c r="G3825" t="s">
        <v>421</v>
      </c>
      <c r="H3825" t="s">
        <v>428</v>
      </c>
      <c r="I3825" t="s">
        <v>424</v>
      </c>
      <c r="J3825" t="s">
        <v>429</v>
      </c>
      <c r="L3825" t="s">
        <v>424</v>
      </c>
      <c r="M3825" t="s">
        <v>423</v>
      </c>
      <c r="N3825" t="s">
        <v>421</v>
      </c>
    </row>
    <row r="3826" spans="1:14" ht="15" customHeight="1" x14ac:dyDescent="0.25">
      <c r="A3826" s="82">
        <v>46101</v>
      </c>
      <c r="B3826" t="s">
        <v>425</v>
      </c>
      <c r="C3826" t="s">
        <v>421</v>
      </c>
      <c r="D3826" t="s">
        <v>427</v>
      </c>
      <c r="E3826" t="s">
        <v>455</v>
      </c>
      <c r="F3826" t="s">
        <v>424</v>
      </c>
      <c r="G3826" t="s">
        <v>429</v>
      </c>
      <c r="H3826" t="s">
        <v>425</v>
      </c>
      <c r="I3826" t="s">
        <v>430</v>
      </c>
      <c r="J3826" t="s">
        <v>426</v>
      </c>
      <c r="L3826" t="s">
        <v>421</v>
      </c>
      <c r="M3826" t="s">
        <v>424</v>
      </c>
      <c r="N3826" t="s">
        <v>423</v>
      </c>
    </row>
    <row r="3827" spans="1:14" ht="15" customHeight="1" x14ac:dyDescent="0.25">
      <c r="A3827" s="82">
        <v>46102</v>
      </c>
      <c r="B3827" t="s">
        <v>421</v>
      </c>
      <c r="C3827" t="s">
        <v>427</v>
      </c>
      <c r="D3827" t="s">
        <v>455</v>
      </c>
      <c r="E3827" t="s">
        <v>428</v>
      </c>
      <c r="F3827" t="s">
        <v>424</v>
      </c>
      <c r="G3827" t="s">
        <v>429</v>
      </c>
      <c r="H3827" t="s">
        <v>425</v>
      </c>
      <c r="I3827" t="s">
        <v>430</v>
      </c>
      <c r="J3827" t="s">
        <v>426</v>
      </c>
      <c r="L3827" t="s">
        <v>421</v>
      </c>
      <c r="M3827" t="s">
        <v>424</v>
      </c>
      <c r="N3827" t="s">
        <v>423</v>
      </c>
    </row>
    <row r="3828" spans="1:14" ht="15" customHeight="1" x14ac:dyDescent="0.25">
      <c r="A3828" s="82">
        <v>46103</v>
      </c>
      <c r="B3828" t="s">
        <v>421</v>
      </c>
      <c r="C3828" t="s">
        <v>455</v>
      </c>
      <c r="D3828" t="s">
        <v>427</v>
      </c>
      <c r="E3828" t="s">
        <v>428</v>
      </c>
      <c r="F3828" t="s">
        <v>424</v>
      </c>
      <c r="G3828" t="s">
        <v>429</v>
      </c>
      <c r="H3828" t="s">
        <v>425</v>
      </c>
      <c r="I3828" t="s">
        <v>430</v>
      </c>
      <c r="J3828" t="s">
        <v>426</v>
      </c>
      <c r="L3828" t="s">
        <v>421</v>
      </c>
      <c r="M3828" t="s">
        <v>424</v>
      </c>
      <c r="N3828" t="s">
        <v>423</v>
      </c>
    </row>
    <row r="3829" spans="1:14" ht="15" customHeight="1" x14ac:dyDescent="0.25">
      <c r="A3829" s="82">
        <v>46104</v>
      </c>
      <c r="B3829" t="s">
        <v>427</v>
      </c>
      <c r="C3829" t="s">
        <v>421</v>
      </c>
      <c r="D3829" t="s">
        <v>455</v>
      </c>
      <c r="E3829" t="s">
        <v>428</v>
      </c>
      <c r="F3829" t="s">
        <v>424</v>
      </c>
      <c r="G3829" t="s">
        <v>429</v>
      </c>
      <c r="H3829" t="s">
        <v>425</v>
      </c>
      <c r="I3829" t="s">
        <v>430</v>
      </c>
      <c r="J3829" t="s">
        <v>426</v>
      </c>
      <c r="L3829" t="s">
        <v>421</v>
      </c>
      <c r="M3829" t="s">
        <v>424</v>
      </c>
      <c r="N3829" t="s">
        <v>423</v>
      </c>
    </row>
    <row r="3830" spans="1:14" ht="15" customHeight="1" x14ac:dyDescent="0.25">
      <c r="A3830" s="82">
        <v>46105</v>
      </c>
      <c r="B3830" t="s">
        <v>455</v>
      </c>
      <c r="C3830" t="s">
        <v>427</v>
      </c>
      <c r="D3830" t="s">
        <v>421</v>
      </c>
      <c r="E3830" t="s">
        <v>428</v>
      </c>
      <c r="F3830" t="s">
        <v>424</v>
      </c>
      <c r="G3830" t="s">
        <v>429</v>
      </c>
      <c r="H3830" t="s">
        <v>425</v>
      </c>
      <c r="I3830" t="s">
        <v>430</v>
      </c>
      <c r="J3830" t="s">
        <v>426</v>
      </c>
      <c r="L3830" t="s">
        <v>421</v>
      </c>
      <c r="M3830" t="s">
        <v>424</v>
      </c>
      <c r="N3830" t="s">
        <v>423</v>
      </c>
    </row>
    <row r="3831" spans="1:14" ht="15" customHeight="1" x14ac:dyDescent="0.25">
      <c r="A3831" s="82">
        <v>46106</v>
      </c>
      <c r="B3831" t="s">
        <v>427</v>
      </c>
      <c r="C3831" t="s">
        <v>455</v>
      </c>
      <c r="D3831" t="s">
        <v>421</v>
      </c>
      <c r="E3831" t="s">
        <v>428</v>
      </c>
      <c r="F3831" t="s">
        <v>424</v>
      </c>
      <c r="G3831" t="s">
        <v>429</v>
      </c>
      <c r="H3831" t="s">
        <v>425</v>
      </c>
      <c r="I3831" t="s">
        <v>430</v>
      </c>
      <c r="J3831" t="s">
        <v>426</v>
      </c>
      <c r="L3831" t="s">
        <v>421</v>
      </c>
      <c r="M3831" t="s">
        <v>424</v>
      </c>
      <c r="N3831" t="s">
        <v>423</v>
      </c>
    </row>
    <row r="3832" spans="1:14" ht="15" customHeight="1" x14ac:dyDescent="0.25">
      <c r="A3832" s="82">
        <v>46107</v>
      </c>
      <c r="B3832" t="s">
        <v>455</v>
      </c>
      <c r="C3832" t="s">
        <v>421</v>
      </c>
      <c r="D3832" t="s">
        <v>427</v>
      </c>
      <c r="E3832" t="s">
        <v>428</v>
      </c>
      <c r="F3832" t="s">
        <v>424</v>
      </c>
      <c r="G3832" t="s">
        <v>429</v>
      </c>
      <c r="H3832" t="s">
        <v>425</v>
      </c>
      <c r="I3832" t="s">
        <v>430</v>
      </c>
      <c r="J3832" t="s">
        <v>426</v>
      </c>
      <c r="L3832" t="s">
        <v>421</v>
      </c>
      <c r="M3832" t="s">
        <v>424</v>
      </c>
      <c r="N3832" t="s">
        <v>423</v>
      </c>
    </row>
    <row r="3833" spans="1:14" ht="15" customHeight="1" x14ac:dyDescent="0.25">
      <c r="A3833" s="82">
        <v>46108</v>
      </c>
      <c r="B3833" t="s">
        <v>424</v>
      </c>
      <c r="C3833" t="s">
        <v>429</v>
      </c>
      <c r="D3833" t="s">
        <v>455</v>
      </c>
      <c r="E3833" t="s">
        <v>425</v>
      </c>
      <c r="F3833" t="s">
        <v>430</v>
      </c>
      <c r="G3833" t="s">
        <v>426</v>
      </c>
      <c r="H3833" t="s">
        <v>425</v>
      </c>
      <c r="I3833" t="s">
        <v>421</v>
      </c>
      <c r="J3833" t="s">
        <v>427</v>
      </c>
      <c r="L3833" t="s">
        <v>423</v>
      </c>
      <c r="M3833" t="s">
        <v>421</v>
      </c>
      <c r="N3833" t="s">
        <v>428</v>
      </c>
    </row>
    <row r="3834" spans="1:14" ht="15" customHeight="1" x14ac:dyDescent="0.25">
      <c r="A3834" s="82">
        <v>46109</v>
      </c>
      <c r="B3834" t="s">
        <v>424</v>
      </c>
      <c r="C3834" t="s">
        <v>429</v>
      </c>
      <c r="D3834" t="s">
        <v>428</v>
      </c>
      <c r="E3834" t="s">
        <v>425</v>
      </c>
      <c r="F3834" t="s">
        <v>430</v>
      </c>
      <c r="G3834" t="s">
        <v>426</v>
      </c>
      <c r="H3834" t="s">
        <v>421</v>
      </c>
      <c r="I3834" t="s">
        <v>427</v>
      </c>
      <c r="J3834" t="s">
        <v>455</v>
      </c>
      <c r="L3834" t="s">
        <v>423</v>
      </c>
      <c r="M3834" t="s">
        <v>421</v>
      </c>
      <c r="N3834" t="s">
        <v>428</v>
      </c>
    </row>
    <row r="3835" spans="1:14" ht="15" customHeight="1" x14ac:dyDescent="0.25">
      <c r="A3835" s="82">
        <v>46110</v>
      </c>
      <c r="B3835" t="s">
        <v>424</v>
      </c>
      <c r="C3835" t="s">
        <v>429</v>
      </c>
      <c r="D3835" t="s">
        <v>428</v>
      </c>
      <c r="E3835" t="s">
        <v>425</v>
      </c>
      <c r="F3835" t="s">
        <v>430</v>
      </c>
      <c r="G3835" t="s">
        <v>426</v>
      </c>
      <c r="H3835" t="s">
        <v>421</v>
      </c>
      <c r="I3835" t="s">
        <v>455</v>
      </c>
      <c r="J3835" t="s">
        <v>427</v>
      </c>
      <c r="L3835" t="s">
        <v>423</v>
      </c>
      <c r="M3835" t="s">
        <v>421</v>
      </c>
      <c r="N3835" t="s">
        <v>428</v>
      </c>
    </row>
    <row r="3836" spans="1:14" ht="15" customHeight="1" x14ac:dyDescent="0.25">
      <c r="A3836" s="82">
        <v>46111</v>
      </c>
      <c r="B3836" t="s">
        <v>424</v>
      </c>
      <c r="C3836" t="s">
        <v>429</v>
      </c>
      <c r="D3836" t="s">
        <v>428</v>
      </c>
      <c r="E3836" t="s">
        <v>425</v>
      </c>
      <c r="F3836" t="s">
        <v>430</v>
      </c>
      <c r="G3836" t="s">
        <v>426</v>
      </c>
      <c r="H3836" t="s">
        <v>427</v>
      </c>
      <c r="I3836" t="s">
        <v>421</v>
      </c>
      <c r="J3836" t="s">
        <v>455</v>
      </c>
      <c r="L3836" t="s">
        <v>423</v>
      </c>
      <c r="M3836" t="s">
        <v>421</v>
      </c>
      <c r="N3836" t="s">
        <v>428</v>
      </c>
    </row>
    <row r="3837" spans="1:14" ht="15" customHeight="1" x14ac:dyDescent="0.25">
      <c r="A3837" s="82">
        <v>46112</v>
      </c>
      <c r="B3837" t="s">
        <v>424</v>
      </c>
      <c r="C3837" t="s">
        <v>429</v>
      </c>
      <c r="D3837" t="s">
        <v>428</v>
      </c>
      <c r="E3837" t="s">
        <v>425</v>
      </c>
      <c r="F3837" t="s">
        <v>430</v>
      </c>
      <c r="G3837" t="s">
        <v>426</v>
      </c>
      <c r="H3837" t="s">
        <v>455</v>
      </c>
      <c r="I3837" t="s">
        <v>427</v>
      </c>
      <c r="J3837" t="s">
        <v>421</v>
      </c>
      <c r="L3837" t="s">
        <v>423</v>
      </c>
      <c r="M3837" t="s">
        <v>421</v>
      </c>
      <c r="N3837" t="s">
        <v>428</v>
      </c>
    </row>
    <row r="3838" spans="1:14" ht="15" customHeight="1" x14ac:dyDescent="0.25">
      <c r="A3838" s="82">
        <v>46113</v>
      </c>
      <c r="B3838" t="s">
        <v>424</v>
      </c>
      <c r="C3838" t="s">
        <v>429</v>
      </c>
      <c r="D3838" t="s">
        <v>428</v>
      </c>
      <c r="E3838" t="s">
        <v>425</v>
      </c>
      <c r="F3838" t="s">
        <v>430</v>
      </c>
      <c r="G3838" t="s">
        <v>426</v>
      </c>
      <c r="H3838" t="s">
        <v>427</v>
      </c>
      <c r="I3838" t="s">
        <v>455</v>
      </c>
      <c r="J3838" t="s">
        <v>421</v>
      </c>
      <c r="L3838" t="s">
        <v>423</v>
      </c>
      <c r="M3838" t="s">
        <v>421</v>
      </c>
      <c r="N3838" t="s">
        <v>424</v>
      </c>
    </row>
    <row r="3839" spans="1:14" ht="15" customHeight="1" x14ac:dyDescent="0.25">
      <c r="A3839" s="82">
        <v>46114</v>
      </c>
      <c r="B3839" t="s">
        <v>424</v>
      </c>
      <c r="C3839" t="s">
        <v>429</v>
      </c>
      <c r="D3839" t="s">
        <v>428</v>
      </c>
      <c r="E3839" t="s">
        <v>425</v>
      </c>
      <c r="F3839" t="s">
        <v>430</v>
      </c>
      <c r="G3839" t="s">
        <v>426</v>
      </c>
      <c r="H3839" t="s">
        <v>455</v>
      </c>
      <c r="I3839" t="s">
        <v>421</v>
      </c>
      <c r="J3839" t="s">
        <v>427</v>
      </c>
      <c r="L3839" t="s">
        <v>423</v>
      </c>
      <c r="M3839" t="s">
        <v>421</v>
      </c>
      <c r="N3839" t="s">
        <v>424</v>
      </c>
    </row>
    <row r="3840" spans="1:14" ht="15" customHeight="1" x14ac:dyDescent="0.25">
      <c r="A3840" s="82">
        <v>46115</v>
      </c>
      <c r="B3840" t="s">
        <v>430</v>
      </c>
      <c r="C3840" t="s">
        <v>426</v>
      </c>
      <c r="D3840" t="s">
        <v>425</v>
      </c>
      <c r="E3840" t="s">
        <v>425</v>
      </c>
      <c r="F3840" t="s">
        <v>421</v>
      </c>
      <c r="G3840" t="s">
        <v>427</v>
      </c>
      <c r="H3840" t="s">
        <v>424</v>
      </c>
      <c r="I3840" t="s">
        <v>429</v>
      </c>
      <c r="J3840" t="s">
        <v>455</v>
      </c>
      <c r="L3840" t="s">
        <v>424</v>
      </c>
      <c r="M3840" t="s">
        <v>423</v>
      </c>
      <c r="N3840" t="s">
        <v>421</v>
      </c>
    </row>
    <row r="3841" spans="1:14" ht="15" customHeight="1" x14ac:dyDescent="0.25">
      <c r="A3841" s="82">
        <v>46116</v>
      </c>
      <c r="B3841" t="s">
        <v>430</v>
      </c>
      <c r="C3841" t="s">
        <v>426</v>
      </c>
      <c r="D3841" t="s">
        <v>425</v>
      </c>
      <c r="E3841" t="s">
        <v>421</v>
      </c>
      <c r="F3841" t="s">
        <v>427</v>
      </c>
      <c r="G3841" t="s">
        <v>455</v>
      </c>
      <c r="H3841" t="s">
        <v>424</v>
      </c>
      <c r="I3841" t="s">
        <v>429</v>
      </c>
      <c r="J3841" t="s">
        <v>428</v>
      </c>
      <c r="L3841" t="s">
        <v>424</v>
      </c>
      <c r="M3841" t="s">
        <v>423</v>
      </c>
      <c r="N3841" t="s">
        <v>421</v>
      </c>
    </row>
    <row r="3842" spans="1:14" ht="15" customHeight="1" x14ac:dyDescent="0.25">
      <c r="A3842" s="82">
        <v>46117</v>
      </c>
      <c r="B3842" t="s">
        <v>430</v>
      </c>
      <c r="C3842" t="s">
        <v>426</v>
      </c>
      <c r="D3842" t="s">
        <v>425</v>
      </c>
      <c r="E3842" t="s">
        <v>421</v>
      </c>
      <c r="F3842" t="s">
        <v>455</v>
      </c>
      <c r="G3842" t="s">
        <v>427</v>
      </c>
      <c r="H3842" t="s">
        <v>424</v>
      </c>
      <c r="I3842" t="s">
        <v>429</v>
      </c>
      <c r="J3842" t="s">
        <v>428</v>
      </c>
      <c r="L3842" t="s">
        <v>424</v>
      </c>
      <c r="M3842" t="s">
        <v>423</v>
      </c>
      <c r="N3842" t="s">
        <v>421</v>
      </c>
    </row>
    <row r="3843" spans="1:14" ht="15" customHeight="1" x14ac:dyDescent="0.25">
      <c r="A3843" s="82">
        <v>46118</v>
      </c>
      <c r="B3843" t="s">
        <v>430</v>
      </c>
      <c r="C3843" t="s">
        <v>426</v>
      </c>
      <c r="D3843" t="s">
        <v>425</v>
      </c>
      <c r="E3843" t="s">
        <v>427</v>
      </c>
      <c r="F3843" t="s">
        <v>421</v>
      </c>
      <c r="G3843" t="s">
        <v>455</v>
      </c>
      <c r="H3843" t="s">
        <v>424</v>
      </c>
      <c r="I3843" t="s">
        <v>429</v>
      </c>
      <c r="J3843" t="s">
        <v>428</v>
      </c>
      <c r="L3843" t="s">
        <v>424</v>
      </c>
      <c r="M3843" t="s">
        <v>423</v>
      </c>
      <c r="N3843" t="s">
        <v>421</v>
      </c>
    </row>
    <row r="3844" spans="1:14" ht="15" customHeight="1" x14ac:dyDescent="0.25">
      <c r="A3844" s="82">
        <v>46119</v>
      </c>
      <c r="B3844" t="s">
        <v>430</v>
      </c>
      <c r="C3844" t="s">
        <v>426</v>
      </c>
      <c r="D3844" t="s">
        <v>425</v>
      </c>
      <c r="E3844" t="s">
        <v>455</v>
      </c>
      <c r="F3844" t="s">
        <v>427</v>
      </c>
      <c r="G3844" t="s">
        <v>421</v>
      </c>
      <c r="H3844" t="s">
        <v>424</v>
      </c>
      <c r="I3844" t="s">
        <v>429</v>
      </c>
      <c r="J3844" t="s">
        <v>428</v>
      </c>
      <c r="L3844" t="s">
        <v>424</v>
      </c>
      <c r="M3844" t="s">
        <v>423</v>
      </c>
      <c r="N3844" t="s">
        <v>421</v>
      </c>
    </row>
    <row r="3845" spans="1:14" ht="15" customHeight="1" x14ac:dyDescent="0.25">
      <c r="A3845" s="82">
        <v>46120</v>
      </c>
      <c r="B3845" t="s">
        <v>430</v>
      </c>
      <c r="C3845" t="s">
        <v>426</v>
      </c>
      <c r="D3845" t="s">
        <v>425</v>
      </c>
      <c r="E3845" t="s">
        <v>427</v>
      </c>
      <c r="F3845" t="s">
        <v>455</v>
      </c>
      <c r="G3845" t="s">
        <v>421</v>
      </c>
      <c r="H3845" t="s">
        <v>424</v>
      </c>
      <c r="I3845" t="s">
        <v>429</v>
      </c>
      <c r="J3845" t="s">
        <v>428</v>
      </c>
      <c r="L3845" t="s">
        <v>424</v>
      </c>
      <c r="M3845" t="s">
        <v>423</v>
      </c>
      <c r="N3845" t="s">
        <v>421</v>
      </c>
    </row>
    <row r="3846" spans="1:14" ht="15" customHeight="1" x14ac:dyDescent="0.25">
      <c r="A3846" s="82">
        <v>46121</v>
      </c>
      <c r="B3846" t="s">
        <v>430</v>
      </c>
      <c r="C3846" t="s">
        <v>426</v>
      </c>
      <c r="D3846" t="s">
        <v>425</v>
      </c>
      <c r="E3846" t="s">
        <v>455</v>
      </c>
      <c r="F3846" t="s">
        <v>421</v>
      </c>
      <c r="G3846" t="s">
        <v>427</v>
      </c>
      <c r="H3846" t="s">
        <v>424</v>
      </c>
      <c r="I3846" t="s">
        <v>429</v>
      </c>
      <c r="J3846" t="s">
        <v>428</v>
      </c>
      <c r="L3846" t="s">
        <v>424</v>
      </c>
      <c r="M3846" t="s">
        <v>423</v>
      </c>
      <c r="N3846" t="s">
        <v>421</v>
      </c>
    </row>
    <row r="3847" spans="1:14" ht="15" customHeight="1" x14ac:dyDescent="0.25">
      <c r="A3847" s="82">
        <v>46122</v>
      </c>
      <c r="B3847" t="s">
        <v>421</v>
      </c>
      <c r="C3847" t="s">
        <v>427</v>
      </c>
      <c r="D3847" t="s">
        <v>425</v>
      </c>
      <c r="E3847" t="s">
        <v>424</v>
      </c>
      <c r="F3847" t="s">
        <v>429</v>
      </c>
      <c r="G3847" t="s">
        <v>455</v>
      </c>
      <c r="H3847" t="s">
        <v>430</v>
      </c>
      <c r="I3847" t="s">
        <v>426</v>
      </c>
      <c r="J3847" t="s">
        <v>425</v>
      </c>
      <c r="L3847" t="s">
        <v>421</v>
      </c>
      <c r="M3847" t="s">
        <v>424</v>
      </c>
      <c r="N3847" t="s">
        <v>423</v>
      </c>
    </row>
    <row r="3848" spans="1:14" ht="15" customHeight="1" x14ac:dyDescent="0.25">
      <c r="A3848" s="82">
        <v>46123</v>
      </c>
      <c r="B3848" t="s">
        <v>427</v>
      </c>
      <c r="C3848" t="s">
        <v>455</v>
      </c>
      <c r="D3848" t="s">
        <v>421</v>
      </c>
      <c r="E3848" t="s">
        <v>424</v>
      </c>
      <c r="F3848" t="s">
        <v>429</v>
      </c>
      <c r="G3848" t="s">
        <v>428</v>
      </c>
      <c r="H3848" t="s">
        <v>430</v>
      </c>
      <c r="I3848" t="s">
        <v>426</v>
      </c>
      <c r="J3848" t="s">
        <v>425</v>
      </c>
      <c r="L3848" t="s">
        <v>421</v>
      </c>
      <c r="M3848" t="s">
        <v>424</v>
      </c>
      <c r="N3848" t="s">
        <v>423</v>
      </c>
    </row>
    <row r="3849" spans="1:14" ht="15" customHeight="1" x14ac:dyDescent="0.25">
      <c r="A3849" s="82">
        <v>46124</v>
      </c>
      <c r="B3849" t="s">
        <v>455</v>
      </c>
      <c r="C3849" t="s">
        <v>427</v>
      </c>
      <c r="D3849" t="s">
        <v>421</v>
      </c>
      <c r="E3849" t="s">
        <v>424</v>
      </c>
      <c r="F3849" t="s">
        <v>429</v>
      </c>
      <c r="G3849" t="s">
        <v>428</v>
      </c>
      <c r="H3849" t="s">
        <v>430</v>
      </c>
      <c r="I3849" t="s">
        <v>426</v>
      </c>
      <c r="J3849" t="s">
        <v>425</v>
      </c>
      <c r="L3849" t="s">
        <v>421</v>
      </c>
      <c r="M3849" t="s">
        <v>424</v>
      </c>
      <c r="N3849" t="s">
        <v>423</v>
      </c>
    </row>
    <row r="3850" spans="1:14" ht="15" customHeight="1" x14ac:dyDescent="0.25">
      <c r="A3850" s="82">
        <v>46125</v>
      </c>
      <c r="B3850" t="s">
        <v>421</v>
      </c>
      <c r="C3850" t="s">
        <v>455</v>
      </c>
      <c r="D3850" t="s">
        <v>427</v>
      </c>
      <c r="E3850" t="s">
        <v>424</v>
      </c>
      <c r="F3850" t="s">
        <v>429</v>
      </c>
      <c r="G3850" t="s">
        <v>428</v>
      </c>
      <c r="H3850" t="s">
        <v>430</v>
      </c>
      <c r="I3850" t="s">
        <v>426</v>
      </c>
      <c r="J3850" t="s">
        <v>425</v>
      </c>
      <c r="L3850" t="s">
        <v>421</v>
      </c>
      <c r="M3850" t="s">
        <v>424</v>
      </c>
      <c r="N3850" t="s">
        <v>423</v>
      </c>
    </row>
    <row r="3851" spans="1:14" ht="15" customHeight="1" x14ac:dyDescent="0.25">
      <c r="A3851" s="82">
        <v>46126</v>
      </c>
      <c r="B3851" t="s">
        <v>427</v>
      </c>
      <c r="C3851" t="s">
        <v>421</v>
      </c>
      <c r="D3851" t="s">
        <v>455</v>
      </c>
      <c r="E3851" t="s">
        <v>424</v>
      </c>
      <c r="F3851" t="s">
        <v>429</v>
      </c>
      <c r="G3851" t="s">
        <v>428</v>
      </c>
      <c r="H3851" t="s">
        <v>430</v>
      </c>
      <c r="I3851" t="s">
        <v>426</v>
      </c>
      <c r="J3851" t="s">
        <v>425</v>
      </c>
      <c r="L3851" t="s">
        <v>421</v>
      </c>
      <c r="M3851" t="s">
        <v>424</v>
      </c>
      <c r="N3851" t="s">
        <v>423</v>
      </c>
    </row>
    <row r="3852" spans="1:14" ht="15" customHeight="1" x14ac:dyDescent="0.25">
      <c r="A3852" s="82">
        <v>46127</v>
      </c>
      <c r="B3852" t="s">
        <v>455</v>
      </c>
      <c r="C3852" t="s">
        <v>421</v>
      </c>
      <c r="D3852" t="s">
        <v>427</v>
      </c>
      <c r="E3852" t="s">
        <v>424</v>
      </c>
      <c r="F3852" t="s">
        <v>429</v>
      </c>
      <c r="G3852" t="s">
        <v>428</v>
      </c>
      <c r="H3852" t="s">
        <v>430</v>
      </c>
      <c r="I3852" t="s">
        <v>426</v>
      </c>
      <c r="J3852" t="s">
        <v>425</v>
      </c>
      <c r="L3852" t="s">
        <v>421</v>
      </c>
      <c r="M3852" t="s">
        <v>424</v>
      </c>
      <c r="N3852" t="s">
        <v>423</v>
      </c>
    </row>
    <row r="3853" spans="1:14" ht="15" customHeight="1" x14ac:dyDescent="0.25">
      <c r="A3853" s="82">
        <v>46128</v>
      </c>
      <c r="B3853" t="s">
        <v>421</v>
      </c>
      <c r="C3853" t="s">
        <v>427</v>
      </c>
      <c r="D3853" t="s">
        <v>455</v>
      </c>
      <c r="E3853" t="s">
        <v>424</v>
      </c>
      <c r="F3853" t="s">
        <v>429</v>
      </c>
      <c r="G3853" t="s">
        <v>428</v>
      </c>
      <c r="H3853" t="s">
        <v>430</v>
      </c>
      <c r="I3853" t="s">
        <v>426</v>
      </c>
      <c r="J3853" t="s">
        <v>425</v>
      </c>
      <c r="L3853" t="s">
        <v>421</v>
      </c>
      <c r="M3853" t="s">
        <v>424</v>
      </c>
      <c r="N3853" t="s">
        <v>423</v>
      </c>
    </row>
    <row r="3854" spans="1:14" ht="15" customHeight="1" x14ac:dyDescent="0.25">
      <c r="A3854" s="82">
        <v>46129</v>
      </c>
      <c r="B3854" t="s">
        <v>429</v>
      </c>
      <c r="C3854" t="s">
        <v>455</v>
      </c>
      <c r="D3854" t="s">
        <v>424</v>
      </c>
      <c r="E3854" t="s">
        <v>430</v>
      </c>
      <c r="F3854" t="s">
        <v>426</v>
      </c>
      <c r="G3854" t="s">
        <v>425</v>
      </c>
      <c r="H3854" t="s">
        <v>421</v>
      </c>
      <c r="I3854" t="s">
        <v>427</v>
      </c>
      <c r="J3854" t="s">
        <v>425</v>
      </c>
      <c r="L3854" t="s">
        <v>423</v>
      </c>
      <c r="M3854" t="s">
        <v>421</v>
      </c>
      <c r="N3854" t="s">
        <v>424</v>
      </c>
    </row>
    <row r="3855" spans="1:14" ht="15" customHeight="1" x14ac:dyDescent="0.25">
      <c r="A3855" s="82">
        <v>46130</v>
      </c>
      <c r="B3855" t="s">
        <v>429</v>
      </c>
      <c r="C3855" t="s">
        <v>428</v>
      </c>
      <c r="D3855" t="s">
        <v>424</v>
      </c>
      <c r="E3855" t="s">
        <v>430</v>
      </c>
      <c r="F3855" t="s">
        <v>426</v>
      </c>
      <c r="G3855" t="s">
        <v>425</v>
      </c>
      <c r="H3855" t="s">
        <v>427</v>
      </c>
      <c r="I3855" t="s">
        <v>455</v>
      </c>
      <c r="J3855" t="s">
        <v>421</v>
      </c>
      <c r="L3855" t="s">
        <v>423</v>
      </c>
      <c r="M3855" t="s">
        <v>421</v>
      </c>
      <c r="N3855" t="s">
        <v>424</v>
      </c>
    </row>
    <row r="3856" spans="1:14" ht="15" customHeight="1" x14ac:dyDescent="0.25">
      <c r="A3856" s="82">
        <v>46131</v>
      </c>
      <c r="B3856" t="s">
        <v>429</v>
      </c>
      <c r="C3856" t="s">
        <v>428</v>
      </c>
      <c r="D3856" t="s">
        <v>424</v>
      </c>
      <c r="E3856" t="s">
        <v>430</v>
      </c>
      <c r="F3856" t="s">
        <v>426</v>
      </c>
      <c r="G3856" t="s">
        <v>425</v>
      </c>
      <c r="H3856" t="s">
        <v>455</v>
      </c>
      <c r="I3856" t="s">
        <v>427</v>
      </c>
      <c r="J3856" t="s">
        <v>421</v>
      </c>
      <c r="L3856" t="s">
        <v>423</v>
      </c>
      <c r="M3856" t="s">
        <v>421</v>
      </c>
      <c r="N3856" t="s">
        <v>424</v>
      </c>
    </row>
    <row r="3857" spans="1:14" ht="15" customHeight="1" x14ac:dyDescent="0.25">
      <c r="A3857" s="82">
        <v>46132</v>
      </c>
      <c r="B3857" t="s">
        <v>429</v>
      </c>
      <c r="C3857" t="s">
        <v>428</v>
      </c>
      <c r="D3857" t="s">
        <v>424</v>
      </c>
      <c r="E3857" t="s">
        <v>430</v>
      </c>
      <c r="F3857" t="s">
        <v>426</v>
      </c>
      <c r="G3857" t="s">
        <v>425</v>
      </c>
      <c r="H3857" t="s">
        <v>421</v>
      </c>
      <c r="I3857" t="s">
        <v>455</v>
      </c>
      <c r="J3857" t="s">
        <v>427</v>
      </c>
      <c r="L3857" t="s">
        <v>423</v>
      </c>
      <c r="M3857" t="s">
        <v>421</v>
      </c>
      <c r="N3857" t="s">
        <v>424</v>
      </c>
    </row>
    <row r="3858" spans="1:14" ht="15" customHeight="1" x14ac:dyDescent="0.25">
      <c r="A3858" s="82">
        <v>46133</v>
      </c>
      <c r="B3858" t="s">
        <v>429</v>
      </c>
      <c r="C3858" t="s">
        <v>428</v>
      </c>
      <c r="D3858" t="s">
        <v>424</v>
      </c>
      <c r="E3858" t="s">
        <v>430</v>
      </c>
      <c r="F3858" t="s">
        <v>426</v>
      </c>
      <c r="G3858" t="s">
        <v>425</v>
      </c>
      <c r="H3858" t="s">
        <v>427</v>
      </c>
      <c r="I3858" t="s">
        <v>421</v>
      </c>
      <c r="J3858" t="s">
        <v>455</v>
      </c>
      <c r="L3858" t="s">
        <v>423</v>
      </c>
      <c r="M3858" t="s">
        <v>421</v>
      </c>
      <c r="N3858" t="s">
        <v>424</v>
      </c>
    </row>
    <row r="3859" spans="1:14" ht="15" customHeight="1" x14ac:dyDescent="0.25">
      <c r="A3859" s="82">
        <v>46134</v>
      </c>
      <c r="B3859" t="s">
        <v>429</v>
      </c>
      <c r="C3859" t="s">
        <v>428</v>
      </c>
      <c r="D3859" t="s">
        <v>424</v>
      </c>
      <c r="E3859" t="s">
        <v>430</v>
      </c>
      <c r="F3859" t="s">
        <v>426</v>
      </c>
      <c r="G3859" t="s">
        <v>425</v>
      </c>
      <c r="H3859" t="s">
        <v>455</v>
      </c>
      <c r="I3859" t="s">
        <v>421</v>
      </c>
      <c r="J3859" t="s">
        <v>427</v>
      </c>
      <c r="L3859" t="s">
        <v>423</v>
      </c>
      <c r="M3859" t="s">
        <v>421</v>
      </c>
      <c r="N3859" t="s">
        <v>424</v>
      </c>
    </row>
    <row r="3860" spans="1:14" ht="15" customHeight="1" x14ac:dyDescent="0.25">
      <c r="A3860" s="82">
        <v>46135</v>
      </c>
      <c r="B3860" t="s">
        <v>429</v>
      </c>
      <c r="C3860" t="s">
        <v>428</v>
      </c>
      <c r="D3860" t="s">
        <v>424</v>
      </c>
      <c r="E3860" t="s">
        <v>430</v>
      </c>
      <c r="F3860" t="s">
        <v>426</v>
      </c>
      <c r="G3860" t="s">
        <v>425</v>
      </c>
      <c r="H3860" t="s">
        <v>421</v>
      </c>
      <c r="I3860" t="s">
        <v>427</v>
      </c>
      <c r="J3860" t="s">
        <v>455</v>
      </c>
      <c r="L3860" t="s">
        <v>423</v>
      </c>
      <c r="M3860" t="s">
        <v>421</v>
      </c>
      <c r="N3860" t="s">
        <v>424</v>
      </c>
    </row>
    <row r="3861" spans="1:14" ht="15" customHeight="1" x14ac:dyDescent="0.25">
      <c r="A3861" s="82">
        <v>46136</v>
      </c>
      <c r="B3861" t="s">
        <v>426</v>
      </c>
      <c r="C3861" t="s">
        <v>425</v>
      </c>
      <c r="D3861" t="s">
        <v>430</v>
      </c>
      <c r="E3861" t="s">
        <v>421</v>
      </c>
      <c r="F3861" t="s">
        <v>427</v>
      </c>
      <c r="G3861" t="s">
        <v>425</v>
      </c>
      <c r="H3861" t="s">
        <v>429</v>
      </c>
      <c r="I3861" t="s">
        <v>455</v>
      </c>
      <c r="J3861" t="s">
        <v>424</v>
      </c>
      <c r="L3861" t="s">
        <v>428</v>
      </c>
      <c r="M3861" t="s">
        <v>423</v>
      </c>
      <c r="N3861" t="s">
        <v>421</v>
      </c>
    </row>
    <row r="3862" spans="1:14" ht="15" customHeight="1" x14ac:dyDescent="0.25">
      <c r="A3862" s="82">
        <v>46137</v>
      </c>
      <c r="B3862" t="s">
        <v>426</v>
      </c>
      <c r="C3862" t="s">
        <v>425</v>
      </c>
      <c r="D3862" t="s">
        <v>430</v>
      </c>
      <c r="E3862" t="s">
        <v>427</v>
      </c>
      <c r="F3862" t="s">
        <v>455</v>
      </c>
      <c r="G3862" t="s">
        <v>421</v>
      </c>
      <c r="H3862" t="s">
        <v>429</v>
      </c>
      <c r="I3862" t="s">
        <v>428</v>
      </c>
      <c r="J3862" t="s">
        <v>424</v>
      </c>
      <c r="L3862" t="s">
        <v>428</v>
      </c>
      <c r="M3862" t="s">
        <v>423</v>
      </c>
      <c r="N3862" t="s">
        <v>421</v>
      </c>
    </row>
    <row r="3863" spans="1:14" ht="15" customHeight="1" x14ac:dyDescent="0.25">
      <c r="A3863" s="82">
        <v>46138</v>
      </c>
      <c r="B3863" t="s">
        <v>426</v>
      </c>
      <c r="C3863" t="s">
        <v>425</v>
      </c>
      <c r="D3863" t="s">
        <v>430</v>
      </c>
      <c r="E3863" t="s">
        <v>455</v>
      </c>
      <c r="F3863" t="s">
        <v>427</v>
      </c>
      <c r="G3863" t="s">
        <v>421</v>
      </c>
      <c r="H3863" t="s">
        <v>429</v>
      </c>
      <c r="I3863" t="s">
        <v>428</v>
      </c>
      <c r="J3863" t="s">
        <v>424</v>
      </c>
      <c r="L3863" t="s">
        <v>428</v>
      </c>
      <c r="M3863" t="s">
        <v>423</v>
      </c>
      <c r="N3863" t="s">
        <v>421</v>
      </c>
    </row>
    <row r="3864" spans="1:14" ht="15" customHeight="1" x14ac:dyDescent="0.25">
      <c r="A3864" s="82">
        <v>46139</v>
      </c>
      <c r="B3864" t="s">
        <v>426</v>
      </c>
      <c r="C3864" t="s">
        <v>425</v>
      </c>
      <c r="D3864" t="s">
        <v>430</v>
      </c>
      <c r="E3864" t="s">
        <v>421</v>
      </c>
      <c r="F3864" t="s">
        <v>455</v>
      </c>
      <c r="G3864" t="s">
        <v>427</v>
      </c>
      <c r="H3864" t="s">
        <v>429</v>
      </c>
      <c r="I3864" t="s">
        <v>428</v>
      </c>
      <c r="J3864" t="s">
        <v>424</v>
      </c>
      <c r="L3864" t="s">
        <v>428</v>
      </c>
      <c r="M3864" t="s">
        <v>423</v>
      </c>
      <c r="N3864" t="s">
        <v>421</v>
      </c>
    </row>
    <row r="3865" spans="1:14" ht="15" customHeight="1" x14ac:dyDescent="0.25">
      <c r="A3865" s="82">
        <v>46140</v>
      </c>
      <c r="B3865" t="s">
        <v>426</v>
      </c>
      <c r="C3865" t="s">
        <v>425</v>
      </c>
      <c r="D3865" t="s">
        <v>430</v>
      </c>
      <c r="E3865" t="s">
        <v>427</v>
      </c>
      <c r="F3865" t="s">
        <v>421</v>
      </c>
      <c r="G3865" t="s">
        <v>455</v>
      </c>
      <c r="H3865" t="s">
        <v>429</v>
      </c>
      <c r="I3865" t="s">
        <v>428</v>
      </c>
      <c r="J3865" t="s">
        <v>424</v>
      </c>
      <c r="L3865" t="s">
        <v>428</v>
      </c>
      <c r="M3865" t="s">
        <v>423</v>
      </c>
      <c r="N3865" t="s">
        <v>421</v>
      </c>
    </row>
    <row r="3866" spans="1:14" ht="15" customHeight="1" x14ac:dyDescent="0.25">
      <c r="A3866" s="82">
        <v>46141</v>
      </c>
      <c r="B3866" t="s">
        <v>426</v>
      </c>
      <c r="C3866" t="s">
        <v>425</v>
      </c>
      <c r="D3866" t="s">
        <v>430</v>
      </c>
      <c r="E3866" t="s">
        <v>455</v>
      </c>
      <c r="F3866" t="s">
        <v>421</v>
      </c>
      <c r="G3866" t="s">
        <v>427</v>
      </c>
      <c r="H3866" t="s">
        <v>429</v>
      </c>
      <c r="I3866" t="s">
        <v>428</v>
      </c>
      <c r="J3866" t="s">
        <v>424</v>
      </c>
      <c r="L3866" t="s">
        <v>424</v>
      </c>
      <c r="M3866" t="s">
        <v>423</v>
      </c>
      <c r="N3866" t="s">
        <v>421</v>
      </c>
    </row>
    <row r="3867" spans="1:14" ht="15" customHeight="1" x14ac:dyDescent="0.25">
      <c r="A3867" s="82">
        <v>46142</v>
      </c>
      <c r="B3867" t="s">
        <v>426</v>
      </c>
      <c r="C3867" t="s">
        <v>425</v>
      </c>
      <c r="D3867" t="s">
        <v>430</v>
      </c>
      <c r="E3867" t="s">
        <v>421</v>
      </c>
      <c r="F3867" t="s">
        <v>427</v>
      </c>
      <c r="G3867" t="s">
        <v>455</v>
      </c>
      <c r="H3867" t="s">
        <v>429</v>
      </c>
      <c r="I3867" t="s">
        <v>428</v>
      </c>
      <c r="J3867" t="s">
        <v>424</v>
      </c>
      <c r="L3867" t="s">
        <v>424</v>
      </c>
      <c r="M3867" t="s">
        <v>423</v>
      </c>
      <c r="N3867" t="s">
        <v>421</v>
      </c>
    </row>
    <row r="3868" spans="1:14" ht="15" customHeight="1" x14ac:dyDescent="0.25">
      <c r="A3868" s="82">
        <v>46143</v>
      </c>
      <c r="B3868" t="s">
        <v>427</v>
      </c>
      <c r="C3868" t="s">
        <v>425</v>
      </c>
      <c r="D3868" t="s">
        <v>421</v>
      </c>
      <c r="E3868" t="s">
        <v>429</v>
      </c>
      <c r="F3868" t="s">
        <v>455</v>
      </c>
      <c r="G3868" t="s">
        <v>424</v>
      </c>
      <c r="H3868" t="s">
        <v>426</v>
      </c>
      <c r="I3868" t="s">
        <v>425</v>
      </c>
      <c r="J3868" t="s">
        <v>430</v>
      </c>
      <c r="L3868" t="s">
        <v>421</v>
      </c>
      <c r="M3868" t="s">
        <v>424</v>
      </c>
      <c r="N3868" t="s">
        <v>423</v>
      </c>
    </row>
    <row r="3869" spans="1:14" ht="15" customHeight="1" x14ac:dyDescent="0.25">
      <c r="A3869" s="82">
        <v>46144</v>
      </c>
      <c r="B3869" t="s">
        <v>455</v>
      </c>
      <c r="C3869" t="s">
        <v>421</v>
      </c>
      <c r="D3869" t="s">
        <v>427</v>
      </c>
      <c r="E3869" t="s">
        <v>429</v>
      </c>
      <c r="F3869" t="s">
        <v>428</v>
      </c>
      <c r="G3869" t="s">
        <v>424</v>
      </c>
      <c r="H3869" t="s">
        <v>426</v>
      </c>
      <c r="I3869" t="s">
        <v>425</v>
      </c>
      <c r="J3869" t="s">
        <v>430</v>
      </c>
      <c r="L3869" t="s">
        <v>421</v>
      </c>
      <c r="M3869" t="s">
        <v>424</v>
      </c>
      <c r="N3869" t="s">
        <v>423</v>
      </c>
    </row>
    <row r="3870" spans="1:14" ht="15" customHeight="1" x14ac:dyDescent="0.25">
      <c r="A3870" s="82">
        <v>46145</v>
      </c>
      <c r="B3870" t="s">
        <v>427</v>
      </c>
      <c r="C3870" t="s">
        <v>421</v>
      </c>
      <c r="D3870" t="s">
        <v>455</v>
      </c>
      <c r="E3870" t="s">
        <v>429</v>
      </c>
      <c r="F3870" t="s">
        <v>428</v>
      </c>
      <c r="G3870" t="s">
        <v>424</v>
      </c>
      <c r="H3870" t="s">
        <v>426</v>
      </c>
      <c r="I3870" t="s">
        <v>425</v>
      </c>
      <c r="J3870" t="s">
        <v>430</v>
      </c>
      <c r="L3870" t="s">
        <v>421</v>
      </c>
      <c r="M3870" t="s">
        <v>424</v>
      </c>
      <c r="N3870" t="s">
        <v>423</v>
      </c>
    </row>
    <row r="3871" spans="1:14" ht="15" customHeight="1" x14ac:dyDescent="0.25">
      <c r="A3871" s="82">
        <v>46146</v>
      </c>
      <c r="B3871" t="s">
        <v>455</v>
      </c>
      <c r="C3871" t="s">
        <v>427</v>
      </c>
      <c r="D3871" t="s">
        <v>421</v>
      </c>
      <c r="E3871" t="s">
        <v>429</v>
      </c>
      <c r="F3871" t="s">
        <v>428</v>
      </c>
      <c r="G3871" t="s">
        <v>424</v>
      </c>
      <c r="H3871" t="s">
        <v>426</v>
      </c>
      <c r="I3871" t="s">
        <v>425</v>
      </c>
      <c r="J3871" t="s">
        <v>430</v>
      </c>
      <c r="L3871" t="s">
        <v>421</v>
      </c>
      <c r="M3871" t="s">
        <v>424</v>
      </c>
      <c r="N3871" t="s">
        <v>423</v>
      </c>
    </row>
    <row r="3872" spans="1:14" ht="15" customHeight="1" x14ac:dyDescent="0.25">
      <c r="A3872" s="82">
        <v>46147</v>
      </c>
      <c r="B3872" t="s">
        <v>421</v>
      </c>
      <c r="C3872" t="s">
        <v>455</v>
      </c>
      <c r="D3872" t="s">
        <v>427</v>
      </c>
      <c r="E3872" t="s">
        <v>429</v>
      </c>
      <c r="F3872" t="s">
        <v>428</v>
      </c>
      <c r="G3872" t="s">
        <v>424</v>
      </c>
      <c r="H3872" t="s">
        <v>426</v>
      </c>
      <c r="I3872" t="s">
        <v>425</v>
      </c>
      <c r="J3872" t="s">
        <v>430</v>
      </c>
      <c r="L3872" t="s">
        <v>421</v>
      </c>
      <c r="M3872" t="s">
        <v>424</v>
      </c>
      <c r="N3872" t="s">
        <v>423</v>
      </c>
    </row>
    <row r="3873" spans="1:14" ht="15" customHeight="1" x14ac:dyDescent="0.25">
      <c r="A3873" s="82">
        <v>46148</v>
      </c>
      <c r="B3873" t="s">
        <v>421</v>
      </c>
      <c r="C3873" t="s">
        <v>427</v>
      </c>
      <c r="D3873" t="s">
        <v>455</v>
      </c>
      <c r="E3873" t="s">
        <v>429</v>
      </c>
      <c r="F3873" t="s">
        <v>428</v>
      </c>
      <c r="G3873" t="s">
        <v>424</v>
      </c>
      <c r="H3873" t="s">
        <v>426</v>
      </c>
      <c r="I3873" t="s">
        <v>425</v>
      </c>
      <c r="J3873" t="s">
        <v>430</v>
      </c>
      <c r="L3873" t="s">
        <v>421</v>
      </c>
      <c r="M3873" t="s">
        <v>424</v>
      </c>
      <c r="N3873" t="s">
        <v>423</v>
      </c>
    </row>
    <row r="3874" spans="1:14" ht="15" customHeight="1" x14ac:dyDescent="0.25">
      <c r="A3874" s="82">
        <v>46149</v>
      </c>
      <c r="B3874" t="s">
        <v>427</v>
      </c>
      <c r="C3874" t="s">
        <v>455</v>
      </c>
      <c r="D3874" t="s">
        <v>421</v>
      </c>
      <c r="E3874" t="s">
        <v>429</v>
      </c>
      <c r="F3874" t="s">
        <v>428</v>
      </c>
      <c r="G3874" t="s">
        <v>424</v>
      </c>
      <c r="H3874" t="s">
        <v>426</v>
      </c>
      <c r="I3874" t="s">
        <v>425</v>
      </c>
      <c r="J3874" t="s">
        <v>430</v>
      </c>
      <c r="L3874" t="s">
        <v>421</v>
      </c>
      <c r="M3874" t="s">
        <v>424</v>
      </c>
      <c r="N3874" t="s">
        <v>423</v>
      </c>
    </row>
    <row r="3875" spans="1:14" ht="15" customHeight="1" x14ac:dyDescent="0.25">
      <c r="A3875" s="82">
        <v>46150</v>
      </c>
      <c r="B3875" t="s">
        <v>455</v>
      </c>
      <c r="C3875" t="s">
        <v>424</v>
      </c>
      <c r="D3875" t="s">
        <v>429</v>
      </c>
      <c r="E3875" t="s">
        <v>426</v>
      </c>
      <c r="F3875" t="s">
        <v>425</v>
      </c>
      <c r="G3875" t="s">
        <v>430</v>
      </c>
      <c r="H3875" t="s">
        <v>427</v>
      </c>
      <c r="I3875" t="s">
        <v>425</v>
      </c>
      <c r="J3875" t="s">
        <v>421</v>
      </c>
      <c r="L3875" t="s">
        <v>423</v>
      </c>
      <c r="M3875" t="s">
        <v>421</v>
      </c>
      <c r="N3875" t="s">
        <v>424</v>
      </c>
    </row>
    <row r="3876" spans="1:14" ht="15" customHeight="1" x14ac:dyDescent="0.25">
      <c r="A3876" s="82">
        <v>46151</v>
      </c>
      <c r="B3876" t="s">
        <v>428</v>
      </c>
      <c r="C3876" t="s">
        <v>424</v>
      </c>
      <c r="D3876" t="s">
        <v>429</v>
      </c>
      <c r="E3876" t="s">
        <v>426</v>
      </c>
      <c r="F3876" t="s">
        <v>425</v>
      </c>
      <c r="G3876" t="s">
        <v>430</v>
      </c>
      <c r="H3876" t="s">
        <v>455</v>
      </c>
      <c r="I3876" t="s">
        <v>421</v>
      </c>
      <c r="J3876" t="s">
        <v>427</v>
      </c>
      <c r="L3876" t="s">
        <v>423</v>
      </c>
      <c r="M3876" t="s">
        <v>421</v>
      </c>
      <c r="N3876" t="s">
        <v>424</v>
      </c>
    </row>
    <row r="3877" spans="1:14" ht="15" customHeight="1" x14ac:dyDescent="0.25">
      <c r="A3877" s="82">
        <v>46152</v>
      </c>
      <c r="B3877" t="s">
        <v>428</v>
      </c>
      <c r="C3877" t="s">
        <v>424</v>
      </c>
      <c r="D3877" t="s">
        <v>429</v>
      </c>
      <c r="E3877" t="s">
        <v>426</v>
      </c>
      <c r="F3877" t="s">
        <v>425</v>
      </c>
      <c r="G3877" t="s">
        <v>430</v>
      </c>
      <c r="H3877" t="s">
        <v>427</v>
      </c>
      <c r="I3877" t="s">
        <v>421</v>
      </c>
      <c r="J3877" t="s">
        <v>455</v>
      </c>
      <c r="L3877" t="s">
        <v>423</v>
      </c>
      <c r="M3877" t="s">
        <v>421</v>
      </c>
      <c r="N3877" t="s">
        <v>424</v>
      </c>
    </row>
    <row r="3878" spans="1:14" ht="15" customHeight="1" x14ac:dyDescent="0.25">
      <c r="A3878" s="82">
        <v>46153</v>
      </c>
      <c r="B3878" t="s">
        <v>428</v>
      </c>
      <c r="C3878" t="s">
        <v>424</v>
      </c>
      <c r="D3878" t="s">
        <v>429</v>
      </c>
      <c r="E3878" t="s">
        <v>426</v>
      </c>
      <c r="F3878" t="s">
        <v>425</v>
      </c>
      <c r="G3878" t="s">
        <v>430</v>
      </c>
      <c r="H3878" t="s">
        <v>455</v>
      </c>
      <c r="I3878" t="s">
        <v>427</v>
      </c>
      <c r="J3878" t="s">
        <v>421</v>
      </c>
      <c r="L3878" t="s">
        <v>423</v>
      </c>
      <c r="M3878" t="s">
        <v>421</v>
      </c>
      <c r="N3878" t="s">
        <v>424</v>
      </c>
    </row>
    <row r="3879" spans="1:14" ht="15" customHeight="1" x14ac:dyDescent="0.25">
      <c r="A3879" s="82">
        <v>46154</v>
      </c>
      <c r="B3879" t="s">
        <v>428</v>
      </c>
      <c r="C3879" t="s">
        <v>424</v>
      </c>
      <c r="D3879" t="s">
        <v>429</v>
      </c>
      <c r="E3879" t="s">
        <v>426</v>
      </c>
      <c r="F3879" t="s">
        <v>425</v>
      </c>
      <c r="G3879" t="s">
        <v>430</v>
      </c>
      <c r="H3879" t="s">
        <v>421</v>
      </c>
      <c r="I3879" t="s">
        <v>455</v>
      </c>
      <c r="J3879" t="s">
        <v>427</v>
      </c>
      <c r="L3879" t="s">
        <v>423</v>
      </c>
      <c r="M3879" t="s">
        <v>421</v>
      </c>
      <c r="N3879" t="s">
        <v>424</v>
      </c>
    </row>
    <row r="3880" spans="1:14" ht="15" customHeight="1" x14ac:dyDescent="0.25">
      <c r="A3880" s="82">
        <v>46155</v>
      </c>
      <c r="B3880" t="s">
        <v>428</v>
      </c>
      <c r="C3880" t="s">
        <v>424</v>
      </c>
      <c r="D3880" t="s">
        <v>429</v>
      </c>
      <c r="E3880" t="s">
        <v>426</v>
      </c>
      <c r="F3880" t="s">
        <v>425</v>
      </c>
      <c r="G3880" t="s">
        <v>430</v>
      </c>
      <c r="H3880" t="s">
        <v>421</v>
      </c>
      <c r="I3880" t="s">
        <v>427</v>
      </c>
      <c r="J3880" t="s">
        <v>455</v>
      </c>
      <c r="L3880" t="s">
        <v>423</v>
      </c>
      <c r="M3880" t="s">
        <v>421</v>
      </c>
      <c r="N3880" t="s">
        <v>424</v>
      </c>
    </row>
    <row r="3881" spans="1:14" ht="15" customHeight="1" x14ac:dyDescent="0.25">
      <c r="A3881" s="82">
        <v>46156</v>
      </c>
      <c r="B3881" t="s">
        <v>428</v>
      </c>
      <c r="C3881" t="s">
        <v>424</v>
      </c>
      <c r="D3881" t="s">
        <v>429</v>
      </c>
      <c r="E3881" t="s">
        <v>426</v>
      </c>
      <c r="F3881" t="s">
        <v>425</v>
      </c>
      <c r="G3881" t="s">
        <v>430</v>
      </c>
      <c r="H3881" t="s">
        <v>427</v>
      </c>
      <c r="I3881" t="s">
        <v>455</v>
      </c>
      <c r="J3881" t="s">
        <v>421</v>
      </c>
      <c r="L3881" t="s">
        <v>423</v>
      </c>
      <c r="M3881" t="s">
        <v>421</v>
      </c>
      <c r="N3881" t="s">
        <v>424</v>
      </c>
    </row>
    <row r="3882" spans="1:14" ht="15" customHeight="1" x14ac:dyDescent="0.25">
      <c r="A3882" s="82">
        <v>46157</v>
      </c>
      <c r="B3882" t="s">
        <v>425</v>
      </c>
      <c r="C3882" t="s">
        <v>430</v>
      </c>
      <c r="D3882" t="s">
        <v>426</v>
      </c>
      <c r="E3882" t="s">
        <v>427</v>
      </c>
      <c r="F3882" t="s">
        <v>425</v>
      </c>
      <c r="G3882" t="s">
        <v>421</v>
      </c>
      <c r="H3882" t="s">
        <v>455</v>
      </c>
      <c r="I3882" t="s">
        <v>424</v>
      </c>
      <c r="J3882" t="s">
        <v>429</v>
      </c>
      <c r="L3882" t="s">
        <v>424</v>
      </c>
      <c r="M3882" t="s">
        <v>423</v>
      </c>
      <c r="N3882" t="s">
        <v>421</v>
      </c>
    </row>
    <row r="3883" spans="1:14" ht="15" customHeight="1" x14ac:dyDescent="0.25">
      <c r="A3883" s="82">
        <v>46158</v>
      </c>
      <c r="B3883" t="s">
        <v>425</v>
      </c>
      <c r="C3883" t="s">
        <v>430</v>
      </c>
      <c r="D3883" t="s">
        <v>426</v>
      </c>
      <c r="E3883" t="s">
        <v>455</v>
      </c>
      <c r="F3883" t="s">
        <v>421</v>
      </c>
      <c r="G3883" t="s">
        <v>427</v>
      </c>
      <c r="H3883" t="s">
        <v>428</v>
      </c>
      <c r="I3883" t="s">
        <v>424</v>
      </c>
      <c r="J3883" t="s">
        <v>429</v>
      </c>
      <c r="L3883" t="s">
        <v>424</v>
      </c>
      <c r="M3883" t="s">
        <v>423</v>
      </c>
      <c r="N3883" t="s">
        <v>421</v>
      </c>
    </row>
    <row r="3884" spans="1:14" ht="15" customHeight="1" x14ac:dyDescent="0.25">
      <c r="A3884" s="82">
        <v>46159</v>
      </c>
      <c r="B3884" t="s">
        <v>425</v>
      </c>
      <c r="C3884" t="s">
        <v>430</v>
      </c>
      <c r="D3884" t="s">
        <v>426</v>
      </c>
      <c r="E3884" t="s">
        <v>427</v>
      </c>
      <c r="F3884" t="s">
        <v>421</v>
      </c>
      <c r="G3884" t="s">
        <v>455</v>
      </c>
      <c r="H3884" t="s">
        <v>428</v>
      </c>
      <c r="I3884" t="s">
        <v>424</v>
      </c>
      <c r="J3884" t="s">
        <v>429</v>
      </c>
      <c r="L3884" t="s">
        <v>424</v>
      </c>
      <c r="M3884" t="s">
        <v>423</v>
      </c>
      <c r="N3884" t="s">
        <v>421</v>
      </c>
    </row>
    <row r="3885" spans="1:14" ht="15" customHeight="1" x14ac:dyDescent="0.25">
      <c r="A3885" s="82">
        <v>46160</v>
      </c>
      <c r="B3885" t="s">
        <v>425</v>
      </c>
      <c r="C3885" t="s">
        <v>430</v>
      </c>
      <c r="D3885" t="s">
        <v>426</v>
      </c>
      <c r="E3885" t="s">
        <v>455</v>
      </c>
      <c r="F3885" t="s">
        <v>427</v>
      </c>
      <c r="G3885" t="s">
        <v>421</v>
      </c>
      <c r="H3885" t="s">
        <v>428</v>
      </c>
      <c r="I3885" t="s">
        <v>424</v>
      </c>
      <c r="J3885" t="s">
        <v>429</v>
      </c>
      <c r="L3885" t="s">
        <v>424</v>
      </c>
      <c r="M3885" t="s">
        <v>423</v>
      </c>
      <c r="N3885" t="s">
        <v>421</v>
      </c>
    </row>
    <row r="3886" spans="1:14" ht="15" customHeight="1" x14ac:dyDescent="0.25">
      <c r="A3886" s="82">
        <v>46161</v>
      </c>
      <c r="B3886" t="s">
        <v>425</v>
      </c>
      <c r="C3886" t="s">
        <v>430</v>
      </c>
      <c r="D3886" t="s">
        <v>426</v>
      </c>
      <c r="E3886" t="s">
        <v>421</v>
      </c>
      <c r="F3886" t="s">
        <v>455</v>
      </c>
      <c r="G3886" t="s">
        <v>427</v>
      </c>
      <c r="H3886" t="s">
        <v>428</v>
      </c>
      <c r="I3886" t="s">
        <v>424</v>
      </c>
      <c r="J3886" t="s">
        <v>429</v>
      </c>
      <c r="L3886" t="s">
        <v>424</v>
      </c>
      <c r="M3886" t="s">
        <v>423</v>
      </c>
      <c r="N3886" t="s">
        <v>421</v>
      </c>
    </row>
    <row r="3887" spans="1:14" ht="15" customHeight="1" x14ac:dyDescent="0.25">
      <c r="A3887" s="82">
        <v>46162</v>
      </c>
      <c r="B3887" t="s">
        <v>425</v>
      </c>
      <c r="C3887" t="s">
        <v>430</v>
      </c>
      <c r="D3887" t="s">
        <v>426</v>
      </c>
      <c r="E3887" t="s">
        <v>421</v>
      </c>
      <c r="F3887" t="s">
        <v>427</v>
      </c>
      <c r="G3887" t="s">
        <v>455</v>
      </c>
      <c r="H3887" t="s">
        <v>428</v>
      </c>
      <c r="I3887" t="s">
        <v>424</v>
      </c>
      <c r="J3887" t="s">
        <v>429</v>
      </c>
      <c r="L3887" t="s">
        <v>424</v>
      </c>
      <c r="M3887" t="s">
        <v>423</v>
      </c>
      <c r="N3887" t="s">
        <v>421</v>
      </c>
    </row>
    <row r="3888" spans="1:14" ht="15" customHeight="1" x14ac:dyDescent="0.25">
      <c r="A3888" s="82">
        <v>46163</v>
      </c>
      <c r="B3888" t="s">
        <v>425</v>
      </c>
      <c r="C3888" t="s">
        <v>430</v>
      </c>
      <c r="D3888" t="s">
        <v>426</v>
      </c>
      <c r="E3888" t="s">
        <v>427</v>
      </c>
      <c r="F3888" t="s">
        <v>455</v>
      </c>
      <c r="G3888" t="s">
        <v>421</v>
      </c>
      <c r="H3888" t="s">
        <v>428</v>
      </c>
      <c r="I3888" t="s">
        <v>424</v>
      </c>
      <c r="J3888" t="s">
        <v>429</v>
      </c>
      <c r="L3888" t="s">
        <v>424</v>
      </c>
      <c r="M3888" t="s">
        <v>423</v>
      </c>
      <c r="N3888" t="s">
        <v>421</v>
      </c>
    </row>
    <row r="3889" spans="1:14" ht="15" customHeight="1" x14ac:dyDescent="0.25">
      <c r="A3889" s="82">
        <v>46164</v>
      </c>
      <c r="B3889" t="s">
        <v>425</v>
      </c>
      <c r="C3889" t="s">
        <v>421</v>
      </c>
      <c r="D3889" t="s">
        <v>427</v>
      </c>
      <c r="E3889" t="s">
        <v>455</v>
      </c>
      <c r="F3889" t="s">
        <v>424</v>
      </c>
      <c r="G3889" t="s">
        <v>429</v>
      </c>
      <c r="H3889" t="s">
        <v>425</v>
      </c>
      <c r="I3889" t="s">
        <v>430</v>
      </c>
      <c r="J3889" t="s">
        <v>426</v>
      </c>
      <c r="L3889" t="s">
        <v>421</v>
      </c>
      <c r="M3889" t="s">
        <v>428</v>
      </c>
      <c r="N3889" t="s">
        <v>423</v>
      </c>
    </row>
    <row r="3890" spans="1:14" ht="15" customHeight="1" x14ac:dyDescent="0.25">
      <c r="A3890" s="82">
        <v>46165</v>
      </c>
      <c r="B3890" t="s">
        <v>421</v>
      </c>
      <c r="C3890" t="s">
        <v>427</v>
      </c>
      <c r="D3890" t="s">
        <v>455</v>
      </c>
      <c r="E3890" t="s">
        <v>428</v>
      </c>
      <c r="F3890" t="s">
        <v>424</v>
      </c>
      <c r="G3890" t="s">
        <v>429</v>
      </c>
      <c r="H3890" t="s">
        <v>425</v>
      </c>
      <c r="I3890" t="s">
        <v>430</v>
      </c>
      <c r="J3890" t="s">
        <v>426</v>
      </c>
      <c r="L3890" t="s">
        <v>421</v>
      </c>
      <c r="M3890" t="s">
        <v>428</v>
      </c>
      <c r="N3890" t="s">
        <v>423</v>
      </c>
    </row>
    <row r="3891" spans="1:14" ht="15" customHeight="1" x14ac:dyDescent="0.25">
      <c r="A3891" s="82">
        <v>46166</v>
      </c>
      <c r="B3891" t="s">
        <v>421</v>
      </c>
      <c r="C3891" t="s">
        <v>455</v>
      </c>
      <c r="D3891" t="s">
        <v>427</v>
      </c>
      <c r="E3891" t="s">
        <v>428</v>
      </c>
      <c r="F3891" t="s">
        <v>424</v>
      </c>
      <c r="G3891" t="s">
        <v>429</v>
      </c>
      <c r="H3891" t="s">
        <v>425</v>
      </c>
      <c r="I3891" t="s">
        <v>430</v>
      </c>
      <c r="J3891" t="s">
        <v>426</v>
      </c>
      <c r="L3891" t="s">
        <v>421</v>
      </c>
      <c r="M3891" t="s">
        <v>428</v>
      </c>
      <c r="N3891" t="s">
        <v>423</v>
      </c>
    </row>
    <row r="3892" spans="1:14" ht="15" customHeight="1" x14ac:dyDescent="0.25">
      <c r="A3892" s="82">
        <v>46167</v>
      </c>
      <c r="B3892" t="s">
        <v>427</v>
      </c>
      <c r="C3892" t="s">
        <v>421</v>
      </c>
      <c r="D3892" t="s">
        <v>455</v>
      </c>
      <c r="E3892" t="s">
        <v>428</v>
      </c>
      <c r="F3892" t="s">
        <v>424</v>
      </c>
      <c r="G3892" t="s">
        <v>429</v>
      </c>
      <c r="H3892" t="s">
        <v>425</v>
      </c>
      <c r="I3892" t="s">
        <v>430</v>
      </c>
      <c r="J3892" t="s">
        <v>426</v>
      </c>
      <c r="L3892" t="s">
        <v>421</v>
      </c>
      <c r="M3892" t="s">
        <v>428</v>
      </c>
      <c r="N3892" t="s">
        <v>423</v>
      </c>
    </row>
    <row r="3893" spans="1:14" ht="15" customHeight="1" x14ac:dyDescent="0.25">
      <c r="A3893" s="82">
        <v>46168</v>
      </c>
      <c r="B3893" t="s">
        <v>455</v>
      </c>
      <c r="C3893" t="s">
        <v>427</v>
      </c>
      <c r="D3893" t="s">
        <v>421</v>
      </c>
      <c r="E3893" t="s">
        <v>428</v>
      </c>
      <c r="F3893" t="s">
        <v>424</v>
      </c>
      <c r="G3893" t="s">
        <v>429</v>
      </c>
      <c r="H3893" t="s">
        <v>425</v>
      </c>
      <c r="I3893" t="s">
        <v>430</v>
      </c>
      <c r="J3893" t="s">
        <v>426</v>
      </c>
      <c r="L3893" t="s">
        <v>421</v>
      </c>
      <c r="M3893" t="s">
        <v>428</v>
      </c>
      <c r="N3893" t="s">
        <v>423</v>
      </c>
    </row>
    <row r="3894" spans="1:14" ht="15" customHeight="1" x14ac:dyDescent="0.25">
      <c r="A3894" s="82">
        <v>46169</v>
      </c>
      <c r="B3894" t="s">
        <v>427</v>
      </c>
      <c r="C3894" t="s">
        <v>455</v>
      </c>
      <c r="D3894" t="s">
        <v>421</v>
      </c>
      <c r="E3894" t="s">
        <v>428</v>
      </c>
      <c r="F3894" t="s">
        <v>424</v>
      </c>
      <c r="G3894" t="s">
        <v>429</v>
      </c>
      <c r="H3894" t="s">
        <v>425</v>
      </c>
      <c r="I3894" t="s">
        <v>430</v>
      </c>
      <c r="J3894" t="s">
        <v>426</v>
      </c>
      <c r="L3894" t="s">
        <v>421</v>
      </c>
      <c r="M3894" t="s">
        <v>424</v>
      </c>
      <c r="N3894" t="s">
        <v>423</v>
      </c>
    </row>
    <row r="3895" spans="1:14" ht="15" customHeight="1" x14ac:dyDescent="0.25">
      <c r="A3895" s="82">
        <v>46170</v>
      </c>
      <c r="B3895" t="s">
        <v>455</v>
      </c>
      <c r="C3895" t="s">
        <v>421</v>
      </c>
      <c r="D3895" t="s">
        <v>427</v>
      </c>
      <c r="E3895" t="s">
        <v>428</v>
      </c>
      <c r="F3895" t="s">
        <v>424</v>
      </c>
      <c r="G3895" t="s">
        <v>429</v>
      </c>
      <c r="H3895" t="s">
        <v>425</v>
      </c>
      <c r="I3895" t="s">
        <v>430</v>
      </c>
      <c r="J3895" t="s">
        <v>426</v>
      </c>
      <c r="L3895" t="s">
        <v>421</v>
      </c>
      <c r="M3895" t="s">
        <v>424</v>
      </c>
      <c r="N3895" t="s">
        <v>423</v>
      </c>
    </row>
    <row r="3896" spans="1:14" ht="15" customHeight="1" x14ac:dyDescent="0.25">
      <c r="A3896" s="82">
        <v>46171</v>
      </c>
      <c r="B3896" t="s">
        <v>424</v>
      </c>
      <c r="C3896" t="s">
        <v>429</v>
      </c>
      <c r="D3896" t="s">
        <v>455</v>
      </c>
      <c r="E3896" t="s">
        <v>425</v>
      </c>
      <c r="F3896" t="s">
        <v>430</v>
      </c>
      <c r="G3896" t="s">
        <v>426</v>
      </c>
      <c r="H3896" t="s">
        <v>425</v>
      </c>
      <c r="I3896" t="s">
        <v>421</v>
      </c>
      <c r="J3896" t="s">
        <v>427</v>
      </c>
      <c r="L3896" t="s">
        <v>423</v>
      </c>
      <c r="M3896" t="s">
        <v>421</v>
      </c>
      <c r="N3896" t="s">
        <v>424</v>
      </c>
    </row>
    <row r="3897" spans="1:14" ht="15" customHeight="1" x14ac:dyDescent="0.25">
      <c r="A3897" s="82">
        <v>46172</v>
      </c>
      <c r="B3897" t="s">
        <v>424</v>
      </c>
      <c r="C3897" t="s">
        <v>429</v>
      </c>
      <c r="D3897" t="s">
        <v>428</v>
      </c>
      <c r="E3897" t="s">
        <v>425</v>
      </c>
      <c r="F3897" t="s">
        <v>430</v>
      </c>
      <c r="G3897" t="s">
        <v>426</v>
      </c>
      <c r="H3897" t="s">
        <v>421</v>
      </c>
      <c r="I3897" t="s">
        <v>427</v>
      </c>
      <c r="J3897" t="s">
        <v>455</v>
      </c>
      <c r="L3897" t="s">
        <v>423</v>
      </c>
      <c r="M3897" t="s">
        <v>421</v>
      </c>
      <c r="N3897" t="s">
        <v>424</v>
      </c>
    </row>
    <row r="3898" spans="1:14" ht="15" customHeight="1" x14ac:dyDescent="0.25">
      <c r="A3898" s="82">
        <v>46173</v>
      </c>
      <c r="B3898" t="s">
        <v>424</v>
      </c>
      <c r="C3898" t="s">
        <v>429</v>
      </c>
      <c r="D3898" t="s">
        <v>428</v>
      </c>
      <c r="E3898" t="s">
        <v>425</v>
      </c>
      <c r="F3898" t="s">
        <v>430</v>
      </c>
      <c r="G3898" t="s">
        <v>426</v>
      </c>
      <c r="H3898" t="s">
        <v>421</v>
      </c>
      <c r="I3898" t="s">
        <v>455</v>
      </c>
      <c r="J3898" t="s">
        <v>427</v>
      </c>
      <c r="L3898" t="s">
        <v>423</v>
      </c>
      <c r="M3898" t="s">
        <v>421</v>
      </c>
      <c r="N3898" t="s">
        <v>424</v>
      </c>
    </row>
    <row r="3899" spans="1:14" ht="15" customHeight="1" x14ac:dyDescent="0.25">
      <c r="A3899" s="82">
        <v>46174</v>
      </c>
      <c r="B3899" t="s">
        <v>424</v>
      </c>
      <c r="C3899" t="s">
        <v>429</v>
      </c>
      <c r="D3899" t="s">
        <v>428</v>
      </c>
      <c r="E3899" t="s">
        <v>425</v>
      </c>
      <c r="F3899" t="s">
        <v>430</v>
      </c>
      <c r="G3899" t="s">
        <v>426</v>
      </c>
      <c r="H3899" t="s">
        <v>427</v>
      </c>
      <c r="I3899" t="s">
        <v>421</v>
      </c>
      <c r="J3899" t="s">
        <v>455</v>
      </c>
      <c r="L3899" t="s">
        <v>423</v>
      </c>
      <c r="M3899" t="s">
        <v>421</v>
      </c>
      <c r="N3899" t="s">
        <v>424</v>
      </c>
    </row>
    <row r="3900" spans="1:14" ht="15" customHeight="1" x14ac:dyDescent="0.25">
      <c r="A3900" s="82">
        <v>46175</v>
      </c>
      <c r="B3900" t="s">
        <v>424</v>
      </c>
      <c r="C3900" t="s">
        <v>429</v>
      </c>
      <c r="D3900" t="s">
        <v>428</v>
      </c>
      <c r="E3900" t="s">
        <v>425</v>
      </c>
      <c r="F3900" t="s">
        <v>430</v>
      </c>
      <c r="G3900" t="s">
        <v>426</v>
      </c>
      <c r="H3900" t="s">
        <v>455</v>
      </c>
      <c r="I3900" t="s">
        <v>427</v>
      </c>
      <c r="J3900" t="s">
        <v>421</v>
      </c>
      <c r="L3900" t="s">
        <v>423</v>
      </c>
      <c r="M3900" t="s">
        <v>421</v>
      </c>
      <c r="N3900" t="s">
        <v>424</v>
      </c>
    </row>
    <row r="3901" spans="1:14" ht="15" customHeight="1" x14ac:dyDescent="0.25">
      <c r="A3901" s="82">
        <v>46176</v>
      </c>
      <c r="B3901" t="s">
        <v>424</v>
      </c>
      <c r="C3901" t="s">
        <v>429</v>
      </c>
      <c r="D3901" t="s">
        <v>428</v>
      </c>
      <c r="E3901" t="s">
        <v>425</v>
      </c>
      <c r="F3901" t="s">
        <v>430</v>
      </c>
      <c r="G3901" t="s">
        <v>426</v>
      </c>
      <c r="H3901" t="s">
        <v>427</v>
      </c>
      <c r="I3901" t="s">
        <v>455</v>
      </c>
      <c r="J3901" t="s">
        <v>421</v>
      </c>
      <c r="L3901" t="s">
        <v>423</v>
      </c>
      <c r="M3901" t="s">
        <v>421</v>
      </c>
      <c r="N3901" t="s">
        <v>424</v>
      </c>
    </row>
    <row r="3902" spans="1:14" ht="15" customHeight="1" x14ac:dyDescent="0.25">
      <c r="A3902" s="82">
        <v>46177</v>
      </c>
      <c r="B3902" t="s">
        <v>424</v>
      </c>
      <c r="C3902" t="s">
        <v>429</v>
      </c>
      <c r="D3902" t="s">
        <v>428</v>
      </c>
      <c r="E3902" t="s">
        <v>425</v>
      </c>
      <c r="F3902" t="s">
        <v>430</v>
      </c>
      <c r="G3902" t="s">
        <v>426</v>
      </c>
      <c r="H3902" t="s">
        <v>455</v>
      </c>
      <c r="I3902" t="s">
        <v>421</v>
      </c>
      <c r="J3902" t="s">
        <v>427</v>
      </c>
      <c r="L3902" t="s">
        <v>423</v>
      </c>
      <c r="M3902" t="s">
        <v>421</v>
      </c>
      <c r="N3902" t="s">
        <v>424</v>
      </c>
    </row>
    <row r="3903" spans="1:14" ht="15" customHeight="1" x14ac:dyDescent="0.25">
      <c r="A3903" s="82">
        <v>46178</v>
      </c>
      <c r="B3903" t="s">
        <v>430</v>
      </c>
      <c r="C3903" t="s">
        <v>426</v>
      </c>
      <c r="D3903" t="s">
        <v>425</v>
      </c>
      <c r="E3903" t="s">
        <v>425</v>
      </c>
      <c r="F3903" t="s">
        <v>421</v>
      </c>
      <c r="G3903" t="s">
        <v>427</v>
      </c>
      <c r="H3903" t="s">
        <v>424</v>
      </c>
      <c r="I3903" t="s">
        <v>429</v>
      </c>
      <c r="J3903" t="s">
        <v>455</v>
      </c>
      <c r="L3903" t="s">
        <v>424</v>
      </c>
      <c r="M3903" t="s">
        <v>423</v>
      </c>
      <c r="N3903" t="s">
        <v>421</v>
      </c>
    </row>
    <row r="3904" spans="1:14" ht="15" customHeight="1" x14ac:dyDescent="0.25">
      <c r="A3904" s="82">
        <v>46179</v>
      </c>
      <c r="B3904" t="s">
        <v>430</v>
      </c>
      <c r="C3904" t="s">
        <v>426</v>
      </c>
      <c r="D3904" t="s">
        <v>425</v>
      </c>
      <c r="E3904" t="s">
        <v>421</v>
      </c>
      <c r="F3904" t="s">
        <v>427</v>
      </c>
      <c r="G3904" t="s">
        <v>455</v>
      </c>
      <c r="H3904" t="s">
        <v>424</v>
      </c>
      <c r="I3904" t="s">
        <v>429</v>
      </c>
      <c r="J3904" t="s">
        <v>428</v>
      </c>
      <c r="L3904" t="s">
        <v>424</v>
      </c>
      <c r="M3904" t="s">
        <v>423</v>
      </c>
      <c r="N3904" t="s">
        <v>421</v>
      </c>
    </row>
    <row r="3905" spans="1:14" ht="15" customHeight="1" x14ac:dyDescent="0.25">
      <c r="A3905" s="82">
        <v>46180</v>
      </c>
      <c r="B3905" t="s">
        <v>430</v>
      </c>
      <c r="C3905" t="s">
        <v>426</v>
      </c>
      <c r="D3905" t="s">
        <v>425</v>
      </c>
      <c r="E3905" t="s">
        <v>421</v>
      </c>
      <c r="F3905" t="s">
        <v>455</v>
      </c>
      <c r="G3905" t="s">
        <v>427</v>
      </c>
      <c r="H3905" t="s">
        <v>424</v>
      </c>
      <c r="I3905" t="s">
        <v>429</v>
      </c>
      <c r="J3905" t="s">
        <v>428</v>
      </c>
      <c r="L3905" t="s">
        <v>424</v>
      </c>
      <c r="M3905" t="s">
        <v>423</v>
      </c>
      <c r="N3905" t="s">
        <v>421</v>
      </c>
    </row>
    <row r="3906" spans="1:14" ht="15" customHeight="1" x14ac:dyDescent="0.25">
      <c r="A3906" s="82">
        <v>46181</v>
      </c>
      <c r="B3906" t="s">
        <v>430</v>
      </c>
      <c r="C3906" t="s">
        <v>426</v>
      </c>
      <c r="D3906" t="s">
        <v>425</v>
      </c>
      <c r="E3906" t="s">
        <v>427</v>
      </c>
      <c r="F3906" t="s">
        <v>421</v>
      </c>
      <c r="G3906" t="s">
        <v>455</v>
      </c>
      <c r="H3906" t="s">
        <v>424</v>
      </c>
      <c r="I3906" t="s">
        <v>429</v>
      </c>
      <c r="J3906" t="s">
        <v>428</v>
      </c>
      <c r="L3906" t="s">
        <v>424</v>
      </c>
      <c r="M3906" t="s">
        <v>423</v>
      </c>
      <c r="N3906" t="s">
        <v>421</v>
      </c>
    </row>
    <row r="3907" spans="1:14" ht="15" customHeight="1" x14ac:dyDescent="0.25">
      <c r="A3907" s="82">
        <v>46182</v>
      </c>
      <c r="B3907" t="s">
        <v>430</v>
      </c>
      <c r="C3907" t="s">
        <v>426</v>
      </c>
      <c r="D3907" t="s">
        <v>425</v>
      </c>
      <c r="E3907" t="s">
        <v>455</v>
      </c>
      <c r="F3907" t="s">
        <v>427</v>
      </c>
      <c r="G3907" t="s">
        <v>421</v>
      </c>
      <c r="H3907" t="s">
        <v>424</v>
      </c>
      <c r="I3907" t="s">
        <v>429</v>
      </c>
      <c r="J3907" t="s">
        <v>428</v>
      </c>
      <c r="L3907" t="s">
        <v>424</v>
      </c>
      <c r="M3907" t="s">
        <v>423</v>
      </c>
      <c r="N3907" t="s">
        <v>421</v>
      </c>
    </row>
    <row r="3908" spans="1:14" ht="15" customHeight="1" x14ac:dyDescent="0.25">
      <c r="A3908" s="82">
        <v>46183</v>
      </c>
      <c r="B3908" t="s">
        <v>430</v>
      </c>
      <c r="C3908" t="s">
        <v>426</v>
      </c>
      <c r="D3908" t="s">
        <v>425</v>
      </c>
      <c r="E3908" t="s">
        <v>427</v>
      </c>
      <c r="F3908" t="s">
        <v>455</v>
      </c>
      <c r="G3908" t="s">
        <v>421</v>
      </c>
      <c r="H3908" t="s">
        <v>424</v>
      </c>
      <c r="I3908" t="s">
        <v>429</v>
      </c>
      <c r="J3908" t="s">
        <v>428</v>
      </c>
      <c r="L3908" t="s">
        <v>424</v>
      </c>
      <c r="M3908" t="s">
        <v>423</v>
      </c>
      <c r="N3908" t="s">
        <v>421</v>
      </c>
    </row>
    <row r="3909" spans="1:14" ht="15" customHeight="1" x14ac:dyDescent="0.25">
      <c r="A3909" s="82">
        <v>46184</v>
      </c>
      <c r="B3909" t="s">
        <v>430</v>
      </c>
      <c r="C3909" t="s">
        <v>426</v>
      </c>
      <c r="D3909" t="s">
        <v>425</v>
      </c>
      <c r="E3909" t="s">
        <v>455</v>
      </c>
      <c r="F3909" t="s">
        <v>421</v>
      </c>
      <c r="G3909" t="s">
        <v>427</v>
      </c>
      <c r="H3909" t="s">
        <v>424</v>
      </c>
      <c r="I3909" t="s">
        <v>429</v>
      </c>
      <c r="J3909" t="s">
        <v>428</v>
      </c>
      <c r="L3909" t="s">
        <v>424</v>
      </c>
      <c r="M3909" t="s">
        <v>423</v>
      </c>
      <c r="N3909" t="s">
        <v>421</v>
      </c>
    </row>
    <row r="3910" spans="1:14" ht="15" customHeight="1" x14ac:dyDescent="0.25">
      <c r="A3910" s="82">
        <v>46185</v>
      </c>
      <c r="B3910" t="s">
        <v>421</v>
      </c>
      <c r="C3910" t="s">
        <v>427</v>
      </c>
      <c r="D3910" t="s">
        <v>425</v>
      </c>
      <c r="E3910" t="s">
        <v>424</v>
      </c>
      <c r="F3910" t="s">
        <v>429</v>
      </c>
      <c r="G3910" t="s">
        <v>455</v>
      </c>
      <c r="H3910" t="s">
        <v>430</v>
      </c>
      <c r="I3910" t="s">
        <v>426</v>
      </c>
      <c r="J3910" t="s">
        <v>425</v>
      </c>
      <c r="L3910" t="s">
        <v>421</v>
      </c>
      <c r="M3910" t="s">
        <v>424</v>
      </c>
      <c r="N3910" t="s">
        <v>423</v>
      </c>
    </row>
    <row r="3911" spans="1:14" ht="15" customHeight="1" x14ac:dyDescent="0.25">
      <c r="A3911" s="82">
        <v>46186</v>
      </c>
      <c r="B3911" t="s">
        <v>427</v>
      </c>
      <c r="C3911" t="s">
        <v>455</v>
      </c>
      <c r="D3911" t="s">
        <v>421</v>
      </c>
      <c r="E3911" t="s">
        <v>424</v>
      </c>
      <c r="F3911" t="s">
        <v>429</v>
      </c>
      <c r="G3911" t="s">
        <v>428</v>
      </c>
      <c r="H3911" t="s">
        <v>430</v>
      </c>
      <c r="I3911" t="s">
        <v>426</v>
      </c>
      <c r="J3911" t="s">
        <v>425</v>
      </c>
      <c r="L3911" t="s">
        <v>421</v>
      </c>
      <c r="M3911" t="s">
        <v>424</v>
      </c>
      <c r="N3911" t="s">
        <v>423</v>
      </c>
    </row>
    <row r="3912" spans="1:14" ht="15" customHeight="1" x14ac:dyDescent="0.25">
      <c r="A3912" s="82">
        <v>46187</v>
      </c>
      <c r="B3912" t="s">
        <v>455</v>
      </c>
      <c r="C3912" t="s">
        <v>427</v>
      </c>
      <c r="D3912" t="s">
        <v>421</v>
      </c>
      <c r="E3912" t="s">
        <v>424</v>
      </c>
      <c r="F3912" t="s">
        <v>429</v>
      </c>
      <c r="G3912" t="s">
        <v>428</v>
      </c>
      <c r="H3912" t="s">
        <v>430</v>
      </c>
      <c r="I3912" t="s">
        <v>426</v>
      </c>
      <c r="J3912" t="s">
        <v>425</v>
      </c>
      <c r="L3912" t="s">
        <v>421</v>
      </c>
      <c r="M3912" t="s">
        <v>424</v>
      </c>
      <c r="N3912" t="s">
        <v>423</v>
      </c>
    </row>
    <row r="3913" spans="1:14" ht="15" customHeight="1" x14ac:dyDescent="0.25">
      <c r="A3913" s="82">
        <v>46188</v>
      </c>
      <c r="B3913" t="s">
        <v>421</v>
      </c>
      <c r="C3913" t="s">
        <v>455</v>
      </c>
      <c r="D3913" t="s">
        <v>427</v>
      </c>
      <c r="E3913" t="s">
        <v>424</v>
      </c>
      <c r="F3913" t="s">
        <v>429</v>
      </c>
      <c r="G3913" t="s">
        <v>428</v>
      </c>
      <c r="H3913" t="s">
        <v>430</v>
      </c>
      <c r="I3913" t="s">
        <v>426</v>
      </c>
      <c r="J3913" t="s">
        <v>425</v>
      </c>
      <c r="L3913" t="s">
        <v>421</v>
      </c>
      <c r="M3913" t="s">
        <v>424</v>
      </c>
      <c r="N3913" t="s">
        <v>423</v>
      </c>
    </row>
    <row r="3914" spans="1:14" ht="15" customHeight="1" x14ac:dyDescent="0.25">
      <c r="A3914" s="82">
        <v>46189</v>
      </c>
      <c r="B3914" t="s">
        <v>427</v>
      </c>
      <c r="C3914" t="s">
        <v>421</v>
      </c>
      <c r="D3914" t="s">
        <v>455</v>
      </c>
      <c r="E3914" t="s">
        <v>424</v>
      </c>
      <c r="F3914" t="s">
        <v>429</v>
      </c>
      <c r="G3914" t="s">
        <v>428</v>
      </c>
      <c r="H3914" t="s">
        <v>430</v>
      </c>
      <c r="I3914" t="s">
        <v>426</v>
      </c>
      <c r="J3914" t="s">
        <v>425</v>
      </c>
      <c r="L3914" t="s">
        <v>421</v>
      </c>
      <c r="M3914" t="s">
        <v>424</v>
      </c>
      <c r="N3914" t="s">
        <v>423</v>
      </c>
    </row>
    <row r="3915" spans="1:14" ht="15" customHeight="1" x14ac:dyDescent="0.25">
      <c r="A3915" s="82">
        <v>46190</v>
      </c>
      <c r="B3915" t="s">
        <v>455</v>
      </c>
      <c r="C3915" t="s">
        <v>421</v>
      </c>
      <c r="D3915" t="s">
        <v>427</v>
      </c>
      <c r="E3915" t="s">
        <v>424</v>
      </c>
      <c r="F3915" t="s">
        <v>429</v>
      </c>
      <c r="G3915" t="s">
        <v>428</v>
      </c>
      <c r="H3915" t="s">
        <v>430</v>
      </c>
      <c r="I3915" t="s">
        <v>426</v>
      </c>
      <c r="J3915" t="s">
        <v>425</v>
      </c>
      <c r="L3915" t="s">
        <v>421</v>
      </c>
      <c r="M3915" t="s">
        <v>424</v>
      </c>
      <c r="N3915" t="s">
        <v>423</v>
      </c>
    </row>
    <row r="3916" spans="1:14" ht="15" customHeight="1" x14ac:dyDescent="0.25">
      <c r="A3916" s="82">
        <v>46191</v>
      </c>
      <c r="B3916" t="s">
        <v>517</v>
      </c>
      <c r="C3916" t="s">
        <v>427</v>
      </c>
      <c r="D3916" t="s">
        <v>455</v>
      </c>
      <c r="E3916" t="s">
        <v>424</v>
      </c>
      <c r="F3916" t="s">
        <v>429</v>
      </c>
      <c r="G3916" t="s">
        <v>428</v>
      </c>
      <c r="H3916" t="s">
        <v>430</v>
      </c>
      <c r="I3916" t="s">
        <v>426</v>
      </c>
      <c r="J3916" t="s">
        <v>425</v>
      </c>
      <c r="L3916" t="s">
        <v>421</v>
      </c>
      <c r="M3916" t="s">
        <v>424</v>
      </c>
      <c r="N3916" t="s">
        <v>423</v>
      </c>
    </row>
    <row r="3917" spans="1:14" ht="15" customHeight="1" x14ac:dyDescent="0.25">
      <c r="A3917" s="82">
        <v>46192</v>
      </c>
      <c r="B3917" t="s">
        <v>514</v>
      </c>
      <c r="C3917" t="s">
        <v>455</v>
      </c>
      <c r="D3917" t="s">
        <v>424</v>
      </c>
      <c r="E3917" t="s">
        <v>430</v>
      </c>
      <c r="F3917" t="s">
        <v>426</v>
      </c>
      <c r="G3917" t="s">
        <v>425</v>
      </c>
      <c r="H3917" t="s">
        <v>421</v>
      </c>
      <c r="I3917" t="s">
        <v>427</v>
      </c>
      <c r="J3917" t="s">
        <v>425</v>
      </c>
      <c r="L3917" t="s">
        <v>423</v>
      </c>
      <c r="M3917" t="s">
        <v>421</v>
      </c>
      <c r="N3917" t="s">
        <v>428</v>
      </c>
    </row>
    <row r="3918" spans="1:14" ht="15" customHeight="1" x14ac:dyDescent="0.25">
      <c r="A3918" s="82">
        <v>46193</v>
      </c>
      <c r="B3918" t="s">
        <v>514</v>
      </c>
      <c r="C3918" t="s">
        <v>428</v>
      </c>
      <c r="D3918" t="s">
        <v>424</v>
      </c>
      <c r="E3918" t="s">
        <v>430</v>
      </c>
      <c r="F3918" t="s">
        <v>426</v>
      </c>
      <c r="G3918" t="s">
        <v>425</v>
      </c>
      <c r="H3918" t="s">
        <v>427</v>
      </c>
      <c r="I3918" t="s">
        <v>455</v>
      </c>
      <c r="J3918" t="s">
        <v>421</v>
      </c>
      <c r="L3918" t="s">
        <v>423</v>
      </c>
      <c r="M3918" t="s">
        <v>421</v>
      </c>
      <c r="N3918" t="s">
        <v>428</v>
      </c>
    </row>
    <row r="3919" spans="1:14" ht="15" customHeight="1" x14ac:dyDescent="0.25">
      <c r="A3919" s="82">
        <v>46194</v>
      </c>
      <c r="B3919" t="s">
        <v>514</v>
      </c>
      <c r="C3919" t="s">
        <v>428</v>
      </c>
      <c r="D3919" t="s">
        <v>424</v>
      </c>
      <c r="E3919" t="s">
        <v>430</v>
      </c>
      <c r="F3919" t="s">
        <v>426</v>
      </c>
      <c r="G3919" t="s">
        <v>425</v>
      </c>
      <c r="H3919" t="s">
        <v>455</v>
      </c>
      <c r="I3919" t="s">
        <v>427</v>
      </c>
      <c r="J3919" t="s">
        <v>421</v>
      </c>
      <c r="L3919" t="s">
        <v>423</v>
      </c>
      <c r="M3919" t="s">
        <v>421</v>
      </c>
      <c r="N3919" t="s">
        <v>428</v>
      </c>
    </row>
    <row r="3920" spans="1:14" ht="15" customHeight="1" x14ac:dyDescent="0.25">
      <c r="A3920" s="82">
        <v>46195</v>
      </c>
      <c r="B3920" t="s">
        <v>514</v>
      </c>
      <c r="C3920" t="s">
        <v>428</v>
      </c>
      <c r="D3920" t="s">
        <v>424</v>
      </c>
      <c r="E3920" t="s">
        <v>430</v>
      </c>
      <c r="F3920" t="s">
        <v>426</v>
      </c>
      <c r="G3920" t="s">
        <v>425</v>
      </c>
      <c r="H3920" t="s">
        <v>421</v>
      </c>
      <c r="I3920" t="s">
        <v>455</v>
      </c>
      <c r="J3920" t="s">
        <v>427</v>
      </c>
      <c r="L3920" t="s">
        <v>423</v>
      </c>
      <c r="M3920" t="s">
        <v>421</v>
      </c>
      <c r="N3920" t="s">
        <v>428</v>
      </c>
    </row>
    <row r="3921" spans="1:14" ht="15" customHeight="1" x14ac:dyDescent="0.25">
      <c r="A3921" s="82">
        <v>46196</v>
      </c>
      <c r="B3921" t="s">
        <v>514</v>
      </c>
      <c r="C3921" t="s">
        <v>428</v>
      </c>
      <c r="D3921" t="s">
        <v>424</v>
      </c>
      <c r="E3921" t="s">
        <v>430</v>
      </c>
      <c r="F3921" t="s">
        <v>426</v>
      </c>
      <c r="G3921" t="s">
        <v>425</v>
      </c>
      <c r="H3921" t="s">
        <v>427</v>
      </c>
      <c r="I3921" t="s">
        <v>421</v>
      </c>
      <c r="J3921" t="s">
        <v>455</v>
      </c>
      <c r="L3921" t="s">
        <v>423</v>
      </c>
      <c r="M3921" t="s">
        <v>421</v>
      </c>
      <c r="N3921" t="s">
        <v>428</v>
      </c>
    </row>
    <row r="3922" spans="1:14" ht="15" customHeight="1" x14ac:dyDescent="0.25">
      <c r="A3922" s="82">
        <v>46197</v>
      </c>
      <c r="B3922" t="s">
        <v>514</v>
      </c>
      <c r="C3922" t="s">
        <v>428</v>
      </c>
      <c r="D3922" t="s">
        <v>424</v>
      </c>
      <c r="E3922" t="s">
        <v>430</v>
      </c>
      <c r="F3922" t="s">
        <v>426</v>
      </c>
      <c r="G3922" t="s">
        <v>425</v>
      </c>
      <c r="H3922" t="s">
        <v>455</v>
      </c>
      <c r="I3922" t="s">
        <v>421</v>
      </c>
      <c r="J3922" t="s">
        <v>427</v>
      </c>
      <c r="L3922" t="s">
        <v>423</v>
      </c>
      <c r="M3922" t="s">
        <v>421</v>
      </c>
      <c r="N3922" t="s">
        <v>424</v>
      </c>
    </row>
    <row r="3923" spans="1:14" ht="15" customHeight="1" x14ac:dyDescent="0.25">
      <c r="A3923" s="82">
        <v>46198</v>
      </c>
      <c r="B3923" t="s">
        <v>514</v>
      </c>
      <c r="C3923" t="s">
        <v>428</v>
      </c>
      <c r="D3923" t="s">
        <v>424</v>
      </c>
      <c r="E3923" t="s">
        <v>430</v>
      </c>
      <c r="F3923" t="s">
        <v>426</v>
      </c>
      <c r="G3923" t="s">
        <v>425</v>
      </c>
      <c r="H3923" t="s">
        <v>517</v>
      </c>
      <c r="I3923" t="s">
        <v>427</v>
      </c>
      <c r="J3923" t="s">
        <v>455</v>
      </c>
      <c r="L3923" t="s">
        <v>423</v>
      </c>
      <c r="M3923" t="s">
        <v>421</v>
      </c>
      <c r="N3923" t="s">
        <v>424</v>
      </c>
    </row>
    <row r="3924" spans="1:14" ht="15" customHeight="1" x14ac:dyDescent="0.25">
      <c r="A3924" s="82">
        <v>46199</v>
      </c>
      <c r="B3924" t="s">
        <v>529</v>
      </c>
      <c r="C3924" t="s">
        <v>425</v>
      </c>
      <c r="D3924" t="s">
        <v>430</v>
      </c>
      <c r="E3924" t="s">
        <v>421</v>
      </c>
      <c r="F3924" t="s">
        <v>427</v>
      </c>
      <c r="G3924" t="s">
        <v>425</v>
      </c>
      <c r="H3924" t="s">
        <v>514</v>
      </c>
      <c r="I3924" t="s">
        <v>455</v>
      </c>
      <c r="J3924" t="s">
        <v>424</v>
      </c>
      <c r="L3924" t="s">
        <v>424</v>
      </c>
      <c r="M3924" t="s">
        <v>423</v>
      </c>
      <c r="N3924" t="s">
        <v>421</v>
      </c>
    </row>
    <row r="3925" spans="1:14" ht="15" customHeight="1" x14ac:dyDescent="0.25">
      <c r="A3925" s="82">
        <v>46200</v>
      </c>
      <c r="B3925" t="s">
        <v>426</v>
      </c>
      <c r="C3925" t="s">
        <v>425</v>
      </c>
      <c r="D3925" t="s">
        <v>430</v>
      </c>
      <c r="E3925" t="s">
        <v>427</v>
      </c>
      <c r="F3925" t="s">
        <v>455</v>
      </c>
      <c r="G3925" t="s">
        <v>421</v>
      </c>
      <c r="H3925" t="s">
        <v>514</v>
      </c>
      <c r="I3925" t="s">
        <v>428</v>
      </c>
      <c r="J3925" t="s">
        <v>424</v>
      </c>
      <c r="L3925" t="s">
        <v>424</v>
      </c>
      <c r="M3925" t="s">
        <v>423</v>
      </c>
      <c r="N3925" t="s">
        <v>421</v>
      </c>
    </row>
    <row r="3926" spans="1:14" ht="15" customHeight="1" x14ac:dyDescent="0.25">
      <c r="A3926" s="82">
        <v>46201</v>
      </c>
      <c r="B3926" t="s">
        <v>426</v>
      </c>
      <c r="C3926" t="s">
        <v>425</v>
      </c>
      <c r="D3926" t="s">
        <v>430</v>
      </c>
      <c r="E3926" t="s">
        <v>455</v>
      </c>
      <c r="F3926" t="s">
        <v>427</v>
      </c>
      <c r="G3926" t="s">
        <v>421</v>
      </c>
      <c r="H3926" t="s">
        <v>514</v>
      </c>
      <c r="I3926" t="s">
        <v>428</v>
      </c>
      <c r="J3926" t="s">
        <v>424</v>
      </c>
      <c r="L3926" t="s">
        <v>424</v>
      </c>
      <c r="M3926" t="s">
        <v>423</v>
      </c>
      <c r="N3926" t="s">
        <v>421</v>
      </c>
    </row>
    <row r="3927" spans="1:14" ht="15" customHeight="1" x14ac:dyDescent="0.25">
      <c r="A3927" s="82">
        <v>46202</v>
      </c>
      <c r="B3927" t="s">
        <v>529</v>
      </c>
      <c r="C3927" t="s">
        <v>425</v>
      </c>
      <c r="D3927" t="s">
        <v>430</v>
      </c>
      <c r="E3927" t="s">
        <v>421</v>
      </c>
      <c r="F3927" t="s">
        <v>455</v>
      </c>
      <c r="G3927" t="s">
        <v>427</v>
      </c>
      <c r="H3927" t="s">
        <v>514</v>
      </c>
      <c r="I3927" t="s">
        <v>428</v>
      </c>
      <c r="J3927" t="s">
        <v>424</v>
      </c>
      <c r="L3927" t="s">
        <v>424</v>
      </c>
      <c r="M3927" t="s">
        <v>423</v>
      </c>
      <c r="N3927" t="s">
        <v>421</v>
      </c>
    </row>
    <row r="3928" spans="1:14" ht="15" customHeight="1" x14ac:dyDescent="0.25">
      <c r="A3928" s="82">
        <v>46203</v>
      </c>
      <c r="B3928" t="s">
        <v>426</v>
      </c>
      <c r="C3928" t="s">
        <v>425</v>
      </c>
      <c r="D3928" t="s">
        <v>430</v>
      </c>
      <c r="E3928" t="s">
        <v>427</v>
      </c>
      <c r="F3928" t="s">
        <v>421</v>
      </c>
      <c r="G3928" t="s">
        <v>455</v>
      </c>
      <c r="H3928" t="s">
        <v>514</v>
      </c>
      <c r="I3928" t="s">
        <v>428</v>
      </c>
      <c r="J3928" t="s">
        <v>424</v>
      </c>
      <c r="L3928" t="s">
        <v>424</v>
      </c>
      <c r="M3928" t="s">
        <v>423</v>
      </c>
      <c r="N3928" t="s">
        <v>421</v>
      </c>
    </row>
    <row r="3929" spans="1:14" ht="15" customHeight="1" x14ac:dyDescent="0.25">
      <c r="A3929" s="82">
        <v>46204</v>
      </c>
      <c r="B3929" t="s">
        <v>426</v>
      </c>
      <c r="C3929" t="s">
        <v>425</v>
      </c>
      <c r="D3929" t="s">
        <v>430</v>
      </c>
      <c r="E3929" t="s">
        <v>455</v>
      </c>
      <c r="F3929" t="s">
        <v>421</v>
      </c>
      <c r="G3929" t="s">
        <v>427</v>
      </c>
      <c r="H3929" t="s">
        <v>514</v>
      </c>
      <c r="I3929" t="s">
        <v>428</v>
      </c>
      <c r="J3929" t="s">
        <v>424</v>
      </c>
      <c r="L3929" t="s">
        <v>424</v>
      </c>
      <c r="M3929" t="s">
        <v>423</v>
      </c>
      <c r="N3929" t="s">
        <v>421</v>
      </c>
    </row>
    <row r="3930" spans="1:14" ht="15" customHeight="1" x14ac:dyDescent="0.25">
      <c r="A3930" s="82">
        <v>46205</v>
      </c>
      <c r="B3930" t="s">
        <v>426</v>
      </c>
      <c r="C3930" t="s">
        <v>425</v>
      </c>
      <c r="D3930" t="s">
        <v>430</v>
      </c>
      <c r="E3930" t="s">
        <v>517</v>
      </c>
      <c r="F3930" t="s">
        <v>427</v>
      </c>
      <c r="G3930" t="s">
        <v>455</v>
      </c>
      <c r="H3930" t="s">
        <v>514</v>
      </c>
      <c r="I3930" t="s">
        <v>428</v>
      </c>
      <c r="J3930" t="s">
        <v>424</v>
      </c>
      <c r="L3930" t="s">
        <v>424</v>
      </c>
      <c r="M3930" t="s">
        <v>423</v>
      </c>
      <c r="N3930" t="s">
        <v>421</v>
      </c>
    </row>
    <row r="3931" spans="1:14" ht="15" customHeight="1" x14ac:dyDescent="0.25">
      <c r="A3931" s="82">
        <v>46206</v>
      </c>
      <c r="B3931" t="s">
        <v>427</v>
      </c>
      <c r="C3931" t="s">
        <v>425</v>
      </c>
      <c r="D3931" t="s">
        <v>421</v>
      </c>
      <c r="E3931" t="s">
        <v>514</v>
      </c>
      <c r="F3931" t="s">
        <v>455</v>
      </c>
      <c r="G3931" t="s">
        <v>424</v>
      </c>
      <c r="H3931" t="s">
        <v>529</v>
      </c>
      <c r="I3931" t="s">
        <v>425</v>
      </c>
      <c r="J3931" t="s">
        <v>430</v>
      </c>
      <c r="L3931" t="s">
        <v>421</v>
      </c>
      <c r="M3931" t="s">
        <v>424</v>
      </c>
      <c r="N3931" t="s">
        <v>423</v>
      </c>
    </row>
    <row r="3932" spans="1:14" ht="15" customHeight="1" x14ac:dyDescent="0.25">
      <c r="A3932" s="82">
        <v>46207</v>
      </c>
      <c r="B3932" t="s">
        <v>455</v>
      </c>
      <c r="C3932" t="s">
        <v>421</v>
      </c>
      <c r="D3932" t="s">
        <v>427</v>
      </c>
      <c r="E3932" t="s">
        <v>514</v>
      </c>
      <c r="F3932" t="s">
        <v>428</v>
      </c>
      <c r="G3932" t="s">
        <v>424</v>
      </c>
      <c r="H3932" t="s">
        <v>426</v>
      </c>
      <c r="I3932" t="s">
        <v>425</v>
      </c>
      <c r="J3932" t="s">
        <v>430</v>
      </c>
      <c r="L3932" t="s">
        <v>421</v>
      </c>
      <c r="M3932" t="s">
        <v>424</v>
      </c>
      <c r="N3932" t="s">
        <v>423</v>
      </c>
    </row>
    <row r="3933" spans="1:14" ht="15" customHeight="1" x14ac:dyDescent="0.25">
      <c r="A3933" s="82">
        <v>46208</v>
      </c>
      <c r="B3933" t="s">
        <v>427</v>
      </c>
      <c r="C3933" t="s">
        <v>421</v>
      </c>
      <c r="D3933" t="s">
        <v>455</v>
      </c>
      <c r="E3933" t="s">
        <v>514</v>
      </c>
      <c r="F3933" t="s">
        <v>428</v>
      </c>
      <c r="G3933" t="s">
        <v>424</v>
      </c>
      <c r="H3933" t="s">
        <v>426</v>
      </c>
      <c r="I3933" t="s">
        <v>425</v>
      </c>
      <c r="J3933" t="s">
        <v>430</v>
      </c>
      <c r="L3933" t="s">
        <v>421</v>
      </c>
      <c r="M3933" t="s">
        <v>424</v>
      </c>
      <c r="N3933" t="s">
        <v>423</v>
      </c>
    </row>
    <row r="3934" spans="1:14" ht="15" customHeight="1" x14ac:dyDescent="0.25">
      <c r="A3934" s="82">
        <v>46209</v>
      </c>
      <c r="B3934" t="s">
        <v>455</v>
      </c>
      <c r="C3934" t="s">
        <v>427</v>
      </c>
      <c r="D3934" t="s">
        <v>421</v>
      </c>
      <c r="E3934" t="s">
        <v>514</v>
      </c>
      <c r="F3934" t="s">
        <v>428</v>
      </c>
      <c r="G3934" t="s">
        <v>424</v>
      </c>
      <c r="H3934" t="s">
        <v>529</v>
      </c>
      <c r="I3934" t="s">
        <v>425</v>
      </c>
      <c r="J3934" t="s">
        <v>430</v>
      </c>
      <c r="L3934" t="s">
        <v>421</v>
      </c>
      <c r="M3934" t="s">
        <v>424</v>
      </c>
      <c r="N3934" t="s">
        <v>423</v>
      </c>
    </row>
    <row r="3935" spans="1:14" ht="15" customHeight="1" x14ac:dyDescent="0.25">
      <c r="A3935" s="82">
        <v>46210</v>
      </c>
      <c r="B3935" t="s">
        <v>421</v>
      </c>
      <c r="C3935" t="s">
        <v>455</v>
      </c>
      <c r="D3935" t="s">
        <v>427</v>
      </c>
      <c r="E3935" t="s">
        <v>514</v>
      </c>
      <c r="F3935" t="s">
        <v>428</v>
      </c>
      <c r="G3935" t="s">
        <v>424</v>
      </c>
      <c r="H3935" t="s">
        <v>426</v>
      </c>
      <c r="I3935" t="s">
        <v>425</v>
      </c>
      <c r="J3935" t="s">
        <v>430</v>
      </c>
      <c r="L3935" t="s">
        <v>421</v>
      </c>
      <c r="M3935" t="s">
        <v>424</v>
      </c>
      <c r="N3935" t="s">
        <v>423</v>
      </c>
    </row>
    <row r="3936" spans="1:14" ht="15" customHeight="1" x14ac:dyDescent="0.25">
      <c r="A3936" s="82">
        <v>46211</v>
      </c>
      <c r="B3936" t="s">
        <v>421</v>
      </c>
      <c r="C3936" t="s">
        <v>427</v>
      </c>
      <c r="D3936" t="s">
        <v>455</v>
      </c>
      <c r="E3936" t="s">
        <v>514</v>
      </c>
      <c r="F3936" t="s">
        <v>428</v>
      </c>
      <c r="G3936" t="s">
        <v>424</v>
      </c>
      <c r="H3936" t="s">
        <v>426</v>
      </c>
      <c r="I3936" t="s">
        <v>425</v>
      </c>
      <c r="J3936" t="s">
        <v>430</v>
      </c>
      <c r="L3936" t="s">
        <v>421</v>
      </c>
      <c r="M3936" t="s">
        <v>424</v>
      </c>
      <c r="N3936" t="s">
        <v>423</v>
      </c>
    </row>
    <row r="3937" spans="1:14" ht="15" customHeight="1" x14ac:dyDescent="0.25">
      <c r="A3937" s="82">
        <v>46212</v>
      </c>
      <c r="B3937" t="s">
        <v>427</v>
      </c>
      <c r="C3937" t="s">
        <v>455</v>
      </c>
      <c r="D3937" t="s">
        <v>517</v>
      </c>
      <c r="E3937" t="s">
        <v>514</v>
      </c>
      <c r="F3937" t="s">
        <v>428</v>
      </c>
      <c r="G3937" t="s">
        <v>424</v>
      </c>
      <c r="H3937" t="s">
        <v>426</v>
      </c>
      <c r="I3937" t="s">
        <v>425</v>
      </c>
      <c r="J3937" t="s">
        <v>430</v>
      </c>
      <c r="L3937" t="s">
        <v>421</v>
      </c>
      <c r="M3937" t="s">
        <v>424</v>
      </c>
      <c r="N3937" t="s">
        <v>423</v>
      </c>
    </row>
    <row r="3938" spans="1:14" ht="15" customHeight="1" x14ac:dyDescent="0.25">
      <c r="A3938" s="82">
        <v>46213</v>
      </c>
      <c r="B3938" t="s">
        <v>455</v>
      </c>
      <c r="C3938" t="s">
        <v>424</v>
      </c>
      <c r="D3938" t="s">
        <v>514</v>
      </c>
      <c r="E3938" t="s">
        <v>529</v>
      </c>
      <c r="F3938" t="s">
        <v>425</v>
      </c>
      <c r="G3938" t="s">
        <v>430</v>
      </c>
      <c r="H3938" t="s">
        <v>427</v>
      </c>
      <c r="I3938" t="s">
        <v>425</v>
      </c>
      <c r="J3938" t="s">
        <v>421</v>
      </c>
      <c r="L3938" t="s">
        <v>423</v>
      </c>
      <c r="M3938" t="s">
        <v>421</v>
      </c>
      <c r="N3938" t="s">
        <v>424</v>
      </c>
    </row>
    <row r="3939" spans="1:14" ht="15" customHeight="1" x14ac:dyDescent="0.25">
      <c r="A3939" s="82">
        <v>46214</v>
      </c>
      <c r="B3939" t="s">
        <v>428</v>
      </c>
      <c r="C3939" t="s">
        <v>424</v>
      </c>
      <c r="D3939" t="s">
        <v>514</v>
      </c>
      <c r="E3939" t="s">
        <v>426</v>
      </c>
      <c r="F3939" t="s">
        <v>425</v>
      </c>
      <c r="G3939" t="s">
        <v>430</v>
      </c>
      <c r="H3939" t="s">
        <v>455</v>
      </c>
      <c r="I3939" t="s">
        <v>421</v>
      </c>
      <c r="J3939" t="s">
        <v>427</v>
      </c>
      <c r="L3939" t="s">
        <v>423</v>
      </c>
      <c r="M3939" t="s">
        <v>421</v>
      </c>
      <c r="N3939" t="s">
        <v>424</v>
      </c>
    </row>
    <row r="3940" spans="1:14" ht="15" customHeight="1" x14ac:dyDescent="0.25">
      <c r="A3940" s="82">
        <v>46215</v>
      </c>
      <c r="B3940" t="s">
        <v>428</v>
      </c>
      <c r="C3940" t="s">
        <v>424</v>
      </c>
      <c r="D3940" t="s">
        <v>514</v>
      </c>
      <c r="E3940" t="s">
        <v>426</v>
      </c>
      <c r="F3940" t="s">
        <v>425</v>
      </c>
      <c r="G3940" t="s">
        <v>430</v>
      </c>
      <c r="H3940" t="s">
        <v>427</v>
      </c>
      <c r="I3940" t="s">
        <v>421</v>
      </c>
      <c r="J3940" t="s">
        <v>455</v>
      </c>
      <c r="L3940" t="s">
        <v>423</v>
      </c>
      <c r="M3940" t="s">
        <v>421</v>
      </c>
      <c r="N3940" t="s">
        <v>424</v>
      </c>
    </row>
    <row r="3941" spans="1:14" ht="15" customHeight="1" x14ac:dyDescent="0.25">
      <c r="A3941" s="82">
        <v>46216</v>
      </c>
      <c r="B3941" t="s">
        <v>428</v>
      </c>
      <c r="C3941" t="s">
        <v>424</v>
      </c>
      <c r="D3941" t="s">
        <v>514</v>
      </c>
      <c r="E3941" t="s">
        <v>529</v>
      </c>
      <c r="F3941" t="s">
        <v>425</v>
      </c>
      <c r="G3941" t="s">
        <v>430</v>
      </c>
      <c r="H3941" t="s">
        <v>455</v>
      </c>
      <c r="I3941" t="s">
        <v>427</v>
      </c>
      <c r="J3941" t="s">
        <v>421</v>
      </c>
      <c r="L3941" t="s">
        <v>423</v>
      </c>
      <c r="M3941" t="s">
        <v>421</v>
      </c>
      <c r="N3941" t="s">
        <v>424</v>
      </c>
    </row>
    <row r="3942" spans="1:14" ht="15" customHeight="1" x14ac:dyDescent="0.25">
      <c r="A3942" s="82">
        <v>46217</v>
      </c>
      <c r="B3942" t="s">
        <v>428</v>
      </c>
      <c r="C3942" t="s">
        <v>424</v>
      </c>
      <c r="D3942" t="s">
        <v>514</v>
      </c>
      <c r="E3942" t="s">
        <v>426</v>
      </c>
      <c r="F3942" t="s">
        <v>425</v>
      </c>
      <c r="G3942" t="s">
        <v>430</v>
      </c>
      <c r="H3942" t="s">
        <v>421</v>
      </c>
      <c r="I3942" t="s">
        <v>455</v>
      </c>
      <c r="J3942" t="s">
        <v>427</v>
      </c>
      <c r="L3942" t="s">
        <v>423</v>
      </c>
      <c r="M3942" t="s">
        <v>421</v>
      </c>
      <c r="N3942" t="s">
        <v>424</v>
      </c>
    </row>
    <row r="3943" spans="1:14" ht="15" customHeight="1" x14ac:dyDescent="0.25">
      <c r="A3943" s="82">
        <v>46218</v>
      </c>
      <c r="B3943" t="s">
        <v>428</v>
      </c>
      <c r="C3943" t="s">
        <v>427</v>
      </c>
      <c r="D3943" t="s">
        <v>514</v>
      </c>
      <c r="E3943" t="s">
        <v>426</v>
      </c>
      <c r="F3943" t="s">
        <v>425</v>
      </c>
      <c r="G3943" t="s">
        <v>430</v>
      </c>
      <c r="H3943" t="s">
        <v>421</v>
      </c>
      <c r="I3943" t="s">
        <v>424</v>
      </c>
      <c r="J3943" t="s">
        <v>455</v>
      </c>
      <c r="L3943" t="s">
        <v>423</v>
      </c>
      <c r="M3943" t="s">
        <v>421</v>
      </c>
      <c r="N3943" t="s">
        <v>424</v>
      </c>
    </row>
    <row r="3944" spans="1:14" ht="15" customHeight="1" x14ac:dyDescent="0.25">
      <c r="A3944" s="82">
        <v>46219</v>
      </c>
      <c r="B3944" t="s">
        <v>428</v>
      </c>
      <c r="C3944" t="s">
        <v>455</v>
      </c>
      <c r="D3944" t="s">
        <v>514</v>
      </c>
      <c r="E3944" t="s">
        <v>426</v>
      </c>
      <c r="F3944" t="s">
        <v>425</v>
      </c>
      <c r="G3944" t="s">
        <v>430</v>
      </c>
      <c r="H3944" t="s">
        <v>427</v>
      </c>
      <c r="I3944" t="s">
        <v>543</v>
      </c>
      <c r="J3944" t="s">
        <v>517</v>
      </c>
      <c r="L3944" t="s">
        <v>423</v>
      </c>
      <c r="M3944" t="s">
        <v>421</v>
      </c>
      <c r="N3944" t="s">
        <v>424</v>
      </c>
    </row>
    <row r="3945" spans="1:14" ht="15" customHeight="1" x14ac:dyDescent="0.25">
      <c r="A3945" s="82">
        <v>46220</v>
      </c>
      <c r="B3945" t="s">
        <v>425</v>
      </c>
      <c r="C3945" t="s">
        <v>430</v>
      </c>
      <c r="D3945" t="s">
        <v>529</v>
      </c>
      <c r="E3945" t="s">
        <v>427</v>
      </c>
      <c r="F3945" t="s">
        <v>425</v>
      </c>
      <c r="G3945" t="s">
        <v>421</v>
      </c>
      <c r="H3945" t="s">
        <v>455</v>
      </c>
      <c r="I3945" t="s">
        <v>516</v>
      </c>
      <c r="J3945" t="s">
        <v>514</v>
      </c>
      <c r="L3945" t="s">
        <v>428</v>
      </c>
      <c r="M3945" t="s">
        <v>423</v>
      </c>
      <c r="N3945" t="s">
        <v>421</v>
      </c>
    </row>
    <row r="3946" spans="1:14" ht="15" customHeight="1" x14ac:dyDescent="0.25">
      <c r="A3946" s="82">
        <v>46221</v>
      </c>
      <c r="B3946" t="s">
        <v>425</v>
      </c>
      <c r="C3946" t="s">
        <v>430</v>
      </c>
      <c r="D3946" t="s">
        <v>426</v>
      </c>
      <c r="E3946" t="s">
        <v>455</v>
      </c>
      <c r="F3946" t="s">
        <v>421</v>
      </c>
      <c r="G3946" t="s">
        <v>427</v>
      </c>
      <c r="H3946" t="s">
        <v>428</v>
      </c>
      <c r="I3946" t="s">
        <v>516</v>
      </c>
      <c r="J3946" t="s">
        <v>514</v>
      </c>
      <c r="L3946" t="s">
        <v>428</v>
      </c>
      <c r="M3946" t="s">
        <v>423</v>
      </c>
      <c r="N3946" t="s">
        <v>421</v>
      </c>
    </row>
    <row r="3947" spans="1:14" ht="15" customHeight="1" x14ac:dyDescent="0.25">
      <c r="A3947" s="82">
        <v>46222</v>
      </c>
      <c r="B3947" t="s">
        <v>425</v>
      </c>
      <c r="C3947" t="s">
        <v>430</v>
      </c>
      <c r="D3947" t="s">
        <v>426</v>
      </c>
      <c r="E3947" t="s">
        <v>427</v>
      </c>
      <c r="F3947" t="s">
        <v>421</v>
      </c>
      <c r="G3947" t="s">
        <v>455</v>
      </c>
      <c r="H3947" t="s">
        <v>428</v>
      </c>
      <c r="I3947" t="s">
        <v>516</v>
      </c>
      <c r="J3947" t="s">
        <v>514</v>
      </c>
      <c r="L3947" t="s">
        <v>428</v>
      </c>
      <c r="M3947" t="s">
        <v>423</v>
      </c>
      <c r="N3947" t="s">
        <v>421</v>
      </c>
    </row>
    <row r="3948" spans="1:14" ht="15" customHeight="1" x14ac:dyDescent="0.25">
      <c r="A3948" s="82">
        <v>46223</v>
      </c>
      <c r="B3948" t="s">
        <v>425</v>
      </c>
      <c r="C3948" t="s">
        <v>430</v>
      </c>
      <c r="D3948" t="s">
        <v>529</v>
      </c>
      <c r="E3948" t="s">
        <v>455</v>
      </c>
      <c r="F3948" t="s">
        <v>427</v>
      </c>
      <c r="G3948" t="s">
        <v>421</v>
      </c>
      <c r="H3948" t="s">
        <v>428</v>
      </c>
      <c r="I3948" t="s">
        <v>516</v>
      </c>
      <c r="J3948" t="s">
        <v>514</v>
      </c>
      <c r="L3948" t="s">
        <v>428</v>
      </c>
      <c r="M3948" t="s">
        <v>423</v>
      </c>
      <c r="N3948" t="s">
        <v>421</v>
      </c>
    </row>
    <row r="3949" spans="1:14" ht="15" customHeight="1" x14ac:dyDescent="0.25">
      <c r="A3949" s="82">
        <v>46224</v>
      </c>
      <c r="B3949" t="s">
        <v>425</v>
      </c>
      <c r="C3949" t="s">
        <v>430</v>
      </c>
      <c r="D3949" t="s">
        <v>426</v>
      </c>
      <c r="E3949" t="s">
        <v>421</v>
      </c>
      <c r="F3949" t="s">
        <v>455</v>
      </c>
      <c r="G3949" t="s">
        <v>427</v>
      </c>
      <c r="H3949" t="s">
        <v>428</v>
      </c>
      <c r="I3949" t="s">
        <v>516</v>
      </c>
      <c r="J3949" t="s">
        <v>514</v>
      </c>
      <c r="L3949" t="s">
        <v>428</v>
      </c>
      <c r="M3949" t="s">
        <v>423</v>
      </c>
      <c r="N3949" t="s">
        <v>421</v>
      </c>
    </row>
    <row r="3950" spans="1:14" ht="15" customHeight="1" x14ac:dyDescent="0.25">
      <c r="A3950" s="82">
        <v>46225</v>
      </c>
      <c r="B3950" t="s">
        <v>425</v>
      </c>
      <c r="C3950" t="s">
        <v>430</v>
      </c>
      <c r="D3950" t="s">
        <v>426</v>
      </c>
      <c r="E3950" t="s">
        <v>421</v>
      </c>
      <c r="F3950" t="s">
        <v>427</v>
      </c>
      <c r="G3950" t="s">
        <v>455</v>
      </c>
      <c r="H3950" t="s">
        <v>428</v>
      </c>
      <c r="I3950" t="s">
        <v>516</v>
      </c>
      <c r="J3950" t="s">
        <v>514</v>
      </c>
      <c r="L3950" t="s">
        <v>424</v>
      </c>
      <c r="M3950" t="s">
        <v>423</v>
      </c>
      <c r="N3950" t="s">
        <v>421</v>
      </c>
    </row>
    <row r="3951" spans="1:14" ht="15" customHeight="1" x14ac:dyDescent="0.25">
      <c r="A3951" s="82">
        <v>46226</v>
      </c>
      <c r="B3951" t="s">
        <v>425</v>
      </c>
      <c r="C3951" t="s">
        <v>430</v>
      </c>
      <c r="D3951" t="s">
        <v>426</v>
      </c>
      <c r="E3951" t="s">
        <v>427</v>
      </c>
      <c r="F3951" t="s">
        <v>455</v>
      </c>
      <c r="G3951" t="s">
        <v>517</v>
      </c>
      <c r="H3951" t="s">
        <v>428</v>
      </c>
      <c r="I3951" t="s">
        <v>516</v>
      </c>
      <c r="J3951" t="s">
        <v>514</v>
      </c>
      <c r="L3951" t="s">
        <v>424</v>
      </c>
      <c r="M3951" t="s">
        <v>423</v>
      </c>
      <c r="N3951" t="s">
        <v>421</v>
      </c>
    </row>
    <row r="3952" spans="1:14" ht="15" customHeight="1" x14ac:dyDescent="0.25">
      <c r="A3952" s="82">
        <v>46227</v>
      </c>
      <c r="B3952" t="s">
        <v>425</v>
      </c>
      <c r="C3952" t="s">
        <v>421</v>
      </c>
      <c r="D3952" t="s">
        <v>427</v>
      </c>
      <c r="E3952" t="s">
        <v>455</v>
      </c>
      <c r="F3952" t="s">
        <v>516</v>
      </c>
      <c r="G3952" t="s">
        <v>514</v>
      </c>
      <c r="H3952" t="s">
        <v>425</v>
      </c>
      <c r="I3952" t="s">
        <v>530</v>
      </c>
      <c r="J3952" t="s">
        <v>529</v>
      </c>
      <c r="L3952" t="s">
        <v>421</v>
      </c>
      <c r="M3952" t="s">
        <v>424</v>
      </c>
      <c r="N3952" t="s">
        <v>423</v>
      </c>
    </row>
    <row r="3953" spans="1:14" ht="15" customHeight="1" x14ac:dyDescent="0.25">
      <c r="A3953" s="82">
        <v>46228</v>
      </c>
      <c r="B3953" t="s">
        <v>421</v>
      </c>
      <c r="C3953" t="s">
        <v>427</v>
      </c>
      <c r="D3953" t="s">
        <v>455</v>
      </c>
      <c r="E3953" t="s">
        <v>428</v>
      </c>
      <c r="F3953" t="s">
        <v>516</v>
      </c>
      <c r="G3953" t="s">
        <v>514</v>
      </c>
      <c r="H3953" t="s">
        <v>425</v>
      </c>
      <c r="I3953" t="s">
        <v>430</v>
      </c>
      <c r="J3953" t="s">
        <v>426</v>
      </c>
      <c r="L3953" t="s">
        <v>421</v>
      </c>
      <c r="M3953" t="s">
        <v>424</v>
      </c>
      <c r="N3953" t="s">
        <v>423</v>
      </c>
    </row>
    <row r="3954" spans="1:14" ht="15" customHeight="1" x14ac:dyDescent="0.25">
      <c r="A3954" s="82">
        <v>46229</v>
      </c>
      <c r="B3954" t="s">
        <v>421</v>
      </c>
      <c r="C3954" t="s">
        <v>455</v>
      </c>
      <c r="D3954" t="s">
        <v>427</v>
      </c>
      <c r="E3954" t="s">
        <v>428</v>
      </c>
      <c r="F3954" t="s">
        <v>516</v>
      </c>
      <c r="G3954" t="s">
        <v>514</v>
      </c>
      <c r="H3954" t="s">
        <v>425</v>
      </c>
      <c r="I3954" t="s">
        <v>430</v>
      </c>
      <c r="J3954" t="s">
        <v>426</v>
      </c>
      <c r="L3954" t="s">
        <v>421</v>
      </c>
      <c r="M3954" t="s">
        <v>424</v>
      </c>
      <c r="N3954" t="s">
        <v>423</v>
      </c>
    </row>
    <row r="3955" spans="1:14" ht="15" customHeight="1" x14ac:dyDescent="0.25">
      <c r="A3955" s="82">
        <v>46230</v>
      </c>
      <c r="B3955" t="s">
        <v>427</v>
      </c>
      <c r="C3955" t="s">
        <v>421</v>
      </c>
      <c r="D3955" t="s">
        <v>455</v>
      </c>
      <c r="E3955" t="s">
        <v>428</v>
      </c>
      <c r="F3955" t="s">
        <v>516</v>
      </c>
      <c r="G3955" t="s">
        <v>514</v>
      </c>
      <c r="H3955" t="s">
        <v>425</v>
      </c>
      <c r="I3955" t="s">
        <v>430</v>
      </c>
      <c r="J3955" t="s">
        <v>529</v>
      </c>
      <c r="L3955" t="s">
        <v>421</v>
      </c>
      <c r="M3955" t="s">
        <v>424</v>
      </c>
      <c r="N3955" t="s">
        <v>423</v>
      </c>
    </row>
    <row r="3956" spans="1:14" ht="15" customHeight="1" x14ac:dyDescent="0.25">
      <c r="A3956" s="82">
        <v>46231</v>
      </c>
      <c r="B3956" t="s">
        <v>455</v>
      </c>
      <c r="C3956" t="s">
        <v>427</v>
      </c>
      <c r="D3956" t="s">
        <v>421</v>
      </c>
      <c r="E3956" t="s">
        <v>428</v>
      </c>
      <c r="F3956" t="s">
        <v>516</v>
      </c>
      <c r="G3956" t="s">
        <v>514</v>
      </c>
      <c r="H3956" t="s">
        <v>425</v>
      </c>
      <c r="I3956" t="s">
        <v>430</v>
      </c>
      <c r="J3956" t="s">
        <v>426</v>
      </c>
      <c r="L3956" t="s">
        <v>421</v>
      </c>
      <c r="M3956" t="s">
        <v>424</v>
      </c>
      <c r="N3956" t="s">
        <v>423</v>
      </c>
    </row>
    <row r="3957" spans="1:14" ht="15" customHeight="1" x14ac:dyDescent="0.25">
      <c r="A3957" s="82">
        <v>46232</v>
      </c>
      <c r="B3957" t="s">
        <v>427</v>
      </c>
      <c r="C3957" t="s">
        <v>455</v>
      </c>
      <c r="D3957" t="s">
        <v>421</v>
      </c>
      <c r="E3957" t="s">
        <v>428</v>
      </c>
      <c r="F3957" t="s">
        <v>516</v>
      </c>
      <c r="G3957" t="s">
        <v>514</v>
      </c>
      <c r="H3957" t="s">
        <v>425</v>
      </c>
      <c r="I3957" t="s">
        <v>430</v>
      </c>
      <c r="J3957" t="s">
        <v>426</v>
      </c>
      <c r="L3957" t="s">
        <v>421</v>
      </c>
      <c r="M3957" t="s">
        <v>424</v>
      </c>
      <c r="N3957" t="s">
        <v>423</v>
      </c>
    </row>
    <row r="3958" spans="1:14" ht="15" customHeight="1" x14ac:dyDescent="0.25">
      <c r="A3958" s="82">
        <v>46233</v>
      </c>
      <c r="B3958" t="s">
        <v>455</v>
      </c>
      <c r="C3958" t="s">
        <v>517</v>
      </c>
      <c r="D3958" t="s">
        <v>427</v>
      </c>
      <c r="E3958" t="s">
        <v>428</v>
      </c>
      <c r="F3958" t="s">
        <v>516</v>
      </c>
      <c r="G3958" t="s">
        <v>514</v>
      </c>
      <c r="H3958" t="s">
        <v>425</v>
      </c>
      <c r="I3958" t="s">
        <v>430</v>
      </c>
      <c r="J3958" t="s">
        <v>426</v>
      </c>
      <c r="L3958" t="s">
        <v>421</v>
      </c>
      <c r="M3958" t="s">
        <v>424</v>
      </c>
      <c r="N3958" t="s">
        <v>423</v>
      </c>
    </row>
    <row r="3959" spans="1:14" ht="15" customHeight="1" x14ac:dyDescent="0.25">
      <c r="A3959" s="82">
        <v>46234</v>
      </c>
      <c r="B3959" t="s">
        <v>516</v>
      </c>
      <c r="C3959" t="s">
        <v>514</v>
      </c>
      <c r="D3959" t="s">
        <v>455</v>
      </c>
      <c r="E3959" t="s">
        <v>425</v>
      </c>
      <c r="F3959" t="s">
        <v>530</v>
      </c>
      <c r="G3959" t="s">
        <v>529</v>
      </c>
      <c r="H3959" t="s">
        <v>425</v>
      </c>
      <c r="I3959" t="s">
        <v>421</v>
      </c>
      <c r="J3959" t="s">
        <v>427</v>
      </c>
      <c r="L3959" t="s">
        <v>423</v>
      </c>
      <c r="M3959" t="s">
        <v>421</v>
      </c>
      <c r="N3959" t="s">
        <v>424</v>
      </c>
    </row>
    <row r="3960" spans="1:14" ht="15" customHeight="1" x14ac:dyDescent="0.25">
      <c r="A3960" s="82">
        <v>46235</v>
      </c>
      <c r="B3960" t="s">
        <v>516</v>
      </c>
      <c r="C3960" t="s">
        <v>514</v>
      </c>
      <c r="D3960" t="s">
        <v>428</v>
      </c>
      <c r="E3960" t="s">
        <v>425</v>
      </c>
      <c r="F3960" t="s">
        <v>430</v>
      </c>
      <c r="G3960" t="s">
        <v>426</v>
      </c>
      <c r="H3960" t="s">
        <v>421</v>
      </c>
      <c r="I3960" t="s">
        <v>427</v>
      </c>
      <c r="J3960" t="s">
        <v>455</v>
      </c>
      <c r="L3960" t="s">
        <v>423</v>
      </c>
      <c r="M3960" t="s">
        <v>421</v>
      </c>
      <c r="N3960" t="s">
        <v>424</v>
      </c>
    </row>
    <row r="3961" spans="1:14" ht="15" customHeight="1" x14ac:dyDescent="0.25">
      <c r="A3961" s="82">
        <v>46236</v>
      </c>
      <c r="B3961" t="s">
        <v>516</v>
      </c>
      <c r="C3961" t="s">
        <v>514</v>
      </c>
      <c r="D3961" t="s">
        <v>428</v>
      </c>
      <c r="E3961" t="s">
        <v>425</v>
      </c>
      <c r="F3961" t="s">
        <v>430</v>
      </c>
      <c r="G3961" t="s">
        <v>426</v>
      </c>
      <c r="H3961" t="s">
        <v>421</v>
      </c>
      <c r="I3961" t="s">
        <v>455</v>
      </c>
      <c r="J3961" t="s">
        <v>427</v>
      </c>
      <c r="L3961" t="s">
        <v>423</v>
      </c>
      <c r="M3961" t="s">
        <v>421</v>
      </c>
      <c r="N3961" t="s">
        <v>424</v>
      </c>
    </row>
    <row r="3962" spans="1:14" ht="15" customHeight="1" x14ac:dyDescent="0.25">
      <c r="A3962" s="82">
        <v>46237</v>
      </c>
      <c r="B3962" t="s">
        <v>516</v>
      </c>
      <c r="C3962" t="s">
        <v>514</v>
      </c>
      <c r="D3962" t="s">
        <v>428</v>
      </c>
      <c r="E3962" t="s">
        <v>425</v>
      </c>
      <c r="F3962" t="s">
        <v>532</v>
      </c>
      <c r="G3962" t="s">
        <v>529</v>
      </c>
      <c r="H3962" t="s">
        <v>427</v>
      </c>
      <c r="I3962" t="s">
        <v>421</v>
      </c>
      <c r="J3962" t="s">
        <v>455</v>
      </c>
      <c r="L3962" t="s">
        <v>423</v>
      </c>
      <c r="M3962" t="s">
        <v>421</v>
      </c>
      <c r="N3962" t="s">
        <v>424</v>
      </c>
    </row>
    <row r="3963" spans="1:14" ht="15" customHeight="1" x14ac:dyDescent="0.25">
      <c r="A3963" s="82">
        <v>46238</v>
      </c>
      <c r="B3963" t="s">
        <v>516</v>
      </c>
      <c r="C3963" t="s">
        <v>514</v>
      </c>
      <c r="D3963" t="s">
        <v>428</v>
      </c>
      <c r="E3963" t="s">
        <v>425</v>
      </c>
      <c r="F3963" t="s">
        <v>532</v>
      </c>
      <c r="G3963" t="s">
        <v>426</v>
      </c>
      <c r="H3963" t="s">
        <v>455</v>
      </c>
      <c r="I3963" t="s">
        <v>427</v>
      </c>
      <c r="J3963" t="s">
        <v>421</v>
      </c>
      <c r="L3963" t="s">
        <v>423</v>
      </c>
      <c r="M3963" t="s">
        <v>421</v>
      </c>
      <c r="N3963" t="s">
        <v>424</v>
      </c>
    </row>
    <row r="3964" spans="1:14" ht="15" customHeight="1" x14ac:dyDescent="0.25">
      <c r="A3964" s="82">
        <v>46239</v>
      </c>
      <c r="B3964" t="s">
        <v>516</v>
      </c>
      <c r="C3964" t="s">
        <v>514</v>
      </c>
      <c r="D3964" t="s">
        <v>428</v>
      </c>
      <c r="E3964" t="s">
        <v>425</v>
      </c>
      <c r="F3964" t="s">
        <v>430</v>
      </c>
      <c r="G3964" t="s">
        <v>426</v>
      </c>
      <c r="H3964" t="s">
        <v>427</v>
      </c>
      <c r="I3964" t="s">
        <v>455</v>
      </c>
      <c r="J3964" t="s">
        <v>421</v>
      </c>
      <c r="L3964" t="s">
        <v>423</v>
      </c>
      <c r="M3964" t="s">
        <v>421</v>
      </c>
      <c r="N3964" t="s">
        <v>424</v>
      </c>
    </row>
    <row r="3965" spans="1:14" ht="15" customHeight="1" x14ac:dyDescent="0.25">
      <c r="A3965" s="82">
        <v>46240</v>
      </c>
      <c r="B3965" t="s">
        <v>516</v>
      </c>
      <c r="C3965" t="s">
        <v>514</v>
      </c>
      <c r="D3965" t="s">
        <v>428</v>
      </c>
      <c r="E3965" t="s">
        <v>425</v>
      </c>
      <c r="F3965" t="s">
        <v>430</v>
      </c>
      <c r="G3965" t="s">
        <v>426</v>
      </c>
      <c r="H3965" t="s">
        <v>455</v>
      </c>
      <c r="I3965" t="s">
        <v>517</v>
      </c>
      <c r="J3965" t="s">
        <v>427</v>
      </c>
      <c r="L3965" t="s">
        <v>423</v>
      </c>
      <c r="M3965" t="s">
        <v>421</v>
      </c>
      <c r="N3965" t="s">
        <v>424</v>
      </c>
    </row>
    <row r="3966" spans="1:14" ht="15" customHeight="1" x14ac:dyDescent="0.25">
      <c r="A3966" s="82">
        <v>46241</v>
      </c>
      <c r="B3966" t="s">
        <v>530</v>
      </c>
      <c r="C3966" t="s">
        <v>529</v>
      </c>
      <c r="D3966" t="s">
        <v>425</v>
      </c>
      <c r="E3966" t="s">
        <v>425</v>
      </c>
      <c r="F3966" t="s">
        <v>421</v>
      </c>
      <c r="G3966" t="s">
        <v>427</v>
      </c>
      <c r="H3966" t="s">
        <v>516</v>
      </c>
      <c r="I3966" t="s">
        <v>514</v>
      </c>
      <c r="J3966" t="s">
        <v>455</v>
      </c>
      <c r="L3966" t="s">
        <v>424</v>
      </c>
      <c r="M3966" t="s">
        <v>423</v>
      </c>
      <c r="N3966" t="s">
        <v>421</v>
      </c>
    </row>
    <row r="3967" spans="1:14" ht="15" customHeight="1" x14ac:dyDescent="0.25">
      <c r="A3967" s="82">
        <v>46242</v>
      </c>
      <c r="B3967" t="s">
        <v>430</v>
      </c>
      <c r="C3967" t="s">
        <v>426</v>
      </c>
      <c r="D3967" t="s">
        <v>425</v>
      </c>
      <c r="E3967" t="s">
        <v>421</v>
      </c>
      <c r="F3967" t="s">
        <v>427</v>
      </c>
      <c r="G3967" t="s">
        <v>455</v>
      </c>
      <c r="H3967" t="s">
        <v>516</v>
      </c>
      <c r="I3967" t="s">
        <v>514</v>
      </c>
      <c r="J3967" t="s">
        <v>428</v>
      </c>
      <c r="L3967" t="s">
        <v>424</v>
      </c>
      <c r="M3967" t="s">
        <v>423</v>
      </c>
      <c r="N3967" t="s">
        <v>421</v>
      </c>
    </row>
    <row r="3968" spans="1:14" ht="15" customHeight="1" x14ac:dyDescent="0.25">
      <c r="A3968" s="82">
        <v>46243</v>
      </c>
      <c r="B3968" t="s">
        <v>430</v>
      </c>
      <c r="C3968" t="s">
        <v>426</v>
      </c>
      <c r="D3968" t="s">
        <v>425</v>
      </c>
      <c r="E3968" t="s">
        <v>421</v>
      </c>
      <c r="F3968" t="s">
        <v>455</v>
      </c>
      <c r="G3968" t="s">
        <v>427</v>
      </c>
      <c r="H3968" t="s">
        <v>516</v>
      </c>
      <c r="I3968" t="s">
        <v>514</v>
      </c>
      <c r="J3968" t="s">
        <v>428</v>
      </c>
      <c r="L3968" t="s">
        <v>424</v>
      </c>
      <c r="M3968" t="s">
        <v>423</v>
      </c>
      <c r="N3968" t="s">
        <v>421</v>
      </c>
    </row>
    <row r="3969" spans="1:14" ht="15" customHeight="1" x14ac:dyDescent="0.25">
      <c r="A3969" s="82">
        <v>46244</v>
      </c>
      <c r="B3969" t="s">
        <v>532</v>
      </c>
      <c r="C3969" t="s">
        <v>529</v>
      </c>
      <c r="D3969" t="s">
        <v>425</v>
      </c>
      <c r="E3969" t="s">
        <v>427</v>
      </c>
      <c r="F3969" t="s">
        <v>421</v>
      </c>
      <c r="G3969" t="s">
        <v>455</v>
      </c>
      <c r="H3969" t="s">
        <v>516</v>
      </c>
      <c r="I3969" t="s">
        <v>514</v>
      </c>
      <c r="J3969" t="s">
        <v>428</v>
      </c>
      <c r="L3969" t="s">
        <v>424</v>
      </c>
      <c r="M3969" t="s">
        <v>423</v>
      </c>
      <c r="N3969" t="s">
        <v>421</v>
      </c>
    </row>
    <row r="3970" spans="1:14" ht="15" customHeight="1" x14ac:dyDescent="0.25">
      <c r="A3970" s="82">
        <v>46245</v>
      </c>
      <c r="B3970" t="s">
        <v>532</v>
      </c>
      <c r="C3970" t="s">
        <v>426</v>
      </c>
      <c r="D3970" t="s">
        <v>425</v>
      </c>
      <c r="E3970" t="s">
        <v>455</v>
      </c>
      <c r="F3970" t="s">
        <v>427</v>
      </c>
      <c r="G3970" t="s">
        <v>421</v>
      </c>
      <c r="H3970" t="s">
        <v>516</v>
      </c>
      <c r="I3970" t="s">
        <v>514</v>
      </c>
      <c r="J3970" t="s">
        <v>428</v>
      </c>
      <c r="L3970" t="s">
        <v>424</v>
      </c>
      <c r="M3970" t="s">
        <v>423</v>
      </c>
      <c r="N3970" t="s">
        <v>421</v>
      </c>
    </row>
    <row r="3971" spans="1:14" ht="15" customHeight="1" x14ac:dyDescent="0.25">
      <c r="A3971" s="82">
        <v>46246</v>
      </c>
      <c r="B3971" t="s">
        <v>430</v>
      </c>
      <c r="C3971" t="s">
        <v>426</v>
      </c>
      <c r="D3971" t="s">
        <v>425</v>
      </c>
      <c r="E3971" t="s">
        <v>427</v>
      </c>
      <c r="F3971" t="s">
        <v>455</v>
      </c>
      <c r="G3971" t="s">
        <v>421</v>
      </c>
      <c r="H3971" t="s">
        <v>516</v>
      </c>
      <c r="I3971" t="s">
        <v>514</v>
      </c>
      <c r="J3971" t="s">
        <v>428</v>
      </c>
      <c r="L3971" t="s">
        <v>424</v>
      </c>
      <c r="M3971" t="s">
        <v>423</v>
      </c>
      <c r="N3971" t="s">
        <v>421</v>
      </c>
    </row>
    <row r="3972" spans="1:14" ht="15" customHeight="1" x14ac:dyDescent="0.25">
      <c r="A3972" s="82">
        <v>46247</v>
      </c>
      <c r="B3972" t="s">
        <v>430</v>
      </c>
      <c r="C3972" t="s">
        <v>426</v>
      </c>
      <c r="D3972" t="s">
        <v>425</v>
      </c>
      <c r="E3972" t="s">
        <v>455</v>
      </c>
      <c r="F3972" t="s">
        <v>517</v>
      </c>
      <c r="G3972" t="s">
        <v>427</v>
      </c>
      <c r="H3972" t="s">
        <v>516</v>
      </c>
      <c r="I3972" t="s">
        <v>514</v>
      </c>
      <c r="J3972" t="s">
        <v>428</v>
      </c>
      <c r="L3972" t="s">
        <v>424</v>
      </c>
      <c r="M3972" t="s">
        <v>423</v>
      </c>
      <c r="N3972" t="s">
        <v>421</v>
      </c>
    </row>
    <row r="3973" spans="1:14" ht="15" customHeight="1" x14ac:dyDescent="0.25">
      <c r="A3973" s="82">
        <v>46248</v>
      </c>
      <c r="B3973" t="s">
        <v>421</v>
      </c>
      <c r="C3973" t="s">
        <v>427</v>
      </c>
      <c r="D3973" t="s">
        <v>425</v>
      </c>
      <c r="E3973" t="s">
        <v>516</v>
      </c>
      <c r="F3973" t="s">
        <v>514</v>
      </c>
      <c r="G3973" t="s">
        <v>455</v>
      </c>
      <c r="H3973" t="s">
        <v>530</v>
      </c>
      <c r="I3973" t="s">
        <v>529</v>
      </c>
      <c r="J3973" t="s">
        <v>425</v>
      </c>
      <c r="L3973" t="s">
        <v>421</v>
      </c>
      <c r="M3973" t="s">
        <v>428</v>
      </c>
      <c r="N3973" t="s">
        <v>423</v>
      </c>
    </row>
    <row r="3974" spans="1:14" ht="15" customHeight="1" x14ac:dyDescent="0.25">
      <c r="A3974" s="82">
        <v>46249</v>
      </c>
      <c r="B3974" t="s">
        <v>427</v>
      </c>
      <c r="C3974" t="s">
        <v>455</v>
      </c>
      <c r="D3974" t="s">
        <v>421</v>
      </c>
      <c r="E3974" t="s">
        <v>516</v>
      </c>
      <c r="F3974" t="s">
        <v>514</v>
      </c>
      <c r="G3974" t="s">
        <v>428</v>
      </c>
      <c r="H3974" t="s">
        <v>430</v>
      </c>
      <c r="I3974" t="s">
        <v>426</v>
      </c>
      <c r="J3974" t="s">
        <v>425</v>
      </c>
      <c r="L3974" t="s">
        <v>421</v>
      </c>
      <c r="M3974" t="s">
        <v>428</v>
      </c>
      <c r="N3974" t="s">
        <v>423</v>
      </c>
    </row>
    <row r="3975" spans="1:14" ht="15" customHeight="1" x14ac:dyDescent="0.25">
      <c r="A3975" s="82">
        <v>46250</v>
      </c>
      <c r="B3975" t="s">
        <v>455</v>
      </c>
      <c r="C3975" t="s">
        <v>427</v>
      </c>
      <c r="D3975" t="s">
        <v>421</v>
      </c>
      <c r="E3975" t="s">
        <v>516</v>
      </c>
      <c r="F3975" t="s">
        <v>514</v>
      </c>
      <c r="G3975" t="s">
        <v>428</v>
      </c>
      <c r="H3975" t="s">
        <v>430</v>
      </c>
      <c r="I3975" t="s">
        <v>426</v>
      </c>
      <c r="J3975" t="s">
        <v>425</v>
      </c>
      <c r="L3975" t="s">
        <v>421</v>
      </c>
      <c r="M3975" t="s">
        <v>428</v>
      </c>
      <c r="N3975" t="s">
        <v>423</v>
      </c>
    </row>
    <row r="3976" spans="1:14" ht="15" customHeight="1" x14ac:dyDescent="0.25">
      <c r="A3976" s="82">
        <v>46251</v>
      </c>
      <c r="B3976" t="s">
        <v>421</v>
      </c>
      <c r="C3976" t="s">
        <v>455</v>
      </c>
      <c r="D3976" t="s">
        <v>427</v>
      </c>
      <c r="E3976" t="s">
        <v>516</v>
      </c>
      <c r="F3976" t="s">
        <v>514</v>
      </c>
      <c r="G3976" t="s">
        <v>428</v>
      </c>
      <c r="H3976" t="s">
        <v>532</v>
      </c>
      <c r="I3976" t="s">
        <v>529</v>
      </c>
      <c r="J3976" t="s">
        <v>425</v>
      </c>
      <c r="L3976" t="s">
        <v>421</v>
      </c>
      <c r="M3976" t="s">
        <v>428</v>
      </c>
      <c r="N3976" t="s">
        <v>423</v>
      </c>
    </row>
    <row r="3977" spans="1:14" ht="15" customHeight="1" x14ac:dyDescent="0.25">
      <c r="A3977" s="82">
        <v>46252</v>
      </c>
      <c r="B3977" t="s">
        <v>427</v>
      </c>
      <c r="C3977" t="s">
        <v>421</v>
      </c>
      <c r="D3977" t="s">
        <v>455</v>
      </c>
      <c r="E3977" t="s">
        <v>516</v>
      </c>
      <c r="F3977" t="s">
        <v>514</v>
      </c>
      <c r="G3977" t="s">
        <v>428</v>
      </c>
      <c r="H3977" t="s">
        <v>532</v>
      </c>
      <c r="I3977" t="s">
        <v>426</v>
      </c>
      <c r="J3977" t="s">
        <v>425</v>
      </c>
      <c r="L3977" t="s">
        <v>421</v>
      </c>
      <c r="M3977" t="s">
        <v>428</v>
      </c>
      <c r="N3977" t="s">
        <v>423</v>
      </c>
    </row>
    <row r="3978" spans="1:14" ht="15" customHeight="1" x14ac:dyDescent="0.25">
      <c r="A3978" s="82">
        <v>46253</v>
      </c>
      <c r="B3978" t="s">
        <v>455</v>
      </c>
      <c r="C3978" t="s">
        <v>421</v>
      </c>
      <c r="D3978" t="s">
        <v>427</v>
      </c>
      <c r="E3978" t="s">
        <v>516</v>
      </c>
      <c r="F3978" t="s">
        <v>514</v>
      </c>
      <c r="G3978" t="s">
        <v>428</v>
      </c>
      <c r="H3978" t="s">
        <v>430</v>
      </c>
      <c r="I3978" t="s">
        <v>426</v>
      </c>
      <c r="J3978" t="s">
        <v>425</v>
      </c>
      <c r="L3978" t="s">
        <v>421</v>
      </c>
      <c r="M3978" t="s">
        <v>424</v>
      </c>
      <c r="N3978" t="s">
        <v>423</v>
      </c>
    </row>
    <row r="3979" spans="1:14" ht="15" customHeight="1" x14ac:dyDescent="0.25">
      <c r="A3979" s="82">
        <v>46254</v>
      </c>
      <c r="B3979" t="s">
        <v>517</v>
      </c>
      <c r="C3979" t="s">
        <v>427</v>
      </c>
      <c r="D3979" t="s">
        <v>455</v>
      </c>
      <c r="E3979" t="s">
        <v>516</v>
      </c>
      <c r="F3979" t="s">
        <v>514</v>
      </c>
      <c r="G3979" t="s">
        <v>428</v>
      </c>
      <c r="H3979" t="s">
        <v>430</v>
      </c>
      <c r="I3979" t="s">
        <v>426</v>
      </c>
      <c r="J3979" t="s">
        <v>425</v>
      </c>
      <c r="L3979" t="s">
        <v>421</v>
      </c>
      <c r="M3979" t="s">
        <v>424</v>
      </c>
      <c r="N3979" t="s">
        <v>423</v>
      </c>
    </row>
    <row r="3980" spans="1:14" ht="15" customHeight="1" x14ac:dyDescent="0.25">
      <c r="A3980" s="82">
        <v>46255</v>
      </c>
      <c r="B3980" t="s">
        <v>514</v>
      </c>
      <c r="C3980" t="s">
        <v>455</v>
      </c>
      <c r="D3980" t="s">
        <v>516</v>
      </c>
      <c r="E3980" t="s">
        <v>530</v>
      </c>
      <c r="F3980" t="s">
        <v>529</v>
      </c>
      <c r="G3980" t="s">
        <v>425</v>
      </c>
      <c r="H3980" t="s">
        <v>421</v>
      </c>
      <c r="I3980" t="s">
        <v>427</v>
      </c>
      <c r="J3980" t="s">
        <v>425</v>
      </c>
      <c r="L3980" t="s">
        <v>423</v>
      </c>
      <c r="M3980" t="s">
        <v>421</v>
      </c>
      <c r="N3980" t="s">
        <v>424</v>
      </c>
    </row>
    <row r="3981" spans="1:14" ht="15" customHeight="1" x14ac:dyDescent="0.25">
      <c r="A3981" s="82">
        <v>46256</v>
      </c>
      <c r="B3981" t="s">
        <v>514</v>
      </c>
      <c r="C3981" t="s">
        <v>428</v>
      </c>
      <c r="D3981" t="s">
        <v>516</v>
      </c>
      <c r="E3981" t="s">
        <v>430</v>
      </c>
      <c r="F3981" t="s">
        <v>426</v>
      </c>
      <c r="G3981" t="s">
        <v>425</v>
      </c>
      <c r="H3981" t="s">
        <v>427</v>
      </c>
      <c r="I3981" t="s">
        <v>455</v>
      </c>
      <c r="J3981" t="s">
        <v>421</v>
      </c>
      <c r="L3981" t="s">
        <v>423</v>
      </c>
      <c r="M3981" t="s">
        <v>421</v>
      </c>
      <c r="N3981" t="s">
        <v>424</v>
      </c>
    </row>
    <row r="3982" spans="1:14" ht="15" customHeight="1" x14ac:dyDescent="0.25">
      <c r="A3982" s="82">
        <v>46257</v>
      </c>
      <c r="B3982" t="s">
        <v>514</v>
      </c>
      <c r="C3982" t="s">
        <v>428</v>
      </c>
      <c r="D3982" t="s">
        <v>516</v>
      </c>
      <c r="E3982" t="s">
        <v>430</v>
      </c>
      <c r="F3982" t="s">
        <v>426</v>
      </c>
      <c r="G3982" t="s">
        <v>425</v>
      </c>
      <c r="H3982" t="s">
        <v>455</v>
      </c>
      <c r="I3982" t="s">
        <v>427</v>
      </c>
      <c r="J3982" t="s">
        <v>421</v>
      </c>
      <c r="L3982" t="s">
        <v>423</v>
      </c>
      <c r="M3982" t="s">
        <v>421</v>
      </c>
      <c r="N3982" t="s">
        <v>424</v>
      </c>
    </row>
    <row r="3983" spans="1:14" ht="15" customHeight="1" x14ac:dyDescent="0.25">
      <c r="A3983" s="82">
        <v>46258</v>
      </c>
      <c r="B3983" t="s">
        <v>514</v>
      </c>
      <c r="C3983" t="s">
        <v>428</v>
      </c>
      <c r="D3983" t="s">
        <v>516</v>
      </c>
      <c r="E3983" t="s">
        <v>532</v>
      </c>
      <c r="F3983" t="s">
        <v>529</v>
      </c>
      <c r="G3983" t="s">
        <v>425</v>
      </c>
      <c r="H3983" t="s">
        <v>421</v>
      </c>
      <c r="I3983" t="s">
        <v>455</v>
      </c>
      <c r="J3983" t="s">
        <v>427</v>
      </c>
      <c r="L3983" t="s">
        <v>423</v>
      </c>
      <c r="M3983" t="s">
        <v>421</v>
      </c>
      <c r="N3983" t="s">
        <v>424</v>
      </c>
    </row>
    <row r="3984" spans="1:14" ht="15" customHeight="1" x14ac:dyDescent="0.25">
      <c r="A3984" s="82">
        <v>46259</v>
      </c>
      <c r="B3984" t="s">
        <v>514</v>
      </c>
      <c r="C3984" t="s">
        <v>428</v>
      </c>
      <c r="D3984" t="s">
        <v>516</v>
      </c>
      <c r="E3984" t="s">
        <v>532</v>
      </c>
      <c r="F3984" t="s">
        <v>426</v>
      </c>
      <c r="G3984" t="s">
        <v>425</v>
      </c>
      <c r="H3984" t="s">
        <v>427</v>
      </c>
      <c r="I3984" t="s">
        <v>421</v>
      </c>
      <c r="J3984" t="s">
        <v>455</v>
      </c>
      <c r="L3984" t="s">
        <v>423</v>
      </c>
      <c r="M3984" t="s">
        <v>421</v>
      </c>
      <c r="N3984" t="s">
        <v>424</v>
      </c>
    </row>
    <row r="3985" spans="1:14" ht="15" customHeight="1" x14ac:dyDescent="0.25">
      <c r="A3985" s="82">
        <v>46260</v>
      </c>
      <c r="B3985" t="s">
        <v>514</v>
      </c>
      <c r="C3985" t="s">
        <v>428</v>
      </c>
      <c r="D3985" t="s">
        <v>516</v>
      </c>
      <c r="E3985" t="s">
        <v>430</v>
      </c>
      <c r="F3985" t="s">
        <v>426</v>
      </c>
      <c r="G3985" t="s">
        <v>425</v>
      </c>
      <c r="H3985" t="s">
        <v>455</v>
      </c>
      <c r="I3985" t="s">
        <v>421</v>
      </c>
      <c r="J3985" t="s">
        <v>427</v>
      </c>
      <c r="L3985" t="s">
        <v>423</v>
      </c>
      <c r="M3985" t="s">
        <v>421</v>
      </c>
      <c r="N3985" t="s">
        <v>424</v>
      </c>
    </row>
    <row r="3986" spans="1:14" ht="15" customHeight="1" x14ac:dyDescent="0.25">
      <c r="A3986" s="82">
        <v>46261</v>
      </c>
      <c r="B3986" t="s">
        <v>514</v>
      </c>
      <c r="C3986" t="s">
        <v>428</v>
      </c>
      <c r="D3986" t="s">
        <v>516</v>
      </c>
      <c r="E3986" t="s">
        <v>430</v>
      </c>
      <c r="F3986" t="s">
        <v>426</v>
      </c>
      <c r="G3986" t="s">
        <v>425</v>
      </c>
      <c r="H3986" t="s">
        <v>517</v>
      </c>
      <c r="I3986" t="s">
        <v>427</v>
      </c>
      <c r="J3986" t="s">
        <v>455</v>
      </c>
      <c r="L3986" t="s">
        <v>423</v>
      </c>
      <c r="M3986" t="s">
        <v>421</v>
      </c>
      <c r="N3986" t="s">
        <v>424</v>
      </c>
    </row>
    <row r="3987" spans="1:14" ht="15" customHeight="1" x14ac:dyDescent="0.25">
      <c r="A3987" s="82">
        <v>46262</v>
      </c>
      <c r="B3987" t="s">
        <v>529</v>
      </c>
      <c r="C3987" t="s">
        <v>425</v>
      </c>
      <c r="D3987" t="s">
        <v>530</v>
      </c>
      <c r="E3987" t="s">
        <v>421</v>
      </c>
      <c r="F3987" t="s">
        <v>427</v>
      </c>
      <c r="G3987" t="s">
        <v>425</v>
      </c>
      <c r="H3987" t="s">
        <v>514</v>
      </c>
      <c r="I3987" t="s">
        <v>455</v>
      </c>
      <c r="J3987" t="s">
        <v>516</v>
      </c>
      <c r="L3987" t="s">
        <v>424</v>
      </c>
      <c r="M3987" t="s">
        <v>423</v>
      </c>
      <c r="N3987" t="s">
        <v>421</v>
      </c>
    </row>
    <row r="3988" spans="1:14" ht="15" customHeight="1" x14ac:dyDescent="0.25">
      <c r="A3988" s="82">
        <v>46263</v>
      </c>
      <c r="B3988" t="s">
        <v>426</v>
      </c>
      <c r="C3988" t="s">
        <v>425</v>
      </c>
      <c r="D3988" t="s">
        <v>430</v>
      </c>
      <c r="E3988" t="s">
        <v>427</v>
      </c>
      <c r="F3988" t="s">
        <v>455</v>
      </c>
      <c r="G3988" t="s">
        <v>421</v>
      </c>
      <c r="H3988" t="s">
        <v>514</v>
      </c>
      <c r="I3988" t="s">
        <v>428</v>
      </c>
      <c r="J3988" t="s">
        <v>516</v>
      </c>
      <c r="L3988" t="s">
        <v>424</v>
      </c>
      <c r="M3988" t="s">
        <v>423</v>
      </c>
      <c r="N3988" t="s">
        <v>421</v>
      </c>
    </row>
    <row r="3989" spans="1:14" ht="15" customHeight="1" x14ac:dyDescent="0.25">
      <c r="A3989" s="82">
        <v>46264</v>
      </c>
      <c r="B3989" t="s">
        <v>426</v>
      </c>
      <c r="C3989" t="s">
        <v>425</v>
      </c>
      <c r="D3989" t="s">
        <v>430</v>
      </c>
      <c r="E3989" t="s">
        <v>455</v>
      </c>
      <c r="F3989" t="s">
        <v>427</v>
      </c>
      <c r="G3989" t="s">
        <v>421</v>
      </c>
      <c r="H3989" t="s">
        <v>514</v>
      </c>
      <c r="I3989" t="s">
        <v>428</v>
      </c>
      <c r="J3989" t="s">
        <v>516</v>
      </c>
      <c r="L3989" t="s">
        <v>424</v>
      </c>
      <c r="M3989" t="s">
        <v>423</v>
      </c>
      <c r="N3989" t="s">
        <v>421</v>
      </c>
    </row>
    <row r="3990" spans="1:14" ht="15" customHeight="1" x14ac:dyDescent="0.25">
      <c r="A3990" s="82">
        <v>46265</v>
      </c>
      <c r="B3990" t="s">
        <v>529</v>
      </c>
      <c r="C3990" t="s">
        <v>425</v>
      </c>
      <c r="D3990" t="s">
        <v>532</v>
      </c>
      <c r="E3990" t="s">
        <v>421</v>
      </c>
      <c r="F3990" t="s">
        <v>455</v>
      </c>
      <c r="G3990" t="s">
        <v>427</v>
      </c>
      <c r="H3990" t="s">
        <v>514</v>
      </c>
      <c r="I3990" t="s">
        <v>428</v>
      </c>
      <c r="J3990" t="s">
        <v>537</v>
      </c>
      <c r="L3990" t="s">
        <v>424</v>
      </c>
      <c r="M3990" t="s">
        <v>423</v>
      </c>
      <c r="N3990" t="s">
        <v>421</v>
      </c>
    </row>
    <row r="3991" spans="1:14" ht="15" customHeight="1" x14ac:dyDescent="0.25">
      <c r="A3991" s="82">
        <v>46266</v>
      </c>
      <c r="B3991" t="s">
        <v>426</v>
      </c>
      <c r="C3991" t="s">
        <v>425</v>
      </c>
      <c r="D3991" t="s">
        <v>532</v>
      </c>
      <c r="E3991" t="s">
        <v>427</v>
      </c>
      <c r="F3991" t="s">
        <v>421</v>
      </c>
      <c r="G3991" t="s">
        <v>455</v>
      </c>
      <c r="H3991" t="s">
        <v>514</v>
      </c>
      <c r="I3991" t="s">
        <v>428</v>
      </c>
      <c r="J3991" t="s">
        <v>537</v>
      </c>
      <c r="L3991" t="s">
        <v>424</v>
      </c>
      <c r="M3991" t="s">
        <v>423</v>
      </c>
      <c r="N3991" t="s">
        <v>421</v>
      </c>
    </row>
    <row r="3992" spans="1:14" ht="15" customHeight="1" x14ac:dyDescent="0.25">
      <c r="A3992" s="82">
        <v>46267</v>
      </c>
      <c r="B3992" t="s">
        <v>426</v>
      </c>
      <c r="C3992" t="s">
        <v>425</v>
      </c>
      <c r="D3992" t="s">
        <v>430</v>
      </c>
      <c r="E3992" t="s">
        <v>455</v>
      </c>
      <c r="F3992" t="s">
        <v>421</v>
      </c>
      <c r="G3992" t="s">
        <v>427</v>
      </c>
      <c r="H3992" t="s">
        <v>514</v>
      </c>
      <c r="I3992" t="s">
        <v>428</v>
      </c>
      <c r="J3992" t="s">
        <v>424</v>
      </c>
      <c r="L3992" t="s">
        <v>424</v>
      </c>
      <c r="M3992" t="s">
        <v>423</v>
      </c>
      <c r="N3992" t="s">
        <v>421</v>
      </c>
    </row>
    <row r="3993" spans="1:14" ht="15" customHeight="1" x14ac:dyDescent="0.25">
      <c r="A3993" s="82">
        <v>46268</v>
      </c>
      <c r="B3993" t="s">
        <v>426</v>
      </c>
      <c r="C3993" t="s">
        <v>425</v>
      </c>
      <c r="D3993" t="s">
        <v>430</v>
      </c>
      <c r="E3993" t="s">
        <v>517</v>
      </c>
      <c r="F3993" t="s">
        <v>427</v>
      </c>
      <c r="G3993" t="s">
        <v>455</v>
      </c>
      <c r="H3993" t="s">
        <v>514</v>
      </c>
      <c r="I3993" t="s">
        <v>428</v>
      </c>
      <c r="J3993" t="s">
        <v>424</v>
      </c>
      <c r="L3993" t="s">
        <v>424</v>
      </c>
      <c r="M3993" t="s">
        <v>423</v>
      </c>
      <c r="N3993" t="s">
        <v>421</v>
      </c>
    </row>
    <row r="3994" spans="1:14" ht="15" customHeight="1" x14ac:dyDescent="0.25">
      <c r="A3994" s="82">
        <v>46269</v>
      </c>
      <c r="B3994" t="s">
        <v>427</v>
      </c>
      <c r="C3994" t="s">
        <v>425</v>
      </c>
      <c r="D3994" t="s">
        <v>421</v>
      </c>
      <c r="E3994" t="s">
        <v>514</v>
      </c>
      <c r="F3994" t="s">
        <v>455</v>
      </c>
      <c r="G3994" t="s">
        <v>424</v>
      </c>
      <c r="H3994" t="s">
        <v>529</v>
      </c>
      <c r="I3994" t="s">
        <v>425</v>
      </c>
      <c r="J3994" t="s">
        <v>430</v>
      </c>
      <c r="L3994" t="s">
        <v>421</v>
      </c>
      <c r="M3994" t="s">
        <v>424</v>
      </c>
      <c r="N3994" t="s">
        <v>423</v>
      </c>
    </row>
    <row r="3995" spans="1:14" ht="15" customHeight="1" x14ac:dyDescent="0.25">
      <c r="A3995" s="82">
        <v>46270</v>
      </c>
      <c r="B3995" t="s">
        <v>455</v>
      </c>
      <c r="C3995" t="s">
        <v>421</v>
      </c>
      <c r="D3995" t="s">
        <v>427</v>
      </c>
      <c r="E3995" t="s">
        <v>514</v>
      </c>
      <c r="F3995" t="s">
        <v>428</v>
      </c>
      <c r="G3995" t="s">
        <v>424</v>
      </c>
      <c r="H3995" t="s">
        <v>426</v>
      </c>
      <c r="I3995" t="s">
        <v>425</v>
      </c>
      <c r="J3995" t="s">
        <v>430</v>
      </c>
      <c r="L3995" t="s">
        <v>421</v>
      </c>
      <c r="M3995" t="s">
        <v>424</v>
      </c>
      <c r="N3995" t="s">
        <v>423</v>
      </c>
    </row>
    <row r="3996" spans="1:14" ht="15" customHeight="1" x14ac:dyDescent="0.25">
      <c r="A3996" s="82">
        <v>46271</v>
      </c>
      <c r="B3996" t="s">
        <v>427</v>
      </c>
      <c r="C3996" t="s">
        <v>421</v>
      </c>
      <c r="D3996" t="s">
        <v>455</v>
      </c>
      <c r="E3996" t="s">
        <v>514</v>
      </c>
      <c r="F3996" t="s">
        <v>428</v>
      </c>
      <c r="G3996" t="s">
        <v>424</v>
      </c>
      <c r="H3996" t="s">
        <v>426</v>
      </c>
      <c r="I3996" t="s">
        <v>425</v>
      </c>
      <c r="J3996" t="s">
        <v>430</v>
      </c>
      <c r="L3996" t="s">
        <v>421</v>
      </c>
      <c r="M3996" t="s">
        <v>424</v>
      </c>
      <c r="N3996" t="s">
        <v>423</v>
      </c>
    </row>
    <row r="3997" spans="1:14" ht="15" customHeight="1" x14ac:dyDescent="0.25">
      <c r="A3997" s="82">
        <v>46272</v>
      </c>
      <c r="B3997" t="s">
        <v>455</v>
      </c>
      <c r="C3997" t="s">
        <v>427</v>
      </c>
      <c r="D3997" t="s">
        <v>421</v>
      </c>
      <c r="E3997" t="s">
        <v>514</v>
      </c>
      <c r="F3997" t="s">
        <v>428</v>
      </c>
      <c r="G3997" t="s">
        <v>424</v>
      </c>
      <c r="H3997" t="s">
        <v>529</v>
      </c>
      <c r="I3997" t="s">
        <v>425</v>
      </c>
      <c r="J3997" t="s">
        <v>430</v>
      </c>
      <c r="L3997" t="s">
        <v>421</v>
      </c>
      <c r="M3997" t="s">
        <v>424</v>
      </c>
      <c r="N3997" t="s">
        <v>423</v>
      </c>
    </row>
    <row r="3998" spans="1:14" ht="15" customHeight="1" x14ac:dyDescent="0.25">
      <c r="A3998" s="82">
        <v>46273</v>
      </c>
      <c r="B3998" t="s">
        <v>421</v>
      </c>
      <c r="C3998" t="s">
        <v>455</v>
      </c>
      <c r="D3998" t="s">
        <v>427</v>
      </c>
      <c r="E3998" t="s">
        <v>514</v>
      </c>
      <c r="F3998" t="s">
        <v>428</v>
      </c>
      <c r="G3998" t="s">
        <v>424</v>
      </c>
      <c r="H3998" t="s">
        <v>426</v>
      </c>
      <c r="I3998" t="s">
        <v>425</v>
      </c>
      <c r="J3998" t="s">
        <v>430</v>
      </c>
      <c r="L3998" t="s">
        <v>421</v>
      </c>
      <c r="M3998" t="s">
        <v>424</v>
      </c>
      <c r="N3998" t="s">
        <v>423</v>
      </c>
    </row>
    <row r="3999" spans="1:14" ht="15" customHeight="1" x14ac:dyDescent="0.25">
      <c r="A3999" s="82">
        <v>46274</v>
      </c>
      <c r="B3999" t="s">
        <v>421</v>
      </c>
      <c r="C3999" t="s">
        <v>427</v>
      </c>
      <c r="D3999" t="s">
        <v>455</v>
      </c>
      <c r="E3999" t="s">
        <v>514</v>
      </c>
      <c r="F3999" t="s">
        <v>428</v>
      </c>
      <c r="G3999" t="s">
        <v>424</v>
      </c>
      <c r="H3999" t="s">
        <v>426</v>
      </c>
      <c r="I3999" t="s">
        <v>425</v>
      </c>
      <c r="J3999" t="s">
        <v>430</v>
      </c>
      <c r="L3999" t="s">
        <v>421</v>
      </c>
      <c r="M3999" t="s">
        <v>424</v>
      </c>
      <c r="N3999" t="s">
        <v>423</v>
      </c>
    </row>
    <row r="4000" spans="1:14" ht="15" customHeight="1" x14ac:dyDescent="0.25">
      <c r="A4000" s="82">
        <v>46275</v>
      </c>
      <c r="B4000" t="s">
        <v>427</v>
      </c>
      <c r="C4000" t="s">
        <v>455</v>
      </c>
      <c r="D4000" t="s">
        <v>517</v>
      </c>
      <c r="E4000" t="s">
        <v>514</v>
      </c>
      <c r="F4000" t="s">
        <v>428</v>
      </c>
      <c r="G4000" t="s">
        <v>424</v>
      </c>
      <c r="H4000" t="s">
        <v>426</v>
      </c>
      <c r="I4000" t="s">
        <v>425</v>
      </c>
      <c r="J4000" t="s">
        <v>430</v>
      </c>
      <c r="L4000" t="s">
        <v>421</v>
      </c>
      <c r="M4000" t="s">
        <v>424</v>
      </c>
      <c r="N4000" t="s">
        <v>423</v>
      </c>
    </row>
    <row r="4001" spans="1:14" ht="15" customHeight="1" x14ac:dyDescent="0.25">
      <c r="A4001" s="82">
        <v>46276</v>
      </c>
      <c r="B4001" t="s">
        <v>455</v>
      </c>
      <c r="C4001" t="s">
        <v>424</v>
      </c>
      <c r="D4001" t="s">
        <v>514</v>
      </c>
      <c r="E4001" t="s">
        <v>529</v>
      </c>
      <c r="F4001" t="s">
        <v>425</v>
      </c>
      <c r="G4001" t="s">
        <v>430</v>
      </c>
      <c r="H4001" t="s">
        <v>427</v>
      </c>
      <c r="I4001" t="s">
        <v>425</v>
      </c>
      <c r="J4001" t="s">
        <v>421</v>
      </c>
      <c r="L4001" t="s">
        <v>423</v>
      </c>
      <c r="M4001" t="s">
        <v>421</v>
      </c>
      <c r="N4001" t="s">
        <v>428</v>
      </c>
    </row>
    <row r="4002" spans="1:14" ht="15" customHeight="1" x14ac:dyDescent="0.25">
      <c r="A4002" s="82">
        <v>46277</v>
      </c>
      <c r="B4002" t="s">
        <v>428</v>
      </c>
      <c r="C4002" t="s">
        <v>424</v>
      </c>
      <c r="D4002" t="s">
        <v>514</v>
      </c>
      <c r="E4002" t="s">
        <v>426</v>
      </c>
      <c r="F4002" t="s">
        <v>425</v>
      </c>
      <c r="G4002" t="s">
        <v>430</v>
      </c>
      <c r="H4002" t="s">
        <v>455</v>
      </c>
      <c r="I4002" t="s">
        <v>421</v>
      </c>
      <c r="J4002" t="s">
        <v>427</v>
      </c>
      <c r="L4002" t="s">
        <v>423</v>
      </c>
      <c r="M4002" t="s">
        <v>421</v>
      </c>
      <c r="N4002" t="s">
        <v>428</v>
      </c>
    </row>
    <row r="4003" spans="1:14" ht="15" customHeight="1" x14ac:dyDescent="0.25">
      <c r="A4003" s="82">
        <v>46278</v>
      </c>
      <c r="B4003" t="s">
        <v>428</v>
      </c>
      <c r="C4003" t="s">
        <v>424</v>
      </c>
      <c r="D4003" t="s">
        <v>514</v>
      </c>
      <c r="E4003" t="s">
        <v>426</v>
      </c>
      <c r="F4003" t="s">
        <v>425</v>
      </c>
      <c r="G4003" t="s">
        <v>430</v>
      </c>
      <c r="H4003" t="s">
        <v>427</v>
      </c>
      <c r="I4003" t="s">
        <v>421</v>
      </c>
      <c r="J4003" t="s">
        <v>455</v>
      </c>
      <c r="L4003" t="s">
        <v>423</v>
      </c>
      <c r="M4003" t="s">
        <v>421</v>
      </c>
      <c r="N4003" t="s">
        <v>428</v>
      </c>
    </row>
    <row r="4004" spans="1:14" ht="15" customHeight="1" x14ac:dyDescent="0.25">
      <c r="A4004" s="82">
        <v>46279</v>
      </c>
      <c r="B4004" t="s">
        <v>428</v>
      </c>
      <c r="C4004" t="s">
        <v>424</v>
      </c>
      <c r="D4004" t="s">
        <v>535</v>
      </c>
      <c r="E4004" t="s">
        <v>529</v>
      </c>
      <c r="F4004" t="s">
        <v>425</v>
      </c>
      <c r="G4004" t="s">
        <v>430</v>
      </c>
      <c r="H4004" t="s">
        <v>455</v>
      </c>
      <c r="I4004" t="s">
        <v>427</v>
      </c>
      <c r="J4004" t="s">
        <v>421</v>
      </c>
      <c r="L4004" t="s">
        <v>423</v>
      </c>
      <c r="M4004" t="s">
        <v>421</v>
      </c>
      <c r="N4004" t="s">
        <v>428</v>
      </c>
    </row>
    <row r="4005" spans="1:14" ht="15" customHeight="1" x14ac:dyDescent="0.25">
      <c r="A4005" s="82">
        <v>46280</v>
      </c>
      <c r="B4005" t="s">
        <v>428</v>
      </c>
      <c r="C4005" t="s">
        <v>424</v>
      </c>
      <c r="D4005" t="s">
        <v>535</v>
      </c>
      <c r="E4005" t="s">
        <v>426</v>
      </c>
      <c r="F4005" t="s">
        <v>425</v>
      </c>
      <c r="G4005" t="s">
        <v>430</v>
      </c>
      <c r="H4005" t="s">
        <v>421</v>
      </c>
      <c r="I4005" t="s">
        <v>455</v>
      </c>
      <c r="J4005" t="s">
        <v>427</v>
      </c>
      <c r="L4005" t="s">
        <v>423</v>
      </c>
      <c r="M4005" t="s">
        <v>421</v>
      </c>
      <c r="N4005" t="s">
        <v>428</v>
      </c>
    </row>
    <row r="4006" spans="1:14" ht="15" customHeight="1" x14ac:dyDescent="0.25">
      <c r="A4006" s="82">
        <v>46281</v>
      </c>
      <c r="B4006" t="s">
        <v>428</v>
      </c>
      <c r="C4006" t="s">
        <v>424</v>
      </c>
      <c r="D4006" t="s">
        <v>429</v>
      </c>
      <c r="E4006" t="s">
        <v>426</v>
      </c>
      <c r="F4006" t="s">
        <v>425</v>
      </c>
      <c r="G4006" t="s">
        <v>430</v>
      </c>
      <c r="H4006" t="s">
        <v>421</v>
      </c>
      <c r="I4006" t="s">
        <v>427</v>
      </c>
      <c r="J4006" t="s">
        <v>455</v>
      </c>
      <c r="L4006" t="s">
        <v>423</v>
      </c>
      <c r="M4006" t="s">
        <v>421</v>
      </c>
      <c r="N4006" t="s">
        <v>424</v>
      </c>
    </row>
    <row r="4007" spans="1:14" ht="15" customHeight="1" x14ac:dyDescent="0.25">
      <c r="A4007" s="82">
        <v>46282</v>
      </c>
      <c r="B4007" t="s">
        <v>428</v>
      </c>
      <c r="C4007" t="s">
        <v>424</v>
      </c>
      <c r="D4007" t="s">
        <v>429</v>
      </c>
      <c r="E4007" t="s">
        <v>426</v>
      </c>
      <c r="F4007" t="s">
        <v>425</v>
      </c>
      <c r="G4007" t="s">
        <v>430</v>
      </c>
      <c r="H4007" t="s">
        <v>427</v>
      </c>
      <c r="I4007" t="s">
        <v>455</v>
      </c>
      <c r="J4007" t="s">
        <v>421</v>
      </c>
      <c r="L4007" t="s">
        <v>423</v>
      </c>
      <c r="M4007" t="s">
        <v>421</v>
      </c>
      <c r="N4007" t="s">
        <v>424</v>
      </c>
    </row>
    <row r="4008" spans="1:14" ht="15" customHeight="1" x14ac:dyDescent="0.25">
      <c r="A4008" s="82">
        <v>46283</v>
      </c>
      <c r="B4008" t="s">
        <v>425</v>
      </c>
      <c r="C4008" t="s">
        <v>430</v>
      </c>
      <c r="D4008" t="s">
        <v>426</v>
      </c>
      <c r="E4008" t="s">
        <v>427</v>
      </c>
      <c r="F4008" t="s">
        <v>425</v>
      </c>
      <c r="G4008" t="s">
        <v>421</v>
      </c>
      <c r="H4008" t="s">
        <v>455</v>
      </c>
      <c r="I4008" t="s">
        <v>424</v>
      </c>
      <c r="J4008" t="s">
        <v>429</v>
      </c>
      <c r="L4008" t="s">
        <v>424</v>
      </c>
      <c r="M4008" t="s">
        <v>423</v>
      </c>
      <c r="N4008" t="s">
        <v>421</v>
      </c>
    </row>
    <row r="4009" spans="1:14" ht="15" customHeight="1" x14ac:dyDescent="0.25">
      <c r="A4009" s="82">
        <v>46284</v>
      </c>
      <c r="B4009" t="s">
        <v>425</v>
      </c>
      <c r="C4009" t="s">
        <v>430</v>
      </c>
      <c r="D4009" t="s">
        <v>426</v>
      </c>
      <c r="E4009" t="s">
        <v>455</v>
      </c>
      <c r="F4009" t="s">
        <v>421</v>
      </c>
      <c r="G4009" t="s">
        <v>427</v>
      </c>
      <c r="H4009" t="s">
        <v>428</v>
      </c>
      <c r="I4009" t="s">
        <v>424</v>
      </c>
      <c r="J4009" t="s">
        <v>429</v>
      </c>
      <c r="L4009" t="s">
        <v>424</v>
      </c>
      <c r="M4009" t="s">
        <v>423</v>
      </c>
      <c r="N4009" t="s">
        <v>421</v>
      </c>
    </row>
    <row r="4010" spans="1:14" ht="15" customHeight="1" x14ac:dyDescent="0.25">
      <c r="A4010" s="82">
        <v>46285</v>
      </c>
      <c r="B4010" t="s">
        <v>425</v>
      </c>
      <c r="C4010" t="s">
        <v>430</v>
      </c>
      <c r="D4010" t="s">
        <v>426</v>
      </c>
      <c r="E4010" t="s">
        <v>427</v>
      </c>
      <c r="F4010" t="s">
        <v>421</v>
      </c>
      <c r="G4010" t="s">
        <v>455</v>
      </c>
      <c r="H4010" t="s">
        <v>428</v>
      </c>
      <c r="I4010" t="s">
        <v>424</v>
      </c>
      <c r="J4010" t="s">
        <v>429</v>
      </c>
      <c r="L4010" t="s">
        <v>424</v>
      </c>
      <c r="M4010" t="s">
        <v>423</v>
      </c>
      <c r="N4010" t="s">
        <v>421</v>
      </c>
    </row>
    <row r="4011" spans="1:14" ht="15" customHeight="1" x14ac:dyDescent="0.25">
      <c r="A4011" s="82">
        <v>46286</v>
      </c>
      <c r="B4011" t="s">
        <v>425</v>
      </c>
      <c r="C4011" t="s">
        <v>430</v>
      </c>
      <c r="D4011" t="s">
        <v>426</v>
      </c>
      <c r="E4011" t="s">
        <v>455</v>
      </c>
      <c r="F4011" t="s">
        <v>427</v>
      </c>
      <c r="G4011" t="s">
        <v>421</v>
      </c>
      <c r="H4011" t="s">
        <v>428</v>
      </c>
      <c r="I4011" t="s">
        <v>424</v>
      </c>
      <c r="J4011" t="s">
        <v>429</v>
      </c>
      <c r="L4011" t="s">
        <v>424</v>
      </c>
      <c r="M4011" t="s">
        <v>423</v>
      </c>
      <c r="N4011" t="s">
        <v>421</v>
      </c>
    </row>
    <row r="4012" spans="1:14" ht="15" customHeight="1" x14ac:dyDescent="0.25">
      <c r="A4012" s="82">
        <v>46287</v>
      </c>
      <c r="B4012" t="s">
        <v>425</v>
      </c>
      <c r="C4012" t="s">
        <v>430</v>
      </c>
      <c r="D4012" t="s">
        <v>426</v>
      </c>
      <c r="E4012" t="s">
        <v>421</v>
      </c>
      <c r="F4012" t="s">
        <v>455</v>
      </c>
      <c r="G4012" t="s">
        <v>427</v>
      </c>
      <c r="H4012" t="s">
        <v>428</v>
      </c>
      <c r="I4012" t="s">
        <v>424</v>
      </c>
      <c r="J4012" t="s">
        <v>429</v>
      </c>
      <c r="L4012" t="s">
        <v>424</v>
      </c>
      <c r="M4012" t="s">
        <v>423</v>
      </c>
      <c r="N4012" t="s">
        <v>421</v>
      </c>
    </row>
    <row r="4013" spans="1:14" ht="15" customHeight="1" x14ac:dyDescent="0.25">
      <c r="A4013" s="82">
        <v>46288</v>
      </c>
      <c r="B4013" t="s">
        <v>425</v>
      </c>
      <c r="C4013" t="s">
        <v>430</v>
      </c>
      <c r="D4013" t="s">
        <v>426</v>
      </c>
      <c r="E4013" t="s">
        <v>421</v>
      </c>
      <c r="F4013" t="s">
        <v>427</v>
      </c>
      <c r="G4013" t="s">
        <v>455</v>
      </c>
      <c r="H4013" t="s">
        <v>428</v>
      </c>
      <c r="I4013" t="s">
        <v>424</v>
      </c>
      <c r="J4013" t="s">
        <v>429</v>
      </c>
      <c r="L4013" t="s">
        <v>424</v>
      </c>
      <c r="M4013" t="s">
        <v>423</v>
      </c>
      <c r="N4013" t="s">
        <v>421</v>
      </c>
    </row>
    <row r="4014" spans="1:14" ht="15" customHeight="1" x14ac:dyDescent="0.25">
      <c r="A4014" s="82">
        <v>46289</v>
      </c>
      <c r="B4014" t="s">
        <v>425</v>
      </c>
      <c r="C4014" t="s">
        <v>430</v>
      </c>
      <c r="D4014" t="s">
        <v>426</v>
      </c>
      <c r="E4014" t="s">
        <v>427</v>
      </c>
      <c r="F4014" t="s">
        <v>455</v>
      </c>
      <c r="G4014" t="s">
        <v>421</v>
      </c>
      <c r="H4014" t="s">
        <v>428</v>
      </c>
      <c r="I4014" t="s">
        <v>424</v>
      </c>
      <c r="J4014" t="s">
        <v>429</v>
      </c>
      <c r="L4014" t="s">
        <v>424</v>
      </c>
      <c r="M4014" t="s">
        <v>423</v>
      </c>
      <c r="N4014" t="s">
        <v>421</v>
      </c>
    </row>
    <row r="4015" spans="1:14" ht="15" customHeight="1" x14ac:dyDescent="0.25">
      <c r="A4015" s="82">
        <v>46290</v>
      </c>
      <c r="B4015" t="s">
        <v>425</v>
      </c>
      <c r="C4015" t="s">
        <v>421</v>
      </c>
      <c r="D4015" t="s">
        <v>427</v>
      </c>
      <c r="E4015" t="s">
        <v>455</v>
      </c>
      <c r="F4015" t="s">
        <v>424</v>
      </c>
      <c r="G4015" t="s">
        <v>429</v>
      </c>
      <c r="H4015" t="s">
        <v>425</v>
      </c>
      <c r="I4015" t="s">
        <v>430</v>
      </c>
      <c r="J4015" t="s">
        <v>426</v>
      </c>
      <c r="L4015" t="s">
        <v>421</v>
      </c>
      <c r="M4015" t="s">
        <v>424</v>
      </c>
      <c r="N4015" t="s">
        <v>423</v>
      </c>
    </row>
    <row r="4016" spans="1:14" ht="15" customHeight="1" x14ac:dyDescent="0.25">
      <c r="A4016" s="82">
        <v>46291</v>
      </c>
      <c r="B4016" t="s">
        <v>421</v>
      </c>
      <c r="C4016" t="s">
        <v>427</v>
      </c>
      <c r="D4016" t="s">
        <v>455</v>
      </c>
      <c r="E4016" t="s">
        <v>428</v>
      </c>
      <c r="F4016" t="s">
        <v>424</v>
      </c>
      <c r="G4016" t="s">
        <v>429</v>
      </c>
      <c r="H4016" t="s">
        <v>425</v>
      </c>
      <c r="I4016" t="s">
        <v>430</v>
      </c>
      <c r="J4016" t="s">
        <v>426</v>
      </c>
      <c r="L4016" t="s">
        <v>421</v>
      </c>
      <c r="M4016" t="s">
        <v>424</v>
      </c>
      <c r="N4016" t="s">
        <v>423</v>
      </c>
    </row>
    <row r="4017" spans="1:14" ht="15" customHeight="1" x14ac:dyDescent="0.25">
      <c r="A4017" s="82">
        <v>46292</v>
      </c>
      <c r="B4017" t="s">
        <v>421</v>
      </c>
      <c r="C4017" t="s">
        <v>455</v>
      </c>
      <c r="D4017" t="s">
        <v>427</v>
      </c>
      <c r="E4017" t="s">
        <v>428</v>
      </c>
      <c r="F4017" t="s">
        <v>424</v>
      </c>
      <c r="G4017" t="s">
        <v>429</v>
      </c>
      <c r="H4017" t="s">
        <v>425</v>
      </c>
      <c r="I4017" t="s">
        <v>430</v>
      </c>
      <c r="J4017" t="s">
        <v>426</v>
      </c>
      <c r="L4017" t="s">
        <v>421</v>
      </c>
      <c r="M4017" t="s">
        <v>424</v>
      </c>
      <c r="N4017" t="s">
        <v>423</v>
      </c>
    </row>
    <row r="4018" spans="1:14" ht="15" customHeight="1" x14ac:dyDescent="0.25">
      <c r="A4018" s="82">
        <v>46293</v>
      </c>
      <c r="B4018" t="s">
        <v>427</v>
      </c>
      <c r="C4018" t="s">
        <v>421</v>
      </c>
      <c r="D4018" t="s">
        <v>455</v>
      </c>
      <c r="E4018" t="s">
        <v>428</v>
      </c>
      <c r="F4018" t="s">
        <v>424</v>
      </c>
      <c r="G4018" t="s">
        <v>429</v>
      </c>
      <c r="H4018" t="s">
        <v>425</v>
      </c>
      <c r="I4018" t="s">
        <v>430</v>
      </c>
      <c r="J4018" t="s">
        <v>426</v>
      </c>
      <c r="L4018" t="s">
        <v>421</v>
      </c>
      <c r="M4018" t="s">
        <v>424</v>
      </c>
      <c r="N4018" t="s">
        <v>423</v>
      </c>
    </row>
    <row r="4019" spans="1:14" ht="15" customHeight="1" x14ac:dyDescent="0.25">
      <c r="A4019" s="82">
        <v>46294</v>
      </c>
      <c r="B4019" t="s">
        <v>455</v>
      </c>
      <c r="C4019" t="s">
        <v>427</v>
      </c>
      <c r="D4019" t="s">
        <v>421</v>
      </c>
      <c r="E4019" t="s">
        <v>428</v>
      </c>
      <c r="F4019" t="s">
        <v>424</v>
      </c>
      <c r="G4019" t="s">
        <v>429</v>
      </c>
      <c r="H4019" t="s">
        <v>425</v>
      </c>
      <c r="I4019" t="s">
        <v>430</v>
      </c>
      <c r="J4019" t="s">
        <v>426</v>
      </c>
      <c r="L4019" t="s">
        <v>421</v>
      </c>
      <c r="M4019" t="s">
        <v>424</v>
      </c>
      <c r="N4019" t="s">
        <v>423</v>
      </c>
    </row>
    <row r="4020" spans="1:14" ht="15" customHeight="1" x14ac:dyDescent="0.25">
      <c r="A4020" s="82">
        <v>46295</v>
      </c>
      <c r="B4020" t="s">
        <v>427</v>
      </c>
      <c r="C4020" t="s">
        <v>455</v>
      </c>
      <c r="D4020" t="s">
        <v>421</v>
      </c>
      <c r="E4020" t="s">
        <v>428</v>
      </c>
      <c r="F4020" t="s">
        <v>424</v>
      </c>
      <c r="G4020" t="s">
        <v>429</v>
      </c>
      <c r="H4020" t="s">
        <v>425</v>
      </c>
      <c r="I4020" t="s">
        <v>430</v>
      </c>
      <c r="J4020" t="s">
        <v>426</v>
      </c>
      <c r="L4020" t="s">
        <v>421</v>
      </c>
      <c r="M4020" t="s">
        <v>424</v>
      </c>
      <c r="N4020" t="s">
        <v>423</v>
      </c>
    </row>
    <row r="4021" spans="1:14" ht="15" customHeight="1" x14ac:dyDescent="0.25">
      <c r="A4021" s="82">
        <v>46296</v>
      </c>
      <c r="B4021" t="s">
        <v>455</v>
      </c>
      <c r="C4021" t="s">
        <v>421</v>
      </c>
      <c r="D4021" t="s">
        <v>427</v>
      </c>
      <c r="E4021" t="s">
        <v>428</v>
      </c>
      <c r="F4021" t="s">
        <v>424</v>
      </c>
      <c r="G4021" t="s">
        <v>429</v>
      </c>
      <c r="H4021" t="s">
        <v>425</v>
      </c>
      <c r="I4021" t="s">
        <v>430</v>
      </c>
      <c r="J4021" t="s">
        <v>426</v>
      </c>
      <c r="L4021" t="s">
        <v>421</v>
      </c>
      <c r="M4021" t="s">
        <v>424</v>
      </c>
      <c r="N4021" t="s">
        <v>423</v>
      </c>
    </row>
    <row r="4022" spans="1:14" ht="15" customHeight="1" x14ac:dyDescent="0.25">
      <c r="A4022" s="82">
        <v>46297</v>
      </c>
      <c r="B4022" t="s">
        <v>424</v>
      </c>
      <c r="C4022" t="s">
        <v>429</v>
      </c>
      <c r="D4022" t="s">
        <v>455</v>
      </c>
      <c r="E4022" t="s">
        <v>425</v>
      </c>
      <c r="F4022" t="s">
        <v>430</v>
      </c>
      <c r="G4022" t="s">
        <v>426</v>
      </c>
      <c r="H4022" t="s">
        <v>425</v>
      </c>
      <c r="I4022" t="s">
        <v>421</v>
      </c>
      <c r="J4022" t="s">
        <v>427</v>
      </c>
      <c r="L4022" t="s">
        <v>423</v>
      </c>
      <c r="M4022" t="s">
        <v>421</v>
      </c>
      <c r="N4022" t="s">
        <v>424</v>
      </c>
    </row>
    <row r="4023" spans="1:14" ht="15" customHeight="1" x14ac:dyDescent="0.25">
      <c r="A4023" s="82">
        <v>46298</v>
      </c>
      <c r="B4023" t="s">
        <v>424</v>
      </c>
      <c r="C4023" t="s">
        <v>429</v>
      </c>
      <c r="D4023" t="s">
        <v>428</v>
      </c>
      <c r="E4023" t="s">
        <v>425</v>
      </c>
      <c r="F4023" t="s">
        <v>430</v>
      </c>
      <c r="G4023" t="s">
        <v>426</v>
      </c>
      <c r="H4023" t="s">
        <v>421</v>
      </c>
      <c r="I4023" t="s">
        <v>427</v>
      </c>
      <c r="J4023" t="s">
        <v>455</v>
      </c>
      <c r="L4023" t="s">
        <v>423</v>
      </c>
      <c r="M4023" t="s">
        <v>421</v>
      </c>
      <c r="N4023" t="s">
        <v>424</v>
      </c>
    </row>
    <row r="4024" spans="1:14" ht="15" customHeight="1" x14ac:dyDescent="0.25">
      <c r="A4024" s="82">
        <v>46299</v>
      </c>
      <c r="B4024" t="s">
        <v>424</v>
      </c>
      <c r="C4024" t="s">
        <v>429</v>
      </c>
      <c r="D4024" t="s">
        <v>428</v>
      </c>
      <c r="E4024" t="s">
        <v>425</v>
      </c>
      <c r="F4024" t="s">
        <v>430</v>
      </c>
      <c r="G4024" t="s">
        <v>426</v>
      </c>
      <c r="H4024" t="s">
        <v>421</v>
      </c>
      <c r="I4024" t="s">
        <v>455</v>
      </c>
      <c r="J4024" t="s">
        <v>427</v>
      </c>
      <c r="L4024" t="s">
        <v>423</v>
      </c>
      <c r="M4024" t="s">
        <v>421</v>
      </c>
      <c r="N4024" t="s">
        <v>424</v>
      </c>
    </row>
    <row r="4025" spans="1:14" ht="15" customHeight="1" x14ac:dyDescent="0.25">
      <c r="A4025" s="82">
        <v>46300</v>
      </c>
      <c r="B4025" t="s">
        <v>424</v>
      </c>
      <c r="C4025" t="s">
        <v>429</v>
      </c>
      <c r="D4025" t="s">
        <v>428</v>
      </c>
      <c r="E4025" t="s">
        <v>425</v>
      </c>
      <c r="F4025" t="s">
        <v>430</v>
      </c>
      <c r="G4025" t="s">
        <v>426</v>
      </c>
      <c r="H4025" t="s">
        <v>427</v>
      </c>
      <c r="I4025" t="s">
        <v>421</v>
      </c>
      <c r="J4025" t="s">
        <v>455</v>
      </c>
      <c r="L4025" t="s">
        <v>423</v>
      </c>
      <c r="M4025" t="s">
        <v>421</v>
      </c>
      <c r="N4025" t="s">
        <v>424</v>
      </c>
    </row>
    <row r="4026" spans="1:14" ht="15" customHeight="1" x14ac:dyDescent="0.25">
      <c r="A4026" s="82">
        <v>46301</v>
      </c>
      <c r="B4026" t="s">
        <v>424</v>
      </c>
      <c r="C4026" t="s">
        <v>429</v>
      </c>
      <c r="D4026" t="s">
        <v>428</v>
      </c>
      <c r="E4026" t="s">
        <v>425</v>
      </c>
      <c r="F4026" t="s">
        <v>430</v>
      </c>
      <c r="G4026" t="s">
        <v>426</v>
      </c>
      <c r="H4026" t="s">
        <v>455</v>
      </c>
      <c r="I4026" t="s">
        <v>427</v>
      </c>
      <c r="J4026" t="s">
        <v>421</v>
      </c>
      <c r="L4026" t="s">
        <v>423</v>
      </c>
      <c r="M4026" t="s">
        <v>421</v>
      </c>
      <c r="N4026" t="s">
        <v>424</v>
      </c>
    </row>
    <row r="4027" spans="1:14" ht="15" customHeight="1" x14ac:dyDescent="0.25">
      <c r="A4027" s="82">
        <v>46302</v>
      </c>
      <c r="B4027" t="s">
        <v>424</v>
      </c>
      <c r="C4027" t="s">
        <v>429</v>
      </c>
      <c r="D4027" t="s">
        <v>428</v>
      </c>
      <c r="E4027" t="s">
        <v>425</v>
      </c>
      <c r="F4027" t="s">
        <v>430</v>
      </c>
      <c r="G4027" t="s">
        <v>426</v>
      </c>
      <c r="H4027" t="s">
        <v>427</v>
      </c>
      <c r="I4027" t="s">
        <v>455</v>
      </c>
      <c r="J4027" t="s">
        <v>421</v>
      </c>
      <c r="L4027" t="s">
        <v>423</v>
      </c>
      <c r="M4027" t="s">
        <v>421</v>
      </c>
      <c r="N4027" t="s">
        <v>424</v>
      </c>
    </row>
    <row r="4028" spans="1:14" ht="15" customHeight="1" x14ac:dyDescent="0.25">
      <c r="A4028" s="82">
        <v>46303</v>
      </c>
      <c r="B4028" t="s">
        <v>424</v>
      </c>
      <c r="C4028" t="s">
        <v>429</v>
      </c>
      <c r="D4028" t="s">
        <v>428</v>
      </c>
      <c r="E4028" t="s">
        <v>425</v>
      </c>
      <c r="F4028" t="s">
        <v>430</v>
      </c>
      <c r="G4028" t="s">
        <v>426</v>
      </c>
      <c r="H4028" t="s">
        <v>455</v>
      </c>
      <c r="I4028" t="s">
        <v>421</v>
      </c>
      <c r="J4028" t="s">
        <v>427</v>
      </c>
      <c r="L4028" t="s">
        <v>423</v>
      </c>
      <c r="M4028" t="s">
        <v>421</v>
      </c>
      <c r="N4028" t="s">
        <v>424</v>
      </c>
    </row>
    <row r="4029" spans="1:14" ht="15" customHeight="1" x14ac:dyDescent="0.25">
      <c r="A4029" s="82">
        <v>46304</v>
      </c>
      <c r="B4029" t="s">
        <v>430</v>
      </c>
      <c r="C4029" t="s">
        <v>426</v>
      </c>
      <c r="D4029" t="s">
        <v>425</v>
      </c>
      <c r="E4029" t="s">
        <v>425</v>
      </c>
      <c r="F4029" t="s">
        <v>421</v>
      </c>
      <c r="G4029" t="s">
        <v>427</v>
      </c>
      <c r="H4029" t="s">
        <v>424</v>
      </c>
      <c r="I4029" t="s">
        <v>429</v>
      </c>
      <c r="J4029" t="s">
        <v>455</v>
      </c>
      <c r="L4029" t="s">
        <v>428</v>
      </c>
      <c r="M4029" t="s">
        <v>423</v>
      </c>
      <c r="N4029" t="s">
        <v>421</v>
      </c>
    </row>
    <row r="4030" spans="1:14" ht="15" customHeight="1" x14ac:dyDescent="0.25">
      <c r="A4030" s="82">
        <v>46305</v>
      </c>
      <c r="B4030" t="s">
        <v>430</v>
      </c>
      <c r="C4030" t="s">
        <v>426</v>
      </c>
      <c r="D4030" t="s">
        <v>425</v>
      </c>
      <c r="E4030" t="s">
        <v>421</v>
      </c>
      <c r="F4030" t="s">
        <v>427</v>
      </c>
      <c r="G4030" t="s">
        <v>455</v>
      </c>
      <c r="H4030" t="s">
        <v>424</v>
      </c>
      <c r="I4030" t="s">
        <v>429</v>
      </c>
      <c r="J4030" t="s">
        <v>428</v>
      </c>
      <c r="L4030" t="s">
        <v>428</v>
      </c>
      <c r="M4030" t="s">
        <v>423</v>
      </c>
      <c r="N4030" t="s">
        <v>421</v>
      </c>
    </row>
    <row r="4031" spans="1:14" ht="15" customHeight="1" x14ac:dyDescent="0.25">
      <c r="A4031" s="82">
        <v>46306</v>
      </c>
      <c r="B4031" t="s">
        <v>430</v>
      </c>
      <c r="C4031" t="s">
        <v>426</v>
      </c>
      <c r="D4031" t="s">
        <v>425</v>
      </c>
      <c r="E4031" t="s">
        <v>421</v>
      </c>
      <c r="F4031" t="s">
        <v>455</v>
      </c>
      <c r="G4031" t="s">
        <v>427</v>
      </c>
      <c r="H4031" t="s">
        <v>424</v>
      </c>
      <c r="I4031" t="s">
        <v>429</v>
      </c>
      <c r="J4031" t="s">
        <v>428</v>
      </c>
      <c r="L4031" t="s">
        <v>428</v>
      </c>
      <c r="M4031" t="s">
        <v>423</v>
      </c>
      <c r="N4031" t="s">
        <v>421</v>
      </c>
    </row>
    <row r="4032" spans="1:14" ht="15" customHeight="1" x14ac:dyDescent="0.25">
      <c r="A4032" s="82">
        <v>46307</v>
      </c>
      <c r="B4032" t="s">
        <v>430</v>
      </c>
      <c r="C4032" t="s">
        <v>426</v>
      </c>
      <c r="D4032" t="s">
        <v>425</v>
      </c>
      <c r="E4032" t="s">
        <v>427</v>
      </c>
      <c r="F4032" t="s">
        <v>421</v>
      </c>
      <c r="G4032" t="s">
        <v>455</v>
      </c>
      <c r="H4032" t="s">
        <v>424</v>
      </c>
      <c r="I4032" t="s">
        <v>429</v>
      </c>
      <c r="J4032" t="s">
        <v>428</v>
      </c>
      <c r="L4032" t="s">
        <v>428</v>
      </c>
      <c r="M4032" t="s">
        <v>423</v>
      </c>
      <c r="N4032" t="s">
        <v>421</v>
      </c>
    </row>
    <row r="4033" spans="1:14" ht="15" customHeight="1" x14ac:dyDescent="0.25">
      <c r="A4033" s="82">
        <v>46308</v>
      </c>
      <c r="B4033" t="s">
        <v>430</v>
      </c>
      <c r="C4033" t="s">
        <v>426</v>
      </c>
      <c r="D4033" t="s">
        <v>425</v>
      </c>
      <c r="E4033" t="s">
        <v>455</v>
      </c>
      <c r="F4033" t="s">
        <v>427</v>
      </c>
      <c r="G4033" t="s">
        <v>421</v>
      </c>
      <c r="H4033" t="s">
        <v>424</v>
      </c>
      <c r="I4033" t="s">
        <v>429</v>
      </c>
      <c r="J4033" t="s">
        <v>428</v>
      </c>
      <c r="L4033" t="s">
        <v>428</v>
      </c>
      <c r="M4033" t="s">
        <v>423</v>
      </c>
      <c r="N4033" t="s">
        <v>421</v>
      </c>
    </row>
    <row r="4034" spans="1:14" ht="15" customHeight="1" x14ac:dyDescent="0.25">
      <c r="A4034" s="82">
        <v>46309</v>
      </c>
      <c r="B4034" t="s">
        <v>430</v>
      </c>
      <c r="C4034" t="s">
        <v>426</v>
      </c>
      <c r="D4034" t="s">
        <v>425</v>
      </c>
      <c r="E4034" t="s">
        <v>427</v>
      </c>
      <c r="F4034" t="s">
        <v>455</v>
      </c>
      <c r="G4034" t="s">
        <v>421</v>
      </c>
      <c r="H4034" t="s">
        <v>424</v>
      </c>
      <c r="I4034" t="s">
        <v>429</v>
      </c>
      <c r="J4034" t="s">
        <v>428</v>
      </c>
      <c r="L4034" t="s">
        <v>424</v>
      </c>
      <c r="M4034" t="s">
        <v>423</v>
      </c>
      <c r="N4034" t="s">
        <v>421</v>
      </c>
    </row>
    <row r="4035" spans="1:14" ht="15" customHeight="1" x14ac:dyDescent="0.25">
      <c r="A4035" s="82">
        <v>46310</v>
      </c>
      <c r="B4035" t="s">
        <v>430</v>
      </c>
      <c r="C4035" t="s">
        <v>426</v>
      </c>
      <c r="D4035" t="s">
        <v>425</v>
      </c>
      <c r="E4035" t="s">
        <v>455</v>
      </c>
      <c r="F4035" t="s">
        <v>421</v>
      </c>
      <c r="G4035" t="s">
        <v>427</v>
      </c>
      <c r="H4035" t="s">
        <v>424</v>
      </c>
      <c r="I4035" t="s">
        <v>429</v>
      </c>
      <c r="J4035" t="s">
        <v>428</v>
      </c>
      <c r="L4035" t="s">
        <v>424</v>
      </c>
      <c r="M4035" t="s">
        <v>423</v>
      </c>
      <c r="N4035" t="s">
        <v>421</v>
      </c>
    </row>
    <row r="4036" spans="1:14" ht="15" customHeight="1" x14ac:dyDescent="0.25">
      <c r="A4036" s="82">
        <v>46311</v>
      </c>
      <c r="B4036" t="s">
        <v>421</v>
      </c>
      <c r="C4036" t="s">
        <v>427</v>
      </c>
      <c r="D4036" t="s">
        <v>425</v>
      </c>
      <c r="E4036" t="s">
        <v>424</v>
      </c>
      <c r="F4036" t="s">
        <v>429</v>
      </c>
      <c r="G4036" t="s">
        <v>455</v>
      </c>
      <c r="H4036" t="s">
        <v>430</v>
      </c>
      <c r="I4036" t="s">
        <v>426</v>
      </c>
      <c r="J4036" t="s">
        <v>425</v>
      </c>
      <c r="L4036" t="s">
        <v>421</v>
      </c>
      <c r="M4036" t="s">
        <v>424</v>
      </c>
      <c r="N4036" t="s">
        <v>423</v>
      </c>
    </row>
    <row r="4037" spans="1:14" ht="15" customHeight="1" x14ac:dyDescent="0.25">
      <c r="A4037" s="82">
        <v>46312</v>
      </c>
      <c r="B4037" t="s">
        <v>427</v>
      </c>
      <c r="C4037" t="s">
        <v>455</v>
      </c>
      <c r="D4037" t="s">
        <v>421</v>
      </c>
      <c r="E4037" t="s">
        <v>424</v>
      </c>
      <c r="F4037" t="s">
        <v>429</v>
      </c>
      <c r="G4037" t="s">
        <v>428</v>
      </c>
      <c r="H4037" t="s">
        <v>430</v>
      </c>
      <c r="I4037" t="s">
        <v>426</v>
      </c>
      <c r="J4037" t="s">
        <v>425</v>
      </c>
      <c r="L4037" t="s">
        <v>421</v>
      </c>
      <c r="M4037" t="s">
        <v>424</v>
      </c>
      <c r="N4037" t="s">
        <v>423</v>
      </c>
    </row>
    <row r="4038" spans="1:14" ht="15" customHeight="1" x14ac:dyDescent="0.25">
      <c r="A4038" s="82">
        <v>46313</v>
      </c>
      <c r="B4038" t="s">
        <v>455</v>
      </c>
      <c r="C4038" t="s">
        <v>427</v>
      </c>
      <c r="D4038" t="s">
        <v>421</v>
      </c>
      <c r="E4038" t="s">
        <v>424</v>
      </c>
      <c r="F4038" t="s">
        <v>429</v>
      </c>
      <c r="G4038" t="s">
        <v>428</v>
      </c>
      <c r="H4038" t="s">
        <v>430</v>
      </c>
      <c r="I4038" t="s">
        <v>426</v>
      </c>
      <c r="J4038" t="s">
        <v>425</v>
      </c>
      <c r="L4038" t="s">
        <v>421</v>
      </c>
      <c r="M4038" t="s">
        <v>424</v>
      </c>
      <c r="N4038" t="s">
        <v>423</v>
      </c>
    </row>
    <row r="4039" spans="1:14" ht="15" customHeight="1" x14ac:dyDescent="0.25">
      <c r="A4039" s="82">
        <v>46314</v>
      </c>
      <c r="B4039" t="s">
        <v>421</v>
      </c>
      <c r="C4039" t="s">
        <v>455</v>
      </c>
      <c r="D4039" t="s">
        <v>427</v>
      </c>
      <c r="E4039" t="s">
        <v>424</v>
      </c>
      <c r="F4039" t="s">
        <v>429</v>
      </c>
      <c r="G4039" t="s">
        <v>428</v>
      </c>
      <c r="H4039" t="s">
        <v>430</v>
      </c>
      <c r="I4039" t="s">
        <v>426</v>
      </c>
      <c r="J4039" t="s">
        <v>425</v>
      </c>
      <c r="L4039" t="s">
        <v>421</v>
      </c>
      <c r="M4039" t="s">
        <v>424</v>
      </c>
      <c r="N4039" t="s">
        <v>423</v>
      </c>
    </row>
    <row r="4040" spans="1:14" ht="15" customHeight="1" x14ac:dyDescent="0.25">
      <c r="A4040" s="82">
        <v>46315</v>
      </c>
      <c r="B4040" t="s">
        <v>427</v>
      </c>
      <c r="C4040" t="s">
        <v>421</v>
      </c>
      <c r="D4040" t="s">
        <v>455</v>
      </c>
      <c r="E4040" t="s">
        <v>424</v>
      </c>
      <c r="F4040" t="s">
        <v>429</v>
      </c>
      <c r="G4040" t="s">
        <v>428</v>
      </c>
      <c r="H4040" t="s">
        <v>430</v>
      </c>
      <c r="I4040" t="s">
        <v>426</v>
      </c>
      <c r="J4040" t="s">
        <v>425</v>
      </c>
      <c r="L4040" t="s">
        <v>421</v>
      </c>
      <c r="M4040" t="s">
        <v>424</v>
      </c>
      <c r="N4040" t="s">
        <v>423</v>
      </c>
    </row>
    <row r="4041" spans="1:14" ht="15" customHeight="1" x14ac:dyDescent="0.25">
      <c r="A4041" s="82">
        <v>46316</v>
      </c>
      <c r="B4041" t="s">
        <v>455</v>
      </c>
      <c r="C4041" t="s">
        <v>421</v>
      </c>
      <c r="D4041" t="s">
        <v>427</v>
      </c>
      <c r="E4041" t="s">
        <v>424</v>
      </c>
      <c r="F4041" t="s">
        <v>429</v>
      </c>
      <c r="G4041" t="s">
        <v>428</v>
      </c>
      <c r="H4041" t="s">
        <v>430</v>
      </c>
      <c r="I4041" t="s">
        <v>426</v>
      </c>
      <c r="J4041" t="s">
        <v>425</v>
      </c>
      <c r="L4041" t="s">
        <v>421</v>
      </c>
      <c r="M4041" t="s">
        <v>424</v>
      </c>
      <c r="N4041" t="s">
        <v>423</v>
      </c>
    </row>
    <row r="4042" spans="1:14" ht="15" customHeight="1" x14ac:dyDescent="0.25">
      <c r="A4042" s="82">
        <v>46317</v>
      </c>
      <c r="B4042" t="s">
        <v>421</v>
      </c>
      <c r="C4042" t="s">
        <v>427</v>
      </c>
      <c r="D4042" t="s">
        <v>455</v>
      </c>
      <c r="E4042" t="s">
        <v>424</v>
      </c>
      <c r="F4042" t="s">
        <v>429</v>
      </c>
      <c r="G4042" t="s">
        <v>428</v>
      </c>
      <c r="H4042" t="s">
        <v>430</v>
      </c>
      <c r="I4042" t="s">
        <v>426</v>
      </c>
      <c r="J4042" t="s">
        <v>425</v>
      </c>
      <c r="L4042" t="s">
        <v>421</v>
      </c>
      <c r="M4042" t="s">
        <v>424</v>
      </c>
      <c r="N4042" t="s">
        <v>423</v>
      </c>
    </row>
    <row r="4043" spans="1:14" ht="15" customHeight="1" x14ac:dyDescent="0.25">
      <c r="A4043" s="82">
        <v>46318</v>
      </c>
      <c r="B4043" t="s">
        <v>429</v>
      </c>
      <c r="C4043" t="s">
        <v>455</v>
      </c>
      <c r="D4043" t="s">
        <v>424</v>
      </c>
      <c r="E4043" t="s">
        <v>430</v>
      </c>
      <c r="F4043" t="s">
        <v>426</v>
      </c>
      <c r="G4043" t="s">
        <v>425</v>
      </c>
      <c r="H4043" t="s">
        <v>421</v>
      </c>
      <c r="I4043" t="s">
        <v>427</v>
      </c>
      <c r="J4043" t="s">
        <v>425</v>
      </c>
      <c r="L4043" t="s">
        <v>423</v>
      </c>
      <c r="M4043" t="s">
        <v>421</v>
      </c>
      <c r="N4043" t="s">
        <v>424</v>
      </c>
    </row>
    <row r="4044" spans="1:14" ht="15" customHeight="1" x14ac:dyDescent="0.25">
      <c r="A4044" s="82">
        <v>46319</v>
      </c>
      <c r="B4044" t="s">
        <v>429</v>
      </c>
      <c r="C4044" t="s">
        <v>428</v>
      </c>
      <c r="D4044" t="s">
        <v>424</v>
      </c>
      <c r="E4044" t="s">
        <v>430</v>
      </c>
      <c r="F4044" t="s">
        <v>426</v>
      </c>
      <c r="G4044" t="s">
        <v>425</v>
      </c>
      <c r="H4044" t="s">
        <v>427</v>
      </c>
      <c r="I4044" t="s">
        <v>455</v>
      </c>
      <c r="J4044" t="s">
        <v>421</v>
      </c>
      <c r="L4044" t="s">
        <v>423</v>
      </c>
      <c r="M4044" t="s">
        <v>421</v>
      </c>
      <c r="N4044" t="s">
        <v>424</v>
      </c>
    </row>
    <row r="4045" spans="1:14" ht="15" customHeight="1" x14ac:dyDescent="0.25">
      <c r="A4045" s="82">
        <v>46320</v>
      </c>
      <c r="B4045" t="s">
        <v>429</v>
      </c>
      <c r="C4045" t="s">
        <v>428</v>
      </c>
      <c r="D4045" t="s">
        <v>424</v>
      </c>
      <c r="E4045" t="s">
        <v>430</v>
      </c>
      <c r="F4045" t="s">
        <v>426</v>
      </c>
      <c r="G4045" t="s">
        <v>425</v>
      </c>
      <c r="H4045" t="s">
        <v>455</v>
      </c>
      <c r="I4045" t="s">
        <v>427</v>
      </c>
      <c r="J4045" t="s">
        <v>421</v>
      </c>
      <c r="L4045" t="s">
        <v>423</v>
      </c>
      <c r="M4045" t="s">
        <v>421</v>
      </c>
      <c r="N4045" t="s">
        <v>424</v>
      </c>
    </row>
    <row r="4046" spans="1:14" ht="15" customHeight="1" x14ac:dyDescent="0.25">
      <c r="A4046" s="82">
        <v>46321</v>
      </c>
      <c r="B4046" t="s">
        <v>429</v>
      </c>
      <c r="C4046" t="s">
        <v>428</v>
      </c>
      <c r="D4046" t="s">
        <v>424</v>
      </c>
      <c r="E4046" t="s">
        <v>430</v>
      </c>
      <c r="F4046" t="s">
        <v>426</v>
      </c>
      <c r="G4046" t="s">
        <v>425</v>
      </c>
      <c r="H4046" t="s">
        <v>421</v>
      </c>
      <c r="I4046" t="s">
        <v>455</v>
      </c>
      <c r="J4046" t="s">
        <v>427</v>
      </c>
      <c r="L4046" t="s">
        <v>423</v>
      </c>
      <c r="M4046" t="s">
        <v>421</v>
      </c>
      <c r="N4046" t="s">
        <v>424</v>
      </c>
    </row>
    <row r="4047" spans="1:14" ht="15" customHeight="1" x14ac:dyDescent="0.25">
      <c r="A4047" s="82">
        <v>46322</v>
      </c>
      <c r="B4047" t="s">
        <v>429</v>
      </c>
      <c r="C4047" t="s">
        <v>428</v>
      </c>
      <c r="D4047" t="s">
        <v>424</v>
      </c>
      <c r="E4047" t="s">
        <v>430</v>
      </c>
      <c r="F4047" t="s">
        <v>426</v>
      </c>
      <c r="G4047" t="s">
        <v>425</v>
      </c>
      <c r="H4047" t="s">
        <v>427</v>
      </c>
      <c r="I4047" t="s">
        <v>421</v>
      </c>
      <c r="J4047" t="s">
        <v>455</v>
      </c>
      <c r="L4047" t="s">
        <v>423</v>
      </c>
      <c r="M4047" t="s">
        <v>421</v>
      </c>
      <c r="N4047" t="s">
        <v>424</v>
      </c>
    </row>
    <row r="4048" spans="1:14" ht="15" customHeight="1" x14ac:dyDescent="0.25">
      <c r="A4048" s="82">
        <v>46323</v>
      </c>
      <c r="B4048" t="s">
        <v>429</v>
      </c>
      <c r="C4048" t="s">
        <v>428</v>
      </c>
      <c r="D4048" t="s">
        <v>424</v>
      </c>
      <c r="E4048" t="s">
        <v>430</v>
      </c>
      <c r="F4048" t="s">
        <v>426</v>
      </c>
      <c r="G4048" t="s">
        <v>425</v>
      </c>
      <c r="H4048" t="s">
        <v>455</v>
      </c>
      <c r="I4048" t="s">
        <v>421</v>
      </c>
      <c r="J4048" t="s">
        <v>427</v>
      </c>
      <c r="L4048" t="s">
        <v>423</v>
      </c>
      <c r="M4048" t="s">
        <v>421</v>
      </c>
      <c r="N4048" t="s">
        <v>424</v>
      </c>
    </row>
    <row r="4049" spans="1:14" ht="15" customHeight="1" x14ac:dyDescent="0.25">
      <c r="A4049" s="82">
        <v>46324</v>
      </c>
      <c r="B4049" t="s">
        <v>429</v>
      </c>
      <c r="C4049" t="s">
        <v>428</v>
      </c>
      <c r="D4049" t="s">
        <v>424</v>
      </c>
      <c r="E4049" t="s">
        <v>430</v>
      </c>
      <c r="F4049" t="s">
        <v>426</v>
      </c>
      <c r="G4049" t="s">
        <v>425</v>
      </c>
      <c r="H4049" t="s">
        <v>421</v>
      </c>
      <c r="I4049" t="s">
        <v>427</v>
      </c>
      <c r="J4049" t="s">
        <v>455</v>
      </c>
      <c r="L4049" t="s">
        <v>423</v>
      </c>
      <c r="M4049" t="s">
        <v>421</v>
      </c>
      <c r="N4049" t="s">
        <v>424</v>
      </c>
    </row>
    <row r="4050" spans="1:14" ht="15" customHeight="1" x14ac:dyDescent="0.25">
      <c r="A4050" s="82">
        <v>46325</v>
      </c>
      <c r="B4050" t="s">
        <v>426</v>
      </c>
      <c r="C4050" t="s">
        <v>425</v>
      </c>
      <c r="D4050" t="s">
        <v>430</v>
      </c>
      <c r="E4050" t="s">
        <v>421</v>
      </c>
      <c r="F4050" t="s">
        <v>427</v>
      </c>
      <c r="G4050" t="s">
        <v>425</v>
      </c>
      <c r="H4050" t="s">
        <v>429</v>
      </c>
      <c r="I4050" t="s">
        <v>455</v>
      </c>
      <c r="J4050" t="s">
        <v>424</v>
      </c>
      <c r="L4050" t="s">
        <v>424</v>
      </c>
      <c r="M4050" t="s">
        <v>423</v>
      </c>
      <c r="N4050" t="s">
        <v>421</v>
      </c>
    </row>
    <row r="4051" spans="1:14" ht="15" customHeight="1" x14ac:dyDescent="0.25">
      <c r="A4051" s="82">
        <v>46326</v>
      </c>
      <c r="B4051" t="s">
        <v>426</v>
      </c>
      <c r="C4051" t="s">
        <v>425</v>
      </c>
      <c r="D4051" t="s">
        <v>430</v>
      </c>
      <c r="E4051" t="s">
        <v>427</v>
      </c>
      <c r="F4051" t="s">
        <v>455</v>
      </c>
      <c r="G4051" t="s">
        <v>421</v>
      </c>
      <c r="H4051" t="s">
        <v>429</v>
      </c>
      <c r="I4051" t="s">
        <v>428</v>
      </c>
      <c r="J4051" t="s">
        <v>424</v>
      </c>
      <c r="L4051" t="s">
        <v>424</v>
      </c>
      <c r="M4051" t="s">
        <v>423</v>
      </c>
      <c r="N4051" t="s">
        <v>421</v>
      </c>
    </row>
    <row r="4052" spans="1:14" ht="15" customHeight="1" x14ac:dyDescent="0.25">
      <c r="A4052" s="82">
        <v>46327</v>
      </c>
      <c r="B4052" t="s">
        <v>426</v>
      </c>
      <c r="C4052" t="s">
        <v>425</v>
      </c>
      <c r="D4052" t="s">
        <v>430</v>
      </c>
      <c r="E4052" t="s">
        <v>455</v>
      </c>
      <c r="F4052" t="s">
        <v>427</v>
      </c>
      <c r="G4052" t="s">
        <v>421</v>
      </c>
      <c r="H4052" t="s">
        <v>429</v>
      </c>
      <c r="I4052" t="s">
        <v>428</v>
      </c>
      <c r="J4052" t="s">
        <v>424</v>
      </c>
      <c r="L4052" t="s">
        <v>424</v>
      </c>
      <c r="M4052" t="s">
        <v>423</v>
      </c>
      <c r="N4052" t="s">
        <v>421</v>
      </c>
    </row>
    <row r="4053" spans="1:14" ht="15" customHeight="1" x14ac:dyDescent="0.25">
      <c r="A4053" s="82">
        <v>46328</v>
      </c>
      <c r="B4053" t="s">
        <v>426</v>
      </c>
      <c r="C4053" t="s">
        <v>425</v>
      </c>
      <c r="D4053" t="s">
        <v>430</v>
      </c>
      <c r="E4053" t="s">
        <v>421</v>
      </c>
      <c r="F4053" t="s">
        <v>455</v>
      </c>
      <c r="G4053" t="s">
        <v>427</v>
      </c>
      <c r="H4053" t="s">
        <v>429</v>
      </c>
      <c r="I4053" t="s">
        <v>428</v>
      </c>
      <c r="J4053" t="s">
        <v>424</v>
      </c>
      <c r="L4053" t="s">
        <v>424</v>
      </c>
      <c r="M4053" t="s">
        <v>423</v>
      </c>
      <c r="N4053" t="s">
        <v>421</v>
      </c>
    </row>
    <row r="4054" spans="1:14" ht="15" customHeight="1" x14ac:dyDescent="0.25">
      <c r="A4054" s="82">
        <v>46329</v>
      </c>
      <c r="B4054" t="s">
        <v>426</v>
      </c>
      <c r="C4054" t="s">
        <v>425</v>
      </c>
      <c r="D4054" t="s">
        <v>430</v>
      </c>
      <c r="E4054" t="s">
        <v>427</v>
      </c>
      <c r="F4054" t="s">
        <v>421</v>
      </c>
      <c r="G4054" t="s">
        <v>455</v>
      </c>
      <c r="H4054" t="s">
        <v>429</v>
      </c>
      <c r="I4054" t="s">
        <v>428</v>
      </c>
      <c r="J4054" t="s">
        <v>424</v>
      </c>
      <c r="L4054" t="s">
        <v>424</v>
      </c>
      <c r="M4054" t="s">
        <v>423</v>
      </c>
      <c r="N4054" t="s">
        <v>421</v>
      </c>
    </row>
    <row r="4055" spans="1:14" ht="15" customHeight="1" x14ac:dyDescent="0.25">
      <c r="A4055" s="82">
        <v>46330</v>
      </c>
      <c r="B4055" t="s">
        <v>426</v>
      </c>
      <c r="C4055" t="s">
        <v>425</v>
      </c>
      <c r="D4055" t="s">
        <v>430</v>
      </c>
      <c r="E4055" t="s">
        <v>455</v>
      </c>
      <c r="F4055" t="s">
        <v>421</v>
      </c>
      <c r="G4055" t="s">
        <v>427</v>
      </c>
      <c r="H4055" t="s">
        <v>429</v>
      </c>
      <c r="I4055" t="s">
        <v>428</v>
      </c>
      <c r="J4055" t="s">
        <v>424</v>
      </c>
      <c r="L4055" t="s">
        <v>424</v>
      </c>
      <c r="M4055" t="s">
        <v>423</v>
      </c>
      <c r="N4055" t="s">
        <v>421</v>
      </c>
    </row>
    <row r="4056" spans="1:14" ht="15" customHeight="1" x14ac:dyDescent="0.25">
      <c r="A4056" s="82">
        <v>46331</v>
      </c>
      <c r="B4056" t="s">
        <v>426</v>
      </c>
      <c r="C4056" t="s">
        <v>425</v>
      </c>
      <c r="D4056" t="s">
        <v>430</v>
      </c>
      <c r="E4056" t="s">
        <v>421</v>
      </c>
      <c r="F4056" t="s">
        <v>427</v>
      </c>
      <c r="G4056" t="s">
        <v>455</v>
      </c>
      <c r="H4056" t="s">
        <v>429</v>
      </c>
      <c r="I4056" t="s">
        <v>428</v>
      </c>
      <c r="J4056" t="s">
        <v>424</v>
      </c>
      <c r="L4056" t="s">
        <v>424</v>
      </c>
      <c r="M4056" t="s">
        <v>423</v>
      </c>
      <c r="N4056" t="s">
        <v>421</v>
      </c>
    </row>
    <row r="4057" spans="1:14" ht="15" customHeight="1" x14ac:dyDescent="0.25">
      <c r="A4057" s="82">
        <v>46332</v>
      </c>
      <c r="B4057" t="s">
        <v>427</v>
      </c>
      <c r="C4057" t="s">
        <v>425</v>
      </c>
      <c r="D4057" t="s">
        <v>421</v>
      </c>
      <c r="E4057" t="s">
        <v>429</v>
      </c>
      <c r="F4057" t="s">
        <v>455</v>
      </c>
      <c r="G4057" t="s">
        <v>424</v>
      </c>
      <c r="H4057" t="s">
        <v>426</v>
      </c>
      <c r="I4057" t="s">
        <v>425</v>
      </c>
      <c r="J4057" t="s">
        <v>430</v>
      </c>
      <c r="L4057" t="s">
        <v>421</v>
      </c>
      <c r="M4057" t="s">
        <v>428</v>
      </c>
      <c r="N4057" t="s">
        <v>423</v>
      </c>
    </row>
    <row r="4058" spans="1:14" ht="15" customHeight="1" x14ac:dyDescent="0.25">
      <c r="A4058" s="82">
        <v>46333</v>
      </c>
      <c r="B4058" t="s">
        <v>455</v>
      </c>
      <c r="C4058" t="s">
        <v>421</v>
      </c>
      <c r="D4058" t="s">
        <v>427</v>
      </c>
      <c r="E4058" t="s">
        <v>429</v>
      </c>
      <c r="F4058" t="s">
        <v>428</v>
      </c>
      <c r="G4058" t="s">
        <v>424</v>
      </c>
      <c r="H4058" t="s">
        <v>426</v>
      </c>
      <c r="I4058" t="s">
        <v>425</v>
      </c>
      <c r="J4058" t="s">
        <v>430</v>
      </c>
      <c r="L4058" t="s">
        <v>421</v>
      </c>
      <c r="M4058" t="s">
        <v>428</v>
      </c>
      <c r="N4058" t="s">
        <v>423</v>
      </c>
    </row>
    <row r="4059" spans="1:14" ht="15" customHeight="1" x14ac:dyDescent="0.25">
      <c r="A4059" s="82">
        <v>46334</v>
      </c>
      <c r="B4059" t="s">
        <v>427</v>
      </c>
      <c r="C4059" t="s">
        <v>421</v>
      </c>
      <c r="D4059" t="s">
        <v>455</v>
      </c>
      <c r="E4059" t="s">
        <v>429</v>
      </c>
      <c r="F4059" t="s">
        <v>428</v>
      </c>
      <c r="G4059" t="s">
        <v>424</v>
      </c>
      <c r="H4059" t="s">
        <v>426</v>
      </c>
      <c r="I4059" t="s">
        <v>425</v>
      </c>
      <c r="J4059" t="s">
        <v>430</v>
      </c>
      <c r="L4059" t="s">
        <v>421</v>
      </c>
      <c r="M4059" t="s">
        <v>428</v>
      </c>
      <c r="N4059" t="s">
        <v>423</v>
      </c>
    </row>
    <row r="4060" spans="1:14" ht="15" customHeight="1" x14ac:dyDescent="0.25">
      <c r="A4060" s="82">
        <v>46335</v>
      </c>
      <c r="B4060" t="s">
        <v>455</v>
      </c>
      <c r="C4060" t="s">
        <v>427</v>
      </c>
      <c r="D4060" t="s">
        <v>421</v>
      </c>
      <c r="E4060" t="s">
        <v>429</v>
      </c>
      <c r="F4060" t="s">
        <v>428</v>
      </c>
      <c r="G4060" t="s">
        <v>424</v>
      </c>
      <c r="H4060" t="s">
        <v>426</v>
      </c>
      <c r="I4060" t="s">
        <v>425</v>
      </c>
      <c r="J4060" t="s">
        <v>430</v>
      </c>
      <c r="L4060" t="s">
        <v>421</v>
      </c>
      <c r="M4060" t="s">
        <v>428</v>
      </c>
      <c r="N4060" t="s">
        <v>423</v>
      </c>
    </row>
    <row r="4061" spans="1:14" ht="15" customHeight="1" x14ac:dyDescent="0.25">
      <c r="A4061" s="82">
        <v>46336</v>
      </c>
      <c r="B4061" t="s">
        <v>421</v>
      </c>
      <c r="C4061" t="s">
        <v>455</v>
      </c>
      <c r="D4061" t="s">
        <v>427</v>
      </c>
      <c r="E4061" t="s">
        <v>429</v>
      </c>
      <c r="F4061" t="s">
        <v>428</v>
      </c>
      <c r="G4061" t="s">
        <v>424</v>
      </c>
      <c r="H4061" t="s">
        <v>426</v>
      </c>
      <c r="I4061" t="s">
        <v>425</v>
      </c>
      <c r="J4061" t="s">
        <v>430</v>
      </c>
      <c r="L4061" t="s">
        <v>421</v>
      </c>
      <c r="M4061" t="s">
        <v>428</v>
      </c>
      <c r="N4061" t="s">
        <v>423</v>
      </c>
    </row>
    <row r="4062" spans="1:14" ht="15" customHeight="1" x14ac:dyDescent="0.25">
      <c r="A4062" s="82">
        <v>46337</v>
      </c>
      <c r="B4062" t="s">
        <v>421</v>
      </c>
      <c r="C4062" t="s">
        <v>427</v>
      </c>
      <c r="D4062" t="s">
        <v>455</v>
      </c>
      <c r="E4062" t="s">
        <v>429</v>
      </c>
      <c r="F4062" t="s">
        <v>428</v>
      </c>
      <c r="G4062" t="s">
        <v>424</v>
      </c>
      <c r="H4062" t="s">
        <v>426</v>
      </c>
      <c r="I4062" t="s">
        <v>425</v>
      </c>
      <c r="J4062" t="s">
        <v>430</v>
      </c>
      <c r="L4062" t="s">
        <v>421</v>
      </c>
      <c r="M4062" t="s">
        <v>424</v>
      </c>
      <c r="N4062" t="s">
        <v>423</v>
      </c>
    </row>
    <row r="4063" spans="1:14" ht="15" customHeight="1" x14ac:dyDescent="0.25">
      <c r="A4063" s="82">
        <v>46338</v>
      </c>
      <c r="B4063" t="s">
        <v>427</v>
      </c>
      <c r="C4063" t="s">
        <v>455</v>
      </c>
      <c r="D4063" t="s">
        <v>421</v>
      </c>
      <c r="E4063" t="s">
        <v>429</v>
      </c>
      <c r="F4063" t="s">
        <v>428</v>
      </c>
      <c r="G4063" t="s">
        <v>424</v>
      </c>
      <c r="H4063" t="s">
        <v>426</v>
      </c>
      <c r="I4063" t="s">
        <v>425</v>
      </c>
      <c r="J4063" t="s">
        <v>430</v>
      </c>
      <c r="L4063" t="s">
        <v>421</v>
      </c>
      <c r="M4063" t="s">
        <v>424</v>
      </c>
      <c r="N4063" t="s">
        <v>423</v>
      </c>
    </row>
    <row r="4064" spans="1:14" ht="15" customHeight="1" x14ac:dyDescent="0.25">
      <c r="A4064" s="82">
        <v>46339</v>
      </c>
      <c r="B4064" t="s">
        <v>455</v>
      </c>
      <c r="C4064" t="s">
        <v>424</v>
      </c>
      <c r="D4064" t="s">
        <v>429</v>
      </c>
      <c r="E4064" t="s">
        <v>426</v>
      </c>
      <c r="F4064" t="s">
        <v>425</v>
      </c>
      <c r="G4064" t="s">
        <v>430</v>
      </c>
      <c r="H4064" t="s">
        <v>427</v>
      </c>
      <c r="I4064" t="s">
        <v>425</v>
      </c>
      <c r="J4064" t="s">
        <v>421</v>
      </c>
      <c r="L4064" t="s">
        <v>423</v>
      </c>
      <c r="M4064" t="s">
        <v>421</v>
      </c>
      <c r="N4064" t="s">
        <v>424</v>
      </c>
    </row>
    <row r="4065" spans="1:14" ht="15" customHeight="1" x14ac:dyDescent="0.25">
      <c r="A4065" s="82">
        <v>46340</v>
      </c>
      <c r="B4065" t="s">
        <v>428</v>
      </c>
      <c r="C4065" t="s">
        <v>424</v>
      </c>
      <c r="D4065" t="s">
        <v>429</v>
      </c>
      <c r="E4065" t="s">
        <v>426</v>
      </c>
      <c r="F4065" t="s">
        <v>425</v>
      </c>
      <c r="G4065" t="s">
        <v>430</v>
      </c>
      <c r="H4065" t="s">
        <v>455</v>
      </c>
      <c r="I4065" t="s">
        <v>421</v>
      </c>
      <c r="J4065" t="s">
        <v>427</v>
      </c>
      <c r="L4065" t="s">
        <v>423</v>
      </c>
      <c r="M4065" t="s">
        <v>421</v>
      </c>
      <c r="N4065" t="s">
        <v>424</v>
      </c>
    </row>
    <row r="4066" spans="1:14" ht="15" customHeight="1" x14ac:dyDescent="0.25">
      <c r="A4066" s="82">
        <v>46341</v>
      </c>
      <c r="B4066" t="s">
        <v>428</v>
      </c>
      <c r="C4066" t="s">
        <v>424</v>
      </c>
      <c r="D4066" t="s">
        <v>429</v>
      </c>
      <c r="E4066" t="s">
        <v>426</v>
      </c>
      <c r="F4066" t="s">
        <v>425</v>
      </c>
      <c r="G4066" t="s">
        <v>430</v>
      </c>
      <c r="H4066" t="s">
        <v>427</v>
      </c>
      <c r="I4066" t="s">
        <v>421</v>
      </c>
      <c r="J4066" t="s">
        <v>455</v>
      </c>
      <c r="L4066" t="s">
        <v>423</v>
      </c>
      <c r="M4066" t="s">
        <v>421</v>
      </c>
      <c r="N4066" t="s">
        <v>424</v>
      </c>
    </row>
    <row r="4067" spans="1:14" ht="15" customHeight="1" x14ac:dyDescent="0.25">
      <c r="A4067" s="82">
        <v>46342</v>
      </c>
      <c r="B4067" t="s">
        <v>428</v>
      </c>
      <c r="C4067" t="s">
        <v>424</v>
      </c>
      <c r="D4067" t="s">
        <v>429</v>
      </c>
      <c r="E4067" t="s">
        <v>426</v>
      </c>
      <c r="F4067" t="s">
        <v>425</v>
      </c>
      <c r="G4067" t="s">
        <v>430</v>
      </c>
      <c r="H4067" t="s">
        <v>455</v>
      </c>
      <c r="I4067" t="s">
        <v>427</v>
      </c>
      <c r="J4067" t="s">
        <v>421</v>
      </c>
      <c r="L4067" t="s">
        <v>423</v>
      </c>
      <c r="M4067" t="s">
        <v>421</v>
      </c>
      <c r="N4067" t="s">
        <v>424</v>
      </c>
    </row>
    <row r="4068" spans="1:14" ht="15" customHeight="1" x14ac:dyDescent="0.25">
      <c r="A4068" s="82">
        <v>46343</v>
      </c>
      <c r="B4068" t="s">
        <v>428</v>
      </c>
      <c r="C4068" t="s">
        <v>424</v>
      </c>
      <c r="D4068" t="s">
        <v>429</v>
      </c>
      <c r="E4068" t="s">
        <v>426</v>
      </c>
      <c r="F4068" t="s">
        <v>425</v>
      </c>
      <c r="G4068" t="s">
        <v>430</v>
      </c>
      <c r="H4068" t="s">
        <v>421</v>
      </c>
      <c r="I4068" t="s">
        <v>455</v>
      </c>
      <c r="J4068" t="s">
        <v>427</v>
      </c>
      <c r="L4068" t="s">
        <v>423</v>
      </c>
      <c r="M4068" t="s">
        <v>421</v>
      </c>
      <c r="N4068" t="s">
        <v>424</v>
      </c>
    </row>
    <row r="4069" spans="1:14" ht="15" customHeight="1" x14ac:dyDescent="0.25">
      <c r="A4069" s="82">
        <v>46344</v>
      </c>
      <c r="B4069" t="s">
        <v>428</v>
      </c>
      <c r="C4069" t="s">
        <v>424</v>
      </c>
      <c r="D4069" t="s">
        <v>429</v>
      </c>
      <c r="E4069" t="s">
        <v>426</v>
      </c>
      <c r="F4069" t="s">
        <v>425</v>
      </c>
      <c r="G4069" t="s">
        <v>430</v>
      </c>
      <c r="H4069" t="s">
        <v>421</v>
      </c>
      <c r="I4069" t="s">
        <v>427</v>
      </c>
      <c r="J4069" t="s">
        <v>455</v>
      </c>
      <c r="L4069" t="s">
        <v>423</v>
      </c>
      <c r="M4069" t="s">
        <v>421</v>
      </c>
      <c r="N4069" t="s">
        <v>424</v>
      </c>
    </row>
    <row r="4070" spans="1:14" ht="15" customHeight="1" x14ac:dyDescent="0.25">
      <c r="A4070" s="82">
        <v>46345</v>
      </c>
      <c r="B4070" t="s">
        <v>428</v>
      </c>
      <c r="C4070" t="s">
        <v>424</v>
      </c>
      <c r="D4070" t="s">
        <v>429</v>
      </c>
      <c r="E4070" t="s">
        <v>426</v>
      </c>
      <c r="F4070" t="s">
        <v>425</v>
      </c>
      <c r="G4070" t="s">
        <v>430</v>
      </c>
      <c r="H4070" t="s">
        <v>427</v>
      </c>
      <c r="I4070" t="s">
        <v>455</v>
      </c>
      <c r="J4070" t="s">
        <v>421</v>
      </c>
      <c r="L4070" t="s">
        <v>423</v>
      </c>
      <c r="M4070" t="s">
        <v>421</v>
      </c>
      <c r="N4070" t="s">
        <v>424</v>
      </c>
    </row>
    <row r="4071" spans="1:14" ht="15" customHeight="1" x14ac:dyDescent="0.25">
      <c r="A4071" s="82">
        <v>46346</v>
      </c>
      <c r="B4071" t="s">
        <v>425</v>
      </c>
      <c r="C4071" t="s">
        <v>430</v>
      </c>
      <c r="D4071" t="s">
        <v>426</v>
      </c>
      <c r="E4071" t="s">
        <v>427</v>
      </c>
      <c r="F4071" t="s">
        <v>425</v>
      </c>
      <c r="G4071" t="s">
        <v>421</v>
      </c>
      <c r="H4071" t="s">
        <v>455</v>
      </c>
      <c r="I4071" t="s">
        <v>424</v>
      </c>
      <c r="J4071" t="s">
        <v>429</v>
      </c>
      <c r="L4071" t="s">
        <v>424</v>
      </c>
      <c r="M4071" t="s">
        <v>423</v>
      </c>
      <c r="N4071" t="s">
        <v>421</v>
      </c>
    </row>
    <row r="4072" spans="1:14" ht="15" customHeight="1" x14ac:dyDescent="0.25">
      <c r="A4072" s="82">
        <v>46347</v>
      </c>
      <c r="B4072" t="s">
        <v>425</v>
      </c>
      <c r="C4072" t="s">
        <v>430</v>
      </c>
      <c r="D4072" t="s">
        <v>426</v>
      </c>
      <c r="E4072" t="s">
        <v>455</v>
      </c>
      <c r="F4072" t="s">
        <v>421</v>
      </c>
      <c r="G4072" t="s">
        <v>427</v>
      </c>
      <c r="H4072" t="s">
        <v>428</v>
      </c>
      <c r="I4072" t="s">
        <v>424</v>
      </c>
      <c r="J4072" t="s">
        <v>429</v>
      </c>
      <c r="L4072" t="s">
        <v>424</v>
      </c>
      <c r="M4072" t="s">
        <v>423</v>
      </c>
      <c r="N4072" t="s">
        <v>421</v>
      </c>
    </row>
    <row r="4073" spans="1:14" ht="15" customHeight="1" x14ac:dyDescent="0.25">
      <c r="A4073" s="82">
        <v>46348</v>
      </c>
      <c r="B4073" t="s">
        <v>425</v>
      </c>
      <c r="C4073" t="s">
        <v>430</v>
      </c>
      <c r="D4073" t="s">
        <v>426</v>
      </c>
      <c r="E4073" t="s">
        <v>427</v>
      </c>
      <c r="F4073" t="s">
        <v>421</v>
      </c>
      <c r="G4073" t="s">
        <v>455</v>
      </c>
      <c r="H4073" t="s">
        <v>428</v>
      </c>
      <c r="I4073" t="s">
        <v>424</v>
      </c>
      <c r="J4073" t="s">
        <v>429</v>
      </c>
      <c r="L4073" t="s">
        <v>424</v>
      </c>
      <c r="M4073" t="s">
        <v>423</v>
      </c>
      <c r="N4073" t="s">
        <v>421</v>
      </c>
    </row>
    <row r="4074" spans="1:14" ht="15" customHeight="1" x14ac:dyDescent="0.25">
      <c r="A4074" s="82">
        <v>46349</v>
      </c>
      <c r="B4074" t="s">
        <v>425</v>
      </c>
      <c r="C4074" t="s">
        <v>430</v>
      </c>
      <c r="D4074" t="s">
        <v>426</v>
      </c>
      <c r="E4074" t="s">
        <v>455</v>
      </c>
      <c r="F4074" t="s">
        <v>427</v>
      </c>
      <c r="G4074" t="s">
        <v>421</v>
      </c>
      <c r="H4074" t="s">
        <v>428</v>
      </c>
      <c r="I4074" t="s">
        <v>424</v>
      </c>
      <c r="J4074" t="s">
        <v>429</v>
      </c>
      <c r="L4074" t="s">
        <v>424</v>
      </c>
      <c r="M4074" t="s">
        <v>423</v>
      </c>
      <c r="N4074" t="s">
        <v>421</v>
      </c>
    </row>
    <row r="4075" spans="1:14" ht="15" customHeight="1" x14ac:dyDescent="0.25">
      <c r="A4075" s="82">
        <v>46350</v>
      </c>
      <c r="B4075" t="s">
        <v>425</v>
      </c>
      <c r="C4075" t="s">
        <v>430</v>
      </c>
      <c r="D4075" t="s">
        <v>426</v>
      </c>
      <c r="E4075" t="s">
        <v>421</v>
      </c>
      <c r="F4075" t="s">
        <v>455</v>
      </c>
      <c r="G4075" t="s">
        <v>427</v>
      </c>
      <c r="H4075" t="s">
        <v>428</v>
      </c>
      <c r="I4075" t="s">
        <v>424</v>
      </c>
      <c r="J4075" t="s">
        <v>429</v>
      </c>
      <c r="L4075" t="s">
        <v>424</v>
      </c>
      <c r="M4075" t="s">
        <v>423</v>
      </c>
      <c r="N4075" t="s">
        <v>421</v>
      </c>
    </row>
    <row r="4076" spans="1:14" ht="15" customHeight="1" x14ac:dyDescent="0.25">
      <c r="A4076" s="82">
        <v>46351</v>
      </c>
      <c r="B4076" t="s">
        <v>425</v>
      </c>
      <c r="C4076" t="s">
        <v>430</v>
      </c>
      <c r="D4076" t="s">
        <v>426</v>
      </c>
      <c r="E4076" t="s">
        <v>421</v>
      </c>
      <c r="F4076" t="s">
        <v>427</v>
      </c>
      <c r="G4076" t="s">
        <v>455</v>
      </c>
      <c r="H4076" t="s">
        <v>428</v>
      </c>
      <c r="I4076" t="s">
        <v>424</v>
      </c>
      <c r="J4076" t="s">
        <v>429</v>
      </c>
      <c r="L4076" t="s">
        <v>424</v>
      </c>
      <c r="M4076" t="s">
        <v>423</v>
      </c>
      <c r="N4076" t="s">
        <v>421</v>
      </c>
    </row>
    <row r="4077" spans="1:14" ht="15" customHeight="1" x14ac:dyDescent="0.25">
      <c r="A4077" s="82">
        <v>46352</v>
      </c>
      <c r="B4077" t="s">
        <v>425</v>
      </c>
      <c r="C4077" t="s">
        <v>430</v>
      </c>
      <c r="D4077" t="s">
        <v>426</v>
      </c>
      <c r="E4077" t="s">
        <v>427</v>
      </c>
      <c r="F4077" t="s">
        <v>455</v>
      </c>
      <c r="G4077" t="s">
        <v>421</v>
      </c>
      <c r="H4077" t="s">
        <v>428</v>
      </c>
      <c r="I4077" t="s">
        <v>424</v>
      </c>
      <c r="J4077" t="s">
        <v>429</v>
      </c>
      <c r="L4077" t="s">
        <v>424</v>
      </c>
      <c r="M4077" t="s">
        <v>423</v>
      </c>
      <c r="N4077" t="s">
        <v>421</v>
      </c>
    </row>
    <row r="4078" spans="1:14" ht="15" customHeight="1" x14ac:dyDescent="0.25">
      <c r="A4078" s="82">
        <v>46353</v>
      </c>
      <c r="B4078" t="s">
        <v>425</v>
      </c>
      <c r="C4078" t="s">
        <v>421</v>
      </c>
      <c r="D4078" t="s">
        <v>427</v>
      </c>
      <c r="E4078" t="s">
        <v>455</v>
      </c>
      <c r="F4078" t="s">
        <v>424</v>
      </c>
      <c r="G4078" t="s">
        <v>429</v>
      </c>
      <c r="H4078" t="s">
        <v>425</v>
      </c>
      <c r="I4078" t="s">
        <v>430</v>
      </c>
      <c r="J4078" t="s">
        <v>426</v>
      </c>
      <c r="L4078" t="s">
        <v>421</v>
      </c>
      <c r="M4078" t="s">
        <v>424</v>
      </c>
      <c r="N4078" t="s">
        <v>423</v>
      </c>
    </row>
    <row r="4079" spans="1:14" ht="15" customHeight="1" x14ac:dyDescent="0.25">
      <c r="A4079" s="82">
        <v>46354</v>
      </c>
      <c r="B4079" t="s">
        <v>421</v>
      </c>
      <c r="C4079" t="s">
        <v>427</v>
      </c>
      <c r="D4079" t="s">
        <v>455</v>
      </c>
      <c r="E4079" t="s">
        <v>428</v>
      </c>
      <c r="F4079" t="s">
        <v>424</v>
      </c>
      <c r="G4079" t="s">
        <v>429</v>
      </c>
      <c r="H4079" t="s">
        <v>425</v>
      </c>
      <c r="I4079" t="s">
        <v>430</v>
      </c>
      <c r="J4079" t="s">
        <v>426</v>
      </c>
      <c r="L4079" t="s">
        <v>421</v>
      </c>
      <c r="M4079" t="s">
        <v>424</v>
      </c>
      <c r="N4079" t="s">
        <v>423</v>
      </c>
    </row>
    <row r="4080" spans="1:14" ht="15" customHeight="1" x14ac:dyDescent="0.25">
      <c r="A4080" s="82">
        <v>46355</v>
      </c>
      <c r="B4080" t="s">
        <v>421</v>
      </c>
      <c r="C4080" t="s">
        <v>455</v>
      </c>
      <c r="D4080" t="s">
        <v>427</v>
      </c>
      <c r="E4080" t="s">
        <v>428</v>
      </c>
      <c r="F4080" t="s">
        <v>424</v>
      </c>
      <c r="G4080" t="s">
        <v>429</v>
      </c>
      <c r="H4080" t="s">
        <v>425</v>
      </c>
      <c r="I4080" t="s">
        <v>430</v>
      </c>
      <c r="J4080" t="s">
        <v>426</v>
      </c>
      <c r="L4080" t="s">
        <v>421</v>
      </c>
      <c r="M4080" t="s">
        <v>424</v>
      </c>
      <c r="N4080" t="s">
        <v>423</v>
      </c>
    </row>
    <row r="4081" spans="1:14" ht="15" customHeight="1" x14ac:dyDescent="0.25">
      <c r="A4081" s="82">
        <v>46356</v>
      </c>
      <c r="B4081" t="s">
        <v>427</v>
      </c>
      <c r="C4081" t="s">
        <v>421</v>
      </c>
      <c r="D4081" t="s">
        <v>455</v>
      </c>
      <c r="E4081" t="s">
        <v>428</v>
      </c>
      <c r="F4081" t="s">
        <v>424</v>
      </c>
      <c r="G4081" t="s">
        <v>429</v>
      </c>
      <c r="H4081" t="s">
        <v>425</v>
      </c>
      <c r="I4081" t="s">
        <v>430</v>
      </c>
      <c r="J4081" t="s">
        <v>426</v>
      </c>
      <c r="L4081" t="s">
        <v>421</v>
      </c>
      <c r="M4081" t="s">
        <v>424</v>
      </c>
      <c r="N4081" t="s">
        <v>423</v>
      </c>
    </row>
    <row r="4082" spans="1:14" ht="15" customHeight="1" x14ac:dyDescent="0.25">
      <c r="A4082" s="82">
        <v>46357</v>
      </c>
      <c r="B4082" t="s">
        <v>455</v>
      </c>
      <c r="C4082" t="s">
        <v>427</v>
      </c>
      <c r="D4082" t="s">
        <v>421</v>
      </c>
      <c r="E4082" t="s">
        <v>428</v>
      </c>
      <c r="F4082" t="s">
        <v>424</v>
      </c>
      <c r="G4082" t="s">
        <v>429</v>
      </c>
      <c r="H4082" t="s">
        <v>425</v>
      </c>
      <c r="I4082" t="s">
        <v>430</v>
      </c>
      <c r="J4082" t="s">
        <v>426</v>
      </c>
      <c r="L4082" t="s">
        <v>421</v>
      </c>
      <c r="M4082" t="s">
        <v>424</v>
      </c>
      <c r="N4082" t="s">
        <v>423</v>
      </c>
    </row>
    <row r="4083" spans="1:14" ht="15" customHeight="1" x14ac:dyDescent="0.25">
      <c r="A4083" s="82">
        <v>46358</v>
      </c>
      <c r="B4083" t="s">
        <v>427</v>
      </c>
      <c r="C4083" t="s">
        <v>455</v>
      </c>
      <c r="D4083" t="s">
        <v>421</v>
      </c>
      <c r="E4083" t="s">
        <v>428</v>
      </c>
      <c r="F4083" t="s">
        <v>424</v>
      </c>
      <c r="G4083" t="s">
        <v>429</v>
      </c>
      <c r="H4083" t="s">
        <v>425</v>
      </c>
      <c r="I4083" t="s">
        <v>430</v>
      </c>
      <c r="J4083" t="s">
        <v>426</v>
      </c>
      <c r="L4083" t="s">
        <v>421</v>
      </c>
      <c r="M4083" t="s">
        <v>424</v>
      </c>
      <c r="N4083" t="s">
        <v>423</v>
      </c>
    </row>
    <row r="4084" spans="1:14" ht="15" customHeight="1" x14ac:dyDescent="0.25">
      <c r="A4084" s="82">
        <v>46359</v>
      </c>
      <c r="B4084" t="s">
        <v>455</v>
      </c>
      <c r="C4084" t="s">
        <v>421</v>
      </c>
      <c r="D4084" t="s">
        <v>427</v>
      </c>
      <c r="E4084" t="s">
        <v>428</v>
      </c>
      <c r="F4084" t="s">
        <v>424</v>
      </c>
      <c r="G4084" t="s">
        <v>429</v>
      </c>
      <c r="H4084" t="s">
        <v>425</v>
      </c>
      <c r="I4084" t="s">
        <v>430</v>
      </c>
      <c r="J4084" t="s">
        <v>426</v>
      </c>
      <c r="L4084" t="s">
        <v>421</v>
      </c>
      <c r="M4084" t="s">
        <v>424</v>
      </c>
      <c r="N4084" t="s">
        <v>423</v>
      </c>
    </row>
    <row r="4085" spans="1:14" ht="15" customHeight="1" x14ac:dyDescent="0.25">
      <c r="A4085" s="82">
        <v>46360</v>
      </c>
      <c r="B4085" t="s">
        <v>424</v>
      </c>
      <c r="C4085" t="s">
        <v>429</v>
      </c>
      <c r="D4085" t="s">
        <v>455</v>
      </c>
      <c r="E4085" t="s">
        <v>425</v>
      </c>
      <c r="F4085" t="s">
        <v>430</v>
      </c>
      <c r="G4085" t="s">
        <v>426</v>
      </c>
      <c r="H4085" t="s">
        <v>425</v>
      </c>
      <c r="I4085" t="s">
        <v>421</v>
      </c>
      <c r="J4085" t="s">
        <v>427</v>
      </c>
      <c r="L4085" t="s">
        <v>423</v>
      </c>
      <c r="M4085" t="s">
        <v>421</v>
      </c>
      <c r="N4085" t="s">
        <v>428</v>
      </c>
    </row>
    <row r="4086" spans="1:14" ht="15" customHeight="1" x14ac:dyDescent="0.25">
      <c r="A4086" s="82">
        <v>46361</v>
      </c>
      <c r="B4086" t="s">
        <v>424</v>
      </c>
      <c r="C4086" t="s">
        <v>429</v>
      </c>
      <c r="D4086" t="s">
        <v>428</v>
      </c>
      <c r="E4086" t="s">
        <v>425</v>
      </c>
      <c r="F4086" t="s">
        <v>430</v>
      </c>
      <c r="G4086" t="s">
        <v>426</v>
      </c>
      <c r="H4086" t="s">
        <v>421</v>
      </c>
      <c r="I4086" t="s">
        <v>427</v>
      </c>
      <c r="J4086" t="s">
        <v>455</v>
      </c>
      <c r="L4086" t="s">
        <v>423</v>
      </c>
      <c r="M4086" t="s">
        <v>421</v>
      </c>
      <c r="N4086" t="s">
        <v>428</v>
      </c>
    </row>
    <row r="4087" spans="1:14" ht="15" customHeight="1" x14ac:dyDescent="0.25">
      <c r="A4087" s="82">
        <v>46362</v>
      </c>
      <c r="B4087" t="s">
        <v>424</v>
      </c>
      <c r="C4087" t="s">
        <v>429</v>
      </c>
      <c r="D4087" t="s">
        <v>428</v>
      </c>
      <c r="E4087" t="s">
        <v>425</v>
      </c>
      <c r="F4087" t="s">
        <v>430</v>
      </c>
      <c r="G4087" t="s">
        <v>426</v>
      </c>
      <c r="H4087" t="s">
        <v>421</v>
      </c>
      <c r="I4087" t="s">
        <v>455</v>
      </c>
      <c r="J4087" t="s">
        <v>427</v>
      </c>
      <c r="L4087" t="s">
        <v>423</v>
      </c>
      <c r="M4087" t="s">
        <v>421</v>
      </c>
      <c r="N4087" t="s">
        <v>428</v>
      </c>
    </row>
    <row r="4088" spans="1:14" ht="15" customHeight="1" x14ac:dyDescent="0.25">
      <c r="A4088" s="82">
        <v>46363</v>
      </c>
      <c r="B4088" t="s">
        <v>424</v>
      </c>
      <c r="C4088" t="s">
        <v>429</v>
      </c>
      <c r="D4088" t="s">
        <v>428</v>
      </c>
      <c r="E4088" t="s">
        <v>425</v>
      </c>
      <c r="F4088" t="s">
        <v>430</v>
      </c>
      <c r="G4088" t="s">
        <v>426</v>
      </c>
      <c r="H4088" t="s">
        <v>427</v>
      </c>
      <c r="I4088" t="s">
        <v>421</v>
      </c>
      <c r="J4088" t="s">
        <v>455</v>
      </c>
      <c r="L4088" t="s">
        <v>423</v>
      </c>
      <c r="M4088" t="s">
        <v>421</v>
      </c>
      <c r="N4088" t="s">
        <v>428</v>
      </c>
    </row>
    <row r="4089" spans="1:14" ht="15" customHeight="1" x14ac:dyDescent="0.25">
      <c r="A4089" s="82">
        <v>46364</v>
      </c>
      <c r="B4089" t="s">
        <v>424</v>
      </c>
      <c r="C4089" t="s">
        <v>429</v>
      </c>
      <c r="D4089" t="s">
        <v>428</v>
      </c>
      <c r="E4089" t="s">
        <v>425</v>
      </c>
      <c r="F4089" t="s">
        <v>430</v>
      </c>
      <c r="G4089" t="s">
        <v>426</v>
      </c>
      <c r="H4089" t="s">
        <v>455</v>
      </c>
      <c r="I4089" t="s">
        <v>427</v>
      </c>
      <c r="J4089" t="s">
        <v>421</v>
      </c>
      <c r="L4089" t="s">
        <v>423</v>
      </c>
      <c r="M4089" t="s">
        <v>421</v>
      </c>
      <c r="N4089" t="s">
        <v>428</v>
      </c>
    </row>
    <row r="4090" spans="1:14" ht="15" customHeight="1" x14ac:dyDescent="0.25">
      <c r="A4090" s="82">
        <v>46365</v>
      </c>
      <c r="B4090" t="s">
        <v>424</v>
      </c>
      <c r="C4090" t="s">
        <v>429</v>
      </c>
      <c r="D4090" t="s">
        <v>428</v>
      </c>
      <c r="E4090" t="s">
        <v>425</v>
      </c>
      <c r="F4090" t="s">
        <v>430</v>
      </c>
      <c r="G4090" t="s">
        <v>426</v>
      </c>
      <c r="H4090" t="s">
        <v>427</v>
      </c>
      <c r="I4090" t="s">
        <v>455</v>
      </c>
      <c r="J4090" t="s">
        <v>421</v>
      </c>
      <c r="L4090" t="s">
        <v>423</v>
      </c>
      <c r="M4090" t="s">
        <v>421</v>
      </c>
      <c r="N4090" t="s">
        <v>424</v>
      </c>
    </row>
    <row r="4091" spans="1:14" ht="15" customHeight="1" x14ac:dyDescent="0.25">
      <c r="A4091" s="82">
        <v>46366</v>
      </c>
      <c r="B4091" t="s">
        <v>424</v>
      </c>
      <c r="C4091" t="s">
        <v>429</v>
      </c>
      <c r="D4091" t="s">
        <v>428</v>
      </c>
      <c r="E4091" t="s">
        <v>425</v>
      </c>
      <c r="F4091" t="s">
        <v>430</v>
      </c>
      <c r="G4091" t="s">
        <v>426</v>
      </c>
      <c r="H4091" t="s">
        <v>455</v>
      </c>
      <c r="I4091" t="s">
        <v>421</v>
      </c>
      <c r="J4091" t="s">
        <v>427</v>
      </c>
      <c r="L4091" t="s">
        <v>423</v>
      </c>
      <c r="M4091" t="s">
        <v>421</v>
      </c>
      <c r="N4091" t="s">
        <v>424</v>
      </c>
    </row>
    <row r="4092" spans="1:14" ht="15" customHeight="1" x14ac:dyDescent="0.25">
      <c r="A4092" s="82">
        <v>46367</v>
      </c>
      <c r="B4092" t="s">
        <v>430</v>
      </c>
      <c r="C4092" t="s">
        <v>426</v>
      </c>
      <c r="D4092" t="s">
        <v>425</v>
      </c>
      <c r="E4092" t="s">
        <v>425</v>
      </c>
      <c r="F4092" t="s">
        <v>421</v>
      </c>
      <c r="G4092" t="s">
        <v>427</v>
      </c>
      <c r="H4092" t="s">
        <v>424</v>
      </c>
      <c r="I4092" t="s">
        <v>429</v>
      </c>
      <c r="J4092" t="s">
        <v>455</v>
      </c>
      <c r="L4092" t="s">
        <v>424</v>
      </c>
      <c r="M4092" t="s">
        <v>423</v>
      </c>
      <c r="N4092" t="s">
        <v>421</v>
      </c>
    </row>
    <row r="4093" spans="1:14" ht="15" customHeight="1" x14ac:dyDescent="0.25">
      <c r="A4093" s="82">
        <v>46368</v>
      </c>
      <c r="B4093" t="s">
        <v>430</v>
      </c>
      <c r="C4093" t="s">
        <v>426</v>
      </c>
      <c r="D4093" t="s">
        <v>425</v>
      </c>
      <c r="E4093" t="s">
        <v>421</v>
      </c>
      <c r="F4093" t="s">
        <v>427</v>
      </c>
      <c r="G4093" t="s">
        <v>455</v>
      </c>
      <c r="H4093" t="s">
        <v>424</v>
      </c>
      <c r="I4093" t="s">
        <v>429</v>
      </c>
      <c r="J4093" t="s">
        <v>428</v>
      </c>
      <c r="L4093" t="s">
        <v>424</v>
      </c>
      <c r="M4093" t="s">
        <v>423</v>
      </c>
      <c r="N4093" t="s">
        <v>421</v>
      </c>
    </row>
    <row r="4094" spans="1:14" ht="15" customHeight="1" x14ac:dyDescent="0.25">
      <c r="A4094" s="82">
        <v>46369</v>
      </c>
      <c r="B4094" t="s">
        <v>430</v>
      </c>
      <c r="C4094" t="s">
        <v>426</v>
      </c>
      <c r="D4094" t="s">
        <v>425</v>
      </c>
      <c r="E4094" t="s">
        <v>421</v>
      </c>
      <c r="F4094" t="s">
        <v>455</v>
      </c>
      <c r="G4094" t="s">
        <v>427</v>
      </c>
      <c r="H4094" t="s">
        <v>424</v>
      </c>
      <c r="I4094" t="s">
        <v>429</v>
      </c>
      <c r="J4094" t="s">
        <v>428</v>
      </c>
      <c r="L4094" t="s">
        <v>424</v>
      </c>
      <c r="M4094" t="s">
        <v>423</v>
      </c>
      <c r="N4094" t="s">
        <v>421</v>
      </c>
    </row>
    <row r="4095" spans="1:14" ht="15" customHeight="1" x14ac:dyDescent="0.25">
      <c r="A4095" s="82">
        <v>46370</v>
      </c>
      <c r="B4095" t="s">
        <v>430</v>
      </c>
      <c r="C4095" t="s">
        <v>426</v>
      </c>
      <c r="D4095" t="s">
        <v>425</v>
      </c>
      <c r="E4095" t="s">
        <v>427</v>
      </c>
      <c r="F4095" t="s">
        <v>421</v>
      </c>
      <c r="G4095" t="s">
        <v>455</v>
      </c>
      <c r="H4095" t="s">
        <v>424</v>
      </c>
      <c r="I4095" t="s">
        <v>429</v>
      </c>
      <c r="J4095" t="s">
        <v>428</v>
      </c>
      <c r="L4095" t="s">
        <v>424</v>
      </c>
      <c r="M4095" t="s">
        <v>423</v>
      </c>
      <c r="N4095" t="s">
        <v>421</v>
      </c>
    </row>
    <row r="4096" spans="1:14" ht="15" customHeight="1" x14ac:dyDescent="0.25">
      <c r="A4096" s="82">
        <v>46371</v>
      </c>
      <c r="B4096" t="s">
        <v>430</v>
      </c>
      <c r="C4096" t="s">
        <v>426</v>
      </c>
      <c r="D4096" t="s">
        <v>425</v>
      </c>
      <c r="E4096" t="s">
        <v>455</v>
      </c>
      <c r="F4096" t="s">
        <v>427</v>
      </c>
      <c r="G4096" t="s">
        <v>421</v>
      </c>
      <c r="H4096" t="s">
        <v>424</v>
      </c>
      <c r="I4096" t="s">
        <v>429</v>
      </c>
      <c r="J4096" t="s">
        <v>428</v>
      </c>
      <c r="L4096" t="s">
        <v>424</v>
      </c>
      <c r="M4096" t="s">
        <v>423</v>
      </c>
      <c r="N4096" t="s">
        <v>421</v>
      </c>
    </row>
    <row r="4097" spans="1:14" ht="15" customHeight="1" x14ac:dyDescent="0.25">
      <c r="A4097" s="82">
        <v>46372</v>
      </c>
      <c r="B4097" t="s">
        <v>430</v>
      </c>
      <c r="C4097" t="s">
        <v>426</v>
      </c>
      <c r="D4097" t="s">
        <v>425</v>
      </c>
      <c r="E4097" t="s">
        <v>427</v>
      </c>
      <c r="F4097" t="s">
        <v>455</v>
      </c>
      <c r="G4097" t="s">
        <v>421</v>
      </c>
      <c r="H4097" t="s">
        <v>424</v>
      </c>
      <c r="I4097" t="s">
        <v>429</v>
      </c>
      <c r="J4097" t="s">
        <v>428</v>
      </c>
      <c r="L4097" t="s">
        <v>424</v>
      </c>
      <c r="M4097" t="s">
        <v>423</v>
      </c>
      <c r="N4097" t="s">
        <v>421</v>
      </c>
    </row>
    <row r="4098" spans="1:14" ht="15" customHeight="1" x14ac:dyDescent="0.25">
      <c r="A4098" s="82">
        <v>46373</v>
      </c>
      <c r="B4098" t="s">
        <v>430</v>
      </c>
      <c r="C4098" t="s">
        <v>426</v>
      </c>
      <c r="D4098" t="s">
        <v>425</v>
      </c>
      <c r="E4098" t="s">
        <v>455</v>
      </c>
      <c r="F4098" t="s">
        <v>421</v>
      </c>
      <c r="G4098" t="s">
        <v>427</v>
      </c>
      <c r="H4098" t="s">
        <v>424</v>
      </c>
      <c r="I4098" t="s">
        <v>429</v>
      </c>
      <c r="J4098" t="s">
        <v>428</v>
      </c>
      <c r="L4098" t="s">
        <v>424</v>
      </c>
      <c r="M4098" t="s">
        <v>423</v>
      </c>
      <c r="N4098" t="s">
        <v>421</v>
      </c>
    </row>
    <row r="4099" spans="1:14" ht="15" customHeight="1" x14ac:dyDescent="0.25">
      <c r="A4099" s="82">
        <v>46374</v>
      </c>
      <c r="B4099" t="s">
        <v>421</v>
      </c>
      <c r="C4099" t="s">
        <v>427</v>
      </c>
      <c r="D4099" t="s">
        <v>425</v>
      </c>
      <c r="E4099" t="s">
        <v>424</v>
      </c>
      <c r="F4099" t="s">
        <v>429</v>
      </c>
      <c r="G4099" t="s">
        <v>455</v>
      </c>
      <c r="H4099" t="s">
        <v>430</v>
      </c>
      <c r="I4099" t="s">
        <v>426</v>
      </c>
      <c r="J4099" t="s">
        <v>425</v>
      </c>
      <c r="L4099" t="s">
        <v>421</v>
      </c>
      <c r="M4099" t="s">
        <v>424</v>
      </c>
      <c r="N4099" t="s">
        <v>423</v>
      </c>
    </row>
    <row r="4100" spans="1:14" ht="15" customHeight="1" x14ac:dyDescent="0.25">
      <c r="A4100" s="82">
        <v>46375</v>
      </c>
      <c r="B4100" t="s">
        <v>427</v>
      </c>
      <c r="C4100" t="s">
        <v>455</v>
      </c>
      <c r="D4100" t="s">
        <v>421</v>
      </c>
      <c r="E4100" t="s">
        <v>424</v>
      </c>
      <c r="F4100" t="s">
        <v>429</v>
      </c>
      <c r="G4100" t="s">
        <v>428</v>
      </c>
      <c r="H4100" t="s">
        <v>430</v>
      </c>
      <c r="I4100" t="s">
        <v>426</v>
      </c>
      <c r="J4100" t="s">
        <v>425</v>
      </c>
      <c r="L4100" t="s">
        <v>421</v>
      </c>
      <c r="M4100" t="s">
        <v>424</v>
      </c>
      <c r="N4100" t="s">
        <v>423</v>
      </c>
    </row>
    <row r="4101" spans="1:14" ht="15" customHeight="1" x14ac:dyDescent="0.25">
      <c r="A4101" s="82">
        <v>46376</v>
      </c>
      <c r="B4101" t="s">
        <v>455</v>
      </c>
      <c r="C4101" t="s">
        <v>427</v>
      </c>
      <c r="D4101" t="s">
        <v>421</v>
      </c>
      <c r="E4101" t="s">
        <v>424</v>
      </c>
      <c r="F4101" t="s">
        <v>429</v>
      </c>
      <c r="G4101" t="s">
        <v>428</v>
      </c>
      <c r="H4101" t="s">
        <v>430</v>
      </c>
      <c r="I4101" t="s">
        <v>426</v>
      </c>
      <c r="J4101" t="s">
        <v>425</v>
      </c>
      <c r="L4101" t="s">
        <v>421</v>
      </c>
      <c r="M4101" t="s">
        <v>424</v>
      </c>
      <c r="N4101" t="s">
        <v>423</v>
      </c>
    </row>
    <row r="4102" spans="1:14" ht="15" customHeight="1" x14ac:dyDescent="0.25">
      <c r="A4102" s="82">
        <v>46377</v>
      </c>
      <c r="B4102" t="s">
        <v>421</v>
      </c>
      <c r="C4102" t="s">
        <v>455</v>
      </c>
      <c r="D4102" t="s">
        <v>427</v>
      </c>
      <c r="E4102" t="s">
        <v>424</v>
      </c>
      <c r="F4102" t="s">
        <v>429</v>
      </c>
      <c r="G4102" t="s">
        <v>428</v>
      </c>
      <c r="H4102" t="s">
        <v>430</v>
      </c>
      <c r="I4102" t="s">
        <v>426</v>
      </c>
      <c r="J4102" t="s">
        <v>425</v>
      </c>
      <c r="L4102" t="s">
        <v>421</v>
      </c>
      <c r="M4102" t="s">
        <v>424</v>
      </c>
      <c r="N4102" t="s">
        <v>423</v>
      </c>
    </row>
    <row r="4103" spans="1:14" ht="15" customHeight="1" x14ac:dyDescent="0.25">
      <c r="A4103" s="82">
        <v>46378</v>
      </c>
      <c r="B4103" t="s">
        <v>427</v>
      </c>
      <c r="C4103" t="s">
        <v>421</v>
      </c>
      <c r="D4103" t="s">
        <v>455</v>
      </c>
      <c r="E4103" t="s">
        <v>424</v>
      </c>
      <c r="F4103" t="s">
        <v>429</v>
      </c>
      <c r="G4103" t="s">
        <v>428</v>
      </c>
      <c r="H4103" t="s">
        <v>430</v>
      </c>
      <c r="I4103" t="s">
        <v>426</v>
      </c>
      <c r="J4103" t="s">
        <v>425</v>
      </c>
      <c r="L4103" t="s">
        <v>421</v>
      </c>
      <c r="M4103" t="s">
        <v>424</v>
      </c>
      <c r="N4103" t="s">
        <v>423</v>
      </c>
    </row>
    <row r="4104" spans="1:14" ht="15" customHeight="1" x14ac:dyDescent="0.25">
      <c r="A4104" s="82">
        <v>46379</v>
      </c>
      <c r="B4104" t="s">
        <v>455</v>
      </c>
      <c r="C4104" t="s">
        <v>421</v>
      </c>
      <c r="D4104" t="s">
        <v>427</v>
      </c>
      <c r="E4104" t="s">
        <v>424</v>
      </c>
      <c r="F4104" t="s">
        <v>429</v>
      </c>
      <c r="G4104" t="s">
        <v>428</v>
      </c>
      <c r="H4104" t="s">
        <v>430</v>
      </c>
      <c r="I4104" t="s">
        <v>426</v>
      </c>
      <c r="J4104" t="s">
        <v>425</v>
      </c>
      <c r="L4104" t="s">
        <v>421</v>
      </c>
      <c r="M4104" t="s">
        <v>424</v>
      </c>
      <c r="N4104" t="s">
        <v>423</v>
      </c>
    </row>
    <row r="4105" spans="1:14" ht="15" customHeight="1" x14ac:dyDescent="0.25">
      <c r="A4105" s="82">
        <v>46380</v>
      </c>
      <c r="B4105" t="s">
        <v>421</v>
      </c>
      <c r="C4105" t="s">
        <v>427</v>
      </c>
      <c r="D4105" t="s">
        <v>455</v>
      </c>
      <c r="E4105" t="s">
        <v>424</v>
      </c>
      <c r="F4105" t="s">
        <v>429</v>
      </c>
      <c r="G4105" t="s">
        <v>428</v>
      </c>
      <c r="H4105" t="s">
        <v>430</v>
      </c>
      <c r="I4105" t="s">
        <v>426</v>
      </c>
      <c r="J4105" t="s">
        <v>425</v>
      </c>
      <c r="L4105" t="s">
        <v>421</v>
      </c>
      <c r="M4105" t="s">
        <v>424</v>
      </c>
      <c r="N4105" t="s">
        <v>423</v>
      </c>
    </row>
    <row r="4106" spans="1:14" ht="15" customHeight="1" x14ac:dyDescent="0.25">
      <c r="A4106" s="82">
        <v>46381</v>
      </c>
      <c r="B4106" t="s">
        <v>429</v>
      </c>
      <c r="C4106" t="s">
        <v>455</v>
      </c>
      <c r="D4106" t="s">
        <v>424</v>
      </c>
      <c r="E4106" t="s">
        <v>430</v>
      </c>
      <c r="F4106" t="s">
        <v>426</v>
      </c>
      <c r="G4106" t="s">
        <v>425</v>
      </c>
      <c r="H4106" t="s">
        <v>421</v>
      </c>
      <c r="I4106" t="s">
        <v>427</v>
      </c>
      <c r="J4106" t="s">
        <v>425</v>
      </c>
      <c r="L4106" t="s">
        <v>423</v>
      </c>
      <c r="M4106" t="s">
        <v>421</v>
      </c>
      <c r="N4106" t="s">
        <v>424</v>
      </c>
    </row>
    <row r="4107" spans="1:14" ht="15" customHeight="1" x14ac:dyDescent="0.25">
      <c r="A4107" s="82">
        <v>46382</v>
      </c>
      <c r="B4107" t="s">
        <v>429</v>
      </c>
      <c r="C4107" t="s">
        <v>428</v>
      </c>
      <c r="D4107" t="s">
        <v>424</v>
      </c>
      <c r="E4107" t="s">
        <v>430</v>
      </c>
      <c r="F4107" t="s">
        <v>426</v>
      </c>
      <c r="G4107" t="s">
        <v>425</v>
      </c>
      <c r="H4107" t="s">
        <v>427</v>
      </c>
      <c r="I4107" t="s">
        <v>455</v>
      </c>
      <c r="J4107" t="s">
        <v>421</v>
      </c>
      <c r="L4107" t="s">
        <v>423</v>
      </c>
      <c r="M4107" t="s">
        <v>421</v>
      </c>
      <c r="N4107" t="s">
        <v>424</v>
      </c>
    </row>
    <row r="4108" spans="1:14" ht="15" customHeight="1" x14ac:dyDescent="0.25">
      <c r="A4108" s="82">
        <v>46383</v>
      </c>
      <c r="B4108" t="s">
        <v>429</v>
      </c>
      <c r="C4108" t="s">
        <v>428</v>
      </c>
      <c r="D4108" t="s">
        <v>424</v>
      </c>
      <c r="E4108" t="s">
        <v>430</v>
      </c>
      <c r="F4108" t="s">
        <v>426</v>
      </c>
      <c r="G4108" t="s">
        <v>425</v>
      </c>
      <c r="H4108" t="s">
        <v>455</v>
      </c>
      <c r="I4108" t="s">
        <v>427</v>
      </c>
      <c r="J4108" t="s">
        <v>421</v>
      </c>
      <c r="L4108" t="s">
        <v>423</v>
      </c>
      <c r="M4108" t="s">
        <v>421</v>
      </c>
      <c r="N4108" t="s">
        <v>424</v>
      </c>
    </row>
    <row r="4109" spans="1:14" ht="15" customHeight="1" x14ac:dyDescent="0.25">
      <c r="A4109" s="82">
        <v>46384</v>
      </c>
      <c r="B4109" t="s">
        <v>429</v>
      </c>
      <c r="C4109" t="s">
        <v>428</v>
      </c>
      <c r="D4109" t="s">
        <v>424</v>
      </c>
      <c r="E4109" t="s">
        <v>430</v>
      </c>
      <c r="F4109" t="s">
        <v>426</v>
      </c>
      <c r="G4109" t="s">
        <v>425</v>
      </c>
      <c r="H4109" t="s">
        <v>421</v>
      </c>
      <c r="I4109" t="s">
        <v>455</v>
      </c>
      <c r="J4109" t="s">
        <v>427</v>
      </c>
      <c r="L4109" t="s">
        <v>423</v>
      </c>
      <c r="M4109" t="s">
        <v>421</v>
      </c>
      <c r="N4109" t="s">
        <v>424</v>
      </c>
    </row>
    <row r="4110" spans="1:14" ht="15" customHeight="1" x14ac:dyDescent="0.25">
      <c r="A4110" s="82">
        <v>46385</v>
      </c>
      <c r="B4110" t="s">
        <v>429</v>
      </c>
      <c r="C4110" t="s">
        <v>428</v>
      </c>
      <c r="D4110" t="s">
        <v>424</v>
      </c>
      <c r="E4110" t="s">
        <v>430</v>
      </c>
      <c r="F4110" t="s">
        <v>426</v>
      </c>
      <c r="G4110" t="s">
        <v>425</v>
      </c>
      <c r="H4110" t="s">
        <v>427</v>
      </c>
      <c r="I4110" t="s">
        <v>421</v>
      </c>
      <c r="J4110" t="s">
        <v>455</v>
      </c>
      <c r="L4110" t="s">
        <v>423</v>
      </c>
      <c r="M4110" t="s">
        <v>421</v>
      </c>
      <c r="N4110" t="s">
        <v>424</v>
      </c>
    </row>
    <row r="4111" spans="1:14" ht="15" customHeight="1" x14ac:dyDescent="0.25">
      <c r="A4111" s="82">
        <v>46386</v>
      </c>
      <c r="B4111" t="s">
        <v>429</v>
      </c>
      <c r="C4111" t="s">
        <v>428</v>
      </c>
      <c r="D4111" t="s">
        <v>424</v>
      </c>
      <c r="E4111" t="s">
        <v>430</v>
      </c>
      <c r="F4111" t="s">
        <v>426</v>
      </c>
      <c r="G4111" t="s">
        <v>425</v>
      </c>
      <c r="H4111" t="s">
        <v>455</v>
      </c>
      <c r="I4111" t="s">
        <v>421</v>
      </c>
      <c r="J4111" t="s">
        <v>427</v>
      </c>
      <c r="L4111" t="s">
        <v>423</v>
      </c>
      <c r="M4111" t="s">
        <v>421</v>
      </c>
      <c r="N4111" t="s">
        <v>424</v>
      </c>
    </row>
    <row r="4112" spans="1:14" ht="15" customHeight="1" x14ac:dyDescent="0.25">
      <c r="A4112" s="82">
        <v>46387</v>
      </c>
      <c r="B4112" t="s">
        <v>429</v>
      </c>
      <c r="C4112" t="s">
        <v>428</v>
      </c>
      <c r="D4112" t="s">
        <v>424</v>
      </c>
      <c r="E4112" t="s">
        <v>430</v>
      </c>
      <c r="F4112" t="s">
        <v>426</v>
      </c>
      <c r="G4112" t="s">
        <v>425</v>
      </c>
      <c r="H4112" t="s">
        <v>421</v>
      </c>
      <c r="I4112" t="s">
        <v>427</v>
      </c>
      <c r="J4112" t="s">
        <v>455</v>
      </c>
      <c r="L4112" t="s">
        <v>423</v>
      </c>
      <c r="M4112" t="s">
        <v>421</v>
      </c>
      <c r="N4112" t="s">
        <v>424</v>
      </c>
    </row>
    <row r="4113" spans="1:14" ht="15" customHeight="1" x14ac:dyDescent="0.25">
      <c r="A4113" s="82">
        <v>46388</v>
      </c>
      <c r="B4113" t="s">
        <v>426</v>
      </c>
      <c r="C4113" t="s">
        <v>425</v>
      </c>
      <c r="D4113" t="s">
        <v>430</v>
      </c>
      <c r="E4113" t="s">
        <v>421</v>
      </c>
      <c r="F4113" t="s">
        <v>427</v>
      </c>
      <c r="G4113" t="s">
        <v>425</v>
      </c>
      <c r="H4113" t="s">
        <v>429</v>
      </c>
      <c r="I4113" t="s">
        <v>455</v>
      </c>
      <c r="J4113" t="s">
        <v>424</v>
      </c>
      <c r="L4113" t="s">
        <v>428</v>
      </c>
      <c r="M4113" t="s">
        <v>423</v>
      </c>
      <c r="N4113" t="s">
        <v>421</v>
      </c>
    </row>
    <row r="4114" spans="1:14" ht="15" customHeight="1" x14ac:dyDescent="0.25">
      <c r="A4114" s="82">
        <v>46389</v>
      </c>
      <c r="B4114" t="s">
        <v>426</v>
      </c>
      <c r="C4114" t="s">
        <v>425</v>
      </c>
      <c r="D4114" t="s">
        <v>430</v>
      </c>
      <c r="E4114" t="s">
        <v>427</v>
      </c>
      <c r="F4114" t="s">
        <v>455</v>
      </c>
      <c r="G4114" t="s">
        <v>421</v>
      </c>
      <c r="H4114" t="s">
        <v>429</v>
      </c>
      <c r="I4114" t="s">
        <v>428</v>
      </c>
      <c r="J4114" t="s">
        <v>424</v>
      </c>
      <c r="L4114" t="s">
        <v>428</v>
      </c>
      <c r="M4114" t="s">
        <v>423</v>
      </c>
      <c r="N4114" t="s">
        <v>421</v>
      </c>
    </row>
    <row r="4115" spans="1:14" ht="15" customHeight="1" x14ac:dyDescent="0.25">
      <c r="A4115" s="82">
        <v>46390</v>
      </c>
      <c r="B4115" t="s">
        <v>426</v>
      </c>
      <c r="C4115" t="s">
        <v>425</v>
      </c>
      <c r="D4115" t="s">
        <v>430</v>
      </c>
      <c r="E4115" t="s">
        <v>455</v>
      </c>
      <c r="F4115" t="s">
        <v>427</v>
      </c>
      <c r="G4115" t="s">
        <v>421</v>
      </c>
      <c r="H4115" t="s">
        <v>429</v>
      </c>
      <c r="I4115" t="s">
        <v>428</v>
      </c>
      <c r="J4115" t="s">
        <v>424</v>
      </c>
      <c r="L4115" t="s">
        <v>428</v>
      </c>
      <c r="M4115" t="s">
        <v>423</v>
      </c>
      <c r="N4115" t="s">
        <v>421</v>
      </c>
    </row>
    <row r="4116" spans="1:14" ht="15" customHeight="1" x14ac:dyDescent="0.25">
      <c r="A4116" s="82">
        <v>46391</v>
      </c>
      <c r="B4116" t="s">
        <v>426</v>
      </c>
      <c r="C4116" t="s">
        <v>425</v>
      </c>
      <c r="D4116" t="s">
        <v>430</v>
      </c>
      <c r="E4116" t="s">
        <v>421</v>
      </c>
      <c r="F4116" t="s">
        <v>455</v>
      </c>
      <c r="G4116" t="s">
        <v>427</v>
      </c>
      <c r="H4116" t="s">
        <v>429</v>
      </c>
      <c r="I4116" t="s">
        <v>428</v>
      </c>
      <c r="J4116" t="s">
        <v>424</v>
      </c>
      <c r="L4116" t="s">
        <v>428</v>
      </c>
      <c r="M4116" t="s">
        <v>423</v>
      </c>
      <c r="N4116" t="s">
        <v>421</v>
      </c>
    </row>
    <row r="4117" spans="1:14" ht="15" customHeight="1" x14ac:dyDescent="0.25">
      <c r="A4117" s="82">
        <v>46392</v>
      </c>
      <c r="B4117" t="s">
        <v>426</v>
      </c>
      <c r="C4117" t="s">
        <v>425</v>
      </c>
      <c r="D4117" t="s">
        <v>430</v>
      </c>
      <c r="E4117" t="s">
        <v>427</v>
      </c>
      <c r="F4117" t="s">
        <v>421</v>
      </c>
      <c r="G4117" t="s">
        <v>455</v>
      </c>
      <c r="H4117" t="s">
        <v>429</v>
      </c>
      <c r="I4117" t="s">
        <v>428</v>
      </c>
      <c r="J4117" t="s">
        <v>424</v>
      </c>
      <c r="L4117" t="s">
        <v>428</v>
      </c>
      <c r="M4117" t="s">
        <v>423</v>
      </c>
      <c r="N4117" t="s">
        <v>421</v>
      </c>
    </row>
    <row r="4118" spans="1:14" ht="15" customHeight="1" x14ac:dyDescent="0.25">
      <c r="A4118" s="82">
        <v>46393</v>
      </c>
      <c r="B4118" t="s">
        <v>426</v>
      </c>
      <c r="C4118" t="s">
        <v>425</v>
      </c>
      <c r="D4118" t="s">
        <v>430</v>
      </c>
      <c r="E4118" t="s">
        <v>455</v>
      </c>
      <c r="F4118" t="s">
        <v>421</v>
      </c>
      <c r="G4118" t="s">
        <v>427</v>
      </c>
      <c r="H4118" t="s">
        <v>429</v>
      </c>
      <c r="I4118" t="s">
        <v>428</v>
      </c>
      <c r="J4118" t="s">
        <v>424</v>
      </c>
      <c r="L4118" t="s">
        <v>424</v>
      </c>
      <c r="M4118" t="s">
        <v>423</v>
      </c>
      <c r="N4118" t="s">
        <v>421</v>
      </c>
    </row>
    <row r="4119" spans="1:14" ht="15" customHeight="1" x14ac:dyDescent="0.25">
      <c r="A4119" s="82">
        <v>46394</v>
      </c>
      <c r="B4119" t="s">
        <v>426</v>
      </c>
      <c r="C4119" t="s">
        <v>425</v>
      </c>
      <c r="D4119" t="s">
        <v>430</v>
      </c>
      <c r="E4119" t="s">
        <v>429</v>
      </c>
      <c r="F4119" t="s">
        <v>427</v>
      </c>
      <c r="G4119" t="s">
        <v>455</v>
      </c>
      <c r="H4119" t="s">
        <v>429</v>
      </c>
      <c r="I4119" t="s">
        <v>428</v>
      </c>
      <c r="J4119" t="s">
        <v>424</v>
      </c>
      <c r="L4119" t="s">
        <v>424</v>
      </c>
      <c r="M4119" t="s">
        <v>423</v>
      </c>
      <c r="N4119" t="s">
        <v>421</v>
      </c>
    </row>
    <row r="4120" spans="1:14" ht="15" customHeight="1" x14ac:dyDescent="0.25">
      <c r="A4120" s="82">
        <v>46395</v>
      </c>
      <c r="B4120" t="s">
        <v>427</v>
      </c>
      <c r="C4120" t="s">
        <v>425</v>
      </c>
      <c r="D4120" t="s">
        <v>421</v>
      </c>
      <c r="E4120" t="s">
        <v>429</v>
      </c>
      <c r="F4120" t="s">
        <v>455</v>
      </c>
      <c r="G4120" t="s">
        <v>424</v>
      </c>
      <c r="H4120" t="s">
        <v>426</v>
      </c>
      <c r="J4120" t="s">
        <v>430</v>
      </c>
      <c r="L4120" t="s">
        <v>421</v>
      </c>
      <c r="M4120" t="s">
        <v>424</v>
      </c>
      <c r="N4120" t="s">
        <v>423</v>
      </c>
    </row>
    <row r="4121" spans="1:14" ht="15" customHeight="1" x14ac:dyDescent="0.25">
      <c r="A4121" s="82">
        <v>46396</v>
      </c>
      <c r="B4121" t="s">
        <v>455</v>
      </c>
      <c r="C4121" t="s">
        <v>421</v>
      </c>
      <c r="D4121" t="s">
        <v>427</v>
      </c>
      <c r="E4121" t="s">
        <v>429</v>
      </c>
      <c r="F4121" t="s">
        <v>428</v>
      </c>
      <c r="G4121" t="s">
        <v>424</v>
      </c>
      <c r="H4121" t="s">
        <v>426</v>
      </c>
      <c r="J4121" t="s">
        <v>430</v>
      </c>
      <c r="L4121" t="s">
        <v>421</v>
      </c>
      <c r="M4121" t="s">
        <v>424</v>
      </c>
      <c r="N4121" t="s">
        <v>423</v>
      </c>
    </row>
    <row r="4122" spans="1:14" ht="15" customHeight="1" x14ac:dyDescent="0.25">
      <c r="A4122" s="82">
        <v>46397</v>
      </c>
      <c r="B4122" t="s">
        <v>427</v>
      </c>
      <c r="C4122" t="s">
        <v>421</v>
      </c>
      <c r="D4122" t="s">
        <v>455</v>
      </c>
      <c r="E4122" t="s">
        <v>429</v>
      </c>
      <c r="F4122" t="s">
        <v>428</v>
      </c>
      <c r="G4122" t="s">
        <v>424</v>
      </c>
      <c r="H4122" t="s">
        <v>426</v>
      </c>
      <c r="J4122" t="s">
        <v>430</v>
      </c>
      <c r="L4122" t="s">
        <v>421</v>
      </c>
      <c r="M4122" t="s">
        <v>424</v>
      </c>
      <c r="N4122" t="s">
        <v>423</v>
      </c>
    </row>
    <row r="4123" spans="1:14" ht="15" customHeight="1" x14ac:dyDescent="0.25">
      <c r="A4123" s="82">
        <v>46398</v>
      </c>
      <c r="B4123" t="s">
        <v>455</v>
      </c>
      <c r="C4123" t="s">
        <v>427</v>
      </c>
      <c r="D4123" t="s">
        <v>421</v>
      </c>
      <c r="E4123" t="s">
        <v>429</v>
      </c>
      <c r="F4123" t="s">
        <v>428</v>
      </c>
      <c r="G4123" t="s">
        <v>424</v>
      </c>
      <c r="H4123" t="s">
        <v>426</v>
      </c>
      <c r="J4123" t="s">
        <v>430</v>
      </c>
      <c r="L4123" t="s">
        <v>421</v>
      </c>
      <c r="M4123" t="s">
        <v>424</v>
      </c>
      <c r="N4123" t="s">
        <v>423</v>
      </c>
    </row>
    <row r="4124" spans="1:14" ht="15" customHeight="1" x14ac:dyDescent="0.25">
      <c r="A4124" s="82">
        <v>46399</v>
      </c>
      <c r="B4124" t="s">
        <v>421</v>
      </c>
      <c r="C4124" t="s">
        <v>455</v>
      </c>
      <c r="D4124" t="s">
        <v>427</v>
      </c>
      <c r="E4124" t="s">
        <v>429</v>
      </c>
      <c r="F4124" t="s">
        <v>428</v>
      </c>
      <c r="G4124" t="s">
        <v>424</v>
      </c>
      <c r="H4124" t="s">
        <v>426</v>
      </c>
      <c r="J4124" t="s">
        <v>430</v>
      </c>
      <c r="L4124" t="s">
        <v>421</v>
      </c>
      <c r="M4124" t="s">
        <v>424</v>
      </c>
      <c r="N4124" t="s">
        <v>423</v>
      </c>
    </row>
    <row r="4125" spans="1:14" ht="15" customHeight="1" x14ac:dyDescent="0.25">
      <c r="A4125" s="82">
        <v>46400</v>
      </c>
      <c r="B4125" t="s">
        <v>421</v>
      </c>
      <c r="C4125" t="s">
        <v>427</v>
      </c>
      <c r="D4125" t="s">
        <v>455</v>
      </c>
      <c r="E4125" t="s">
        <v>429</v>
      </c>
      <c r="F4125" t="s">
        <v>428</v>
      </c>
      <c r="G4125" t="s">
        <v>424</v>
      </c>
      <c r="H4125" t="s">
        <v>426</v>
      </c>
      <c r="J4125" t="s">
        <v>430</v>
      </c>
      <c r="L4125" t="s">
        <v>421</v>
      </c>
      <c r="M4125" t="s">
        <v>424</v>
      </c>
      <c r="N4125" t="s">
        <v>423</v>
      </c>
    </row>
    <row r="4126" spans="1:14" ht="15" customHeight="1" x14ac:dyDescent="0.25">
      <c r="A4126" s="82">
        <v>46401</v>
      </c>
      <c r="B4126" t="s">
        <v>427</v>
      </c>
      <c r="C4126" t="s">
        <v>455</v>
      </c>
      <c r="D4126" t="s">
        <v>429</v>
      </c>
      <c r="E4126" t="s">
        <v>429</v>
      </c>
      <c r="F4126" t="s">
        <v>428</v>
      </c>
      <c r="G4126" t="s">
        <v>424</v>
      </c>
      <c r="H4126" t="s">
        <v>426</v>
      </c>
      <c r="J4126" t="s">
        <v>430</v>
      </c>
      <c r="L4126" t="s">
        <v>421</v>
      </c>
      <c r="M4126" t="s">
        <v>424</v>
      </c>
      <c r="N4126" t="s">
        <v>423</v>
      </c>
    </row>
    <row r="4127" spans="1:14" ht="15" customHeight="1" x14ac:dyDescent="0.25">
      <c r="A4127" s="82">
        <v>46402</v>
      </c>
      <c r="B4127" t="s">
        <v>455</v>
      </c>
      <c r="C4127" t="s">
        <v>424</v>
      </c>
      <c r="D4127" t="s">
        <v>429</v>
      </c>
      <c r="E4127" t="s">
        <v>426</v>
      </c>
      <c r="G4127" t="s">
        <v>430</v>
      </c>
      <c r="H4127" t="s">
        <v>427</v>
      </c>
      <c r="J4127" t="s">
        <v>421</v>
      </c>
      <c r="L4127" t="s">
        <v>423</v>
      </c>
      <c r="M4127" t="s">
        <v>421</v>
      </c>
      <c r="N4127" t="s">
        <v>424</v>
      </c>
    </row>
    <row r="4128" spans="1:14" ht="15" customHeight="1" x14ac:dyDescent="0.25">
      <c r="A4128" s="82">
        <v>46403</v>
      </c>
      <c r="B4128" t="s">
        <v>428</v>
      </c>
      <c r="C4128" t="s">
        <v>424</v>
      </c>
      <c r="D4128" t="s">
        <v>429</v>
      </c>
      <c r="E4128" t="s">
        <v>426</v>
      </c>
      <c r="G4128" t="s">
        <v>430</v>
      </c>
      <c r="H4128" t="s">
        <v>455</v>
      </c>
      <c r="J4128" t="s">
        <v>427</v>
      </c>
      <c r="L4128" t="s">
        <v>423</v>
      </c>
      <c r="M4128" t="s">
        <v>421</v>
      </c>
      <c r="N4128" t="s">
        <v>424</v>
      </c>
    </row>
    <row r="4129" spans="1:14" ht="15" customHeight="1" x14ac:dyDescent="0.25">
      <c r="A4129" s="82">
        <v>46404</v>
      </c>
      <c r="B4129" t="s">
        <v>428</v>
      </c>
      <c r="C4129" t="s">
        <v>424</v>
      </c>
      <c r="D4129" t="s">
        <v>429</v>
      </c>
      <c r="E4129" t="s">
        <v>426</v>
      </c>
      <c r="G4129" t="s">
        <v>430</v>
      </c>
      <c r="H4129" t="s">
        <v>427</v>
      </c>
      <c r="J4129" t="s">
        <v>455</v>
      </c>
      <c r="L4129" t="s">
        <v>423</v>
      </c>
      <c r="M4129" t="s">
        <v>421</v>
      </c>
      <c r="N4129" t="s">
        <v>424</v>
      </c>
    </row>
    <row r="4130" spans="1:14" ht="15" customHeight="1" x14ac:dyDescent="0.25">
      <c r="A4130" s="82">
        <v>46405</v>
      </c>
      <c r="B4130" t="s">
        <v>428</v>
      </c>
      <c r="C4130" t="s">
        <v>424</v>
      </c>
      <c r="D4130" t="s">
        <v>429</v>
      </c>
      <c r="E4130" t="s">
        <v>426</v>
      </c>
      <c r="G4130" t="s">
        <v>430</v>
      </c>
      <c r="H4130" t="s">
        <v>455</v>
      </c>
      <c r="J4130" t="s">
        <v>421</v>
      </c>
      <c r="L4130" t="s">
        <v>423</v>
      </c>
      <c r="M4130" t="s">
        <v>421</v>
      </c>
      <c r="N4130" t="s">
        <v>424</v>
      </c>
    </row>
    <row r="4131" spans="1:14" ht="15" customHeight="1" x14ac:dyDescent="0.25">
      <c r="A4131" s="82">
        <v>46406</v>
      </c>
      <c r="B4131" t="s">
        <v>428</v>
      </c>
      <c r="C4131" t="s">
        <v>424</v>
      </c>
      <c r="D4131" t="s">
        <v>429</v>
      </c>
      <c r="E4131" t="s">
        <v>426</v>
      </c>
      <c r="G4131" t="s">
        <v>430</v>
      </c>
      <c r="H4131" t="s">
        <v>421</v>
      </c>
      <c r="J4131" t="s">
        <v>427</v>
      </c>
      <c r="L4131" t="s">
        <v>423</v>
      </c>
      <c r="M4131" t="s">
        <v>421</v>
      </c>
      <c r="N4131" t="s">
        <v>424</v>
      </c>
    </row>
    <row r="4132" spans="1:14" ht="15" customHeight="1" x14ac:dyDescent="0.25">
      <c r="A4132" s="82">
        <v>46407</v>
      </c>
      <c r="B4132" t="s">
        <v>428</v>
      </c>
      <c r="C4132" t="s">
        <v>424</v>
      </c>
      <c r="D4132" t="s">
        <v>429</v>
      </c>
      <c r="E4132" t="s">
        <v>426</v>
      </c>
      <c r="G4132" t="s">
        <v>430</v>
      </c>
      <c r="H4132" t="s">
        <v>421</v>
      </c>
      <c r="J4132" t="s">
        <v>455</v>
      </c>
      <c r="L4132" t="s">
        <v>423</v>
      </c>
      <c r="M4132" t="s">
        <v>421</v>
      </c>
      <c r="N4132" t="s">
        <v>424</v>
      </c>
    </row>
    <row r="4133" spans="1:14" ht="15" customHeight="1" x14ac:dyDescent="0.25">
      <c r="A4133" s="82">
        <v>46408</v>
      </c>
      <c r="B4133" t="s">
        <v>428</v>
      </c>
      <c r="C4133" t="s">
        <v>424</v>
      </c>
      <c r="D4133" t="s">
        <v>429</v>
      </c>
      <c r="E4133" t="s">
        <v>426</v>
      </c>
      <c r="G4133" t="s">
        <v>430</v>
      </c>
      <c r="H4133" t="s">
        <v>427</v>
      </c>
      <c r="J4133" t="s">
        <v>429</v>
      </c>
      <c r="L4133" t="s">
        <v>423</v>
      </c>
      <c r="M4133" t="s">
        <v>421</v>
      </c>
      <c r="N4133" t="s">
        <v>424</v>
      </c>
    </row>
    <row r="4134" spans="1:14" ht="15" customHeight="1" x14ac:dyDescent="0.25">
      <c r="A4134" s="82">
        <v>46409</v>
      </c>
      <c r="C4134" t="s">
        <v>430</v>
      </c>
      <c r="D4134" t="s">
        <v>426</v>
      </c>
      <c r="E4134" t="s">
        <v>427</v>
      </c>
      <c r="G4134" t="s">
        <v>421</v>
      </c>
      <c r="H4134" t="s">
        <v>455</v>
      </c>
      <c r="J4134" t="s">
        <v>429</v>
      </c>
      <c r="L4134" t="s">
        <v>424</v>
      </c>
      <c r="M4134" t="s">
        <v>423</v>
      </c>
      <c r="N4134" t="s">
        <v>421</v>
      </c>
    </row>
    <row r="4135" spans="1:14" ht="15" customHeight="1" x14ac:dyDescent="0.25">
      <c r="A4135" s="82">
        <v>46410</v>
      </c>
      <c r="C4135" t="s">
        <v>430</v>
      </c>
      <c r="D4135" t="s">
        <v>426</v>
      </c>
      <c r="E4135" t="s">
        <v>455</v>
      </c>
      <c r="G4135" t="s">
        <v>427</v>
      </c>
      <c r="H4135" t="s">
        <v>428</v>
      </c>
      <c r="J4135" t="s">
        <v>429</v>
      </c>
      <c r="L4135" t="s">
        <v>424</v>
      </c>
      <c r="M4135" t="s">
        <v>423</v>
      </c>
      <c r="N4135" t="s">
        <v>421</v>
      </c>
    </row>
    <row r="4136" spans="1:14" ht="15" customHeight="1" x14ac:dyDescent="0.25">
      <c r="A4136" s="82">
        <v>46411</v>
      </c>
      <c r="C4136" t="s">
        <v>430</v>
      </c>
      <c r="D4136" t="s">
        <v>426</v>
      </c>
      <c r="E4136" t="s">
        <v>427</v>
      </c>
      <c r="G4136" t="s">
        <v>455</v>
      </c>
      <c r="H4136" t="s">
        <v>428</v>
      </c>
      <c r="J4136" t="s">
        <v>429</v>
      </c>
      <c r="L4136" t="s">
        <v>424</v>
      </c>
      <c r="M4136" t="s">
        <v>423</v>
      </c>
      <c r="N4136" t="s">
        <v>421</v>
      </c>
    </row>
    <row r="4137" spans="1:14" ht="15" customHeight="1" x14ac:dyDescent="0.25">
      <c r="A4137" s="82">
        <v>46412</v>
      </c>
      <c r="C4137" t="s">
        <v>430</v>
      </c>
      <c r="D4137" t="s">
        <v>426</v>
      </c>
      <c r="E4137" t="s">
        <v>455</v>
      </c>
      <c r="G4137" t="s">
        <v>421</v>
      </c>
      <c r="H4137" t="s">
        <v>428</v>
      </c>
      <c r="J4137" t="s">
        <v>429</v>
      </c>
      <c r="L4137" t="s">
        <v>424</v>
      </c>
      <c r="M4137" t="s">
        <v>423</v>
      </c>
      <c r="N4137" t="s">
        <v>421</v>
      </c>
    </row>
    <row r="4138" spans="1:14" ht="15" customHeight="1" x14ac:dyDescent="0.25">
      <c r="A4138" s="82">
        <v>46413</v>
      </c>
      <c r="C4138" t="s">
        <v>430</v>
      </c>
      <c r="D4138" t="s">
        <v>426</v>
      </c>
      <c r="E4138" t="s">
        <v>421</v>
      </c>
      <c r="G4138" t="s">
        <v>427</v>
      </c>
      <c r="H4138" t="s">
        <v>428</v>
      </c>
      <c r="J4138" t="s">
        <v>429</v>
      </c>
      <c r="L4138" t="s">
        <v>424</v>
      </c>
      <c r="M4138" t="s">
        <v>423</v>
      </c>
      <c r="N4138" t="s">
        <v>421</v>
      </c>
    </row>
    <row r="4139" spans="1:14" ht="15" customHeight="1" x14ac:dyDescent="0.25">
      <c r="A4139" s="82">
        <v>46414</v>
      </c>
      <c r="C4139" t="s">
        <v>430</v>
      </c>
      <c r="D4139" t="s">
        <v>426</v>
      </c>
      <c r="E4139" t="s">
        <v>421</v>
      </c>
      <c r="G4139" t="s">
        <v>455</v>
      </c>
      <c r="H4139" t="s">
        <v>428</v>
      </c>
      <c r="J4139" t="s">
        <v>429</v>
      </c>
      <c r="L4139" t="s">
        <v>424</v>
      </c>
      <c r="M4139" t="s">
        <v>423</v>
      </c>
      <c r="N4139" t="s">
        <v>421</v>
      </c>
    </row>
    <row r="4140" spans="1:14" ht="15" customHeight="1" x14ac:dyDescent="0.25">
      <c r="A4140" s="82">
        <v>46415</v>
      </c>
      <c r="C4140" t="s">
        <v>430</v>
      </c>
      <c r="D4140" t="s">
        <v>426</v>
      </c>
      <c r="E4140" t="s">
        <v>427</v>
      </c>
      <c r="G4140" t="s">
        <v>429</v>
      </c>
      <c r="H4140" t="s">
        <v>428</v>
      </c>
      <c r="J4140" t="s">
        <v>429</v>
      </c>
      <c r="L4140" t="s">
        <v>424</v>
      </c>
      <c r="M4140" t="s">
        <v>423</v>
      </c>
      <c r="N4140" t="s">
        <v>421</v>
      </c>
    </row>
    <row r="4141" spans="1:14" ht="15" customHeight="1" x14ac:dyDescent="0.25">
      <c r="A4141" s="82">
        <v>46416</v>
      </c>
      <c r="C4141" t="s">
        <v>421</v>
      </c>
      <c r="D4141" t="s">
        <v>427</v>
      </c>
      <c r="E4141" t="s">
        <v>455</v>
      </c>
      <c r="G4141" t="s">
        <v>429</v>
      </c>
      <c r="J4141" t="s">
        <v>426</v>
      </c>
      <c r="L4141" t="s">
        <v>421</v>
      </c>
      <c r="M4141" t="s">
        <v>428</v>
      </c>
      <c r="N4141" t="s">
        <v>423</v>
      </c>
    </row>
    <row r="4142" spans="1:14" ht="15" customHeight="1" x14ac:dyDescent="0.25">
      <c r="A4142" s="82">
        <v>46417</v>
      </c>
      <c r="C4142" t="s">
        <v>427</v>
      </c>
      <c r="D4142" t="s">
        <v>455</v>
      </c>
      <c r="E4142" t="s">
        <v>428</v>
      </c>
      <c r="G4142" t="s">
        <v>429</v>
      </c>
      <c r="J4142" t="s">
        <v>426</v>
      </c>
      <c r="L4142" t="s">
        <v>421</v>
      </c>
      <c r="M4142" t="s">
        <v>428</v>
      </c>
      <c r="N4142" t="s">
        <v>423</v>
      </c>
    </row>
    <row r="4143" spans="1:14" ht="15" customHeight="1" x14ac:dyDescent="0.25">
      <c r="A4143" s="82">
        <v>46418</v>
      </c>
      <c r="C4143" t="s">
        <v>455</v>
      </c>
      <c r="D4143" t="s">
        <v>427</v>
      </c>
      <c r="E4143" t="s">
        <v>428</v>
      </c>
      <c r="G4143" t="s">
        <v>429</v>
      </c>
      <c r="J4143" t="s">
        <v>426</v>
      </c>
      <c r="L4143" t="s">
        <v>421</v>
      </c>
      <c r="M4143" t="s">
        <v>428</v>
      </c>
      <c r="N4143" t="s">
        <v>423</v>
      </c>
    </row>
    <row r="4144" spans="1:14" ht="15" customHeight="1" x14ac:dyDescent="0.25">
      <c r="A4144" s="82">
        <v>46419</v>
      </c>
      <c r="C4144" t="s">
        <v>421</v>
      </c>
      <c r="D4144" t="s">
        <v>455</v>
      </c>
      <c r="E4144" t="s">
        <v>428</v>
      </c>
      <c r="G4144" t="s">
        <v>429</v>
      </c>
      <c r="J4144" t="s">
        <v>426</v>
      </c>
      <c r="L4144" t="s">
        <v>421</v>
      </c>
      <c r="M4144" t="s">
        <v>428</v>
      </c>
      <c r="N4144" t="s">
        <v>423</v>
      </c>
    </row>
    <row r="4145" spans="1:14" ht="15" customHeight="1" x14ac:dyDescent="0.25">
      <c r="A4145" s="82">
        <v>46420</v>
      </c>
      <c r="C4145" t="s">
        <v>427</v>
      </c>
      <c r="D4145" t="s">
        <v>421</v>
      </c>
      <c r="E4145" t="s">
        <v>428</v>
      </c>
      <c r="G4145" t="s">
        <v>429</v>
      </c>
      <c r="J4145" t="s">
        <v>426</v>
      </c>
      <c r="L4145" t="s">
        <v>421</v>
      </c>
      <c r="M4145" t="s">
        <v>428</v>
      </c>
      <c r="N4145" t="s">
        <v>423</v>
      </c>
    </row>
    <row r="4146" spans="1:14" ht="15" customHeight="1" x14ac:dyDescent="0.25">
      <c r="A4146" s="82">
        <v>46421</v>
      </c>
      <c r="C4146" t="s">
        <v>455</v>
      </c>
      <c r="D4146" t="s">
        <v>421</v>
      </c>
      <c r="E4146" t="s">
        <v>428</v>
      </c>
      <c r="G4146" t="s">
        <v>429</v>
      </c>
      <c r="J4146" t="s">
        <v>426</v>
      </c>
      <c r="L4146" t="s">
        <v>421</v>
      </c>
      <c r="M4146" t="s">
        <v>424</v>
      </c>
      <c r="N4146" t="s">
        <v>423</v>
      </c>
    </row>
    <row r="4147" spans="1:14" ht="15" customHeight="1" x14ac:dyDescent="0.25">
      <c r="A4147" s="82">
        <v>46422</v>
      </c>
      <c r="C4147" t="s">
        <v>429</v>
      </c>
      <c r="D4147" t="s">
        <v>427</v>
      </c>
      <c r="E4147" t="s">
        <v>428</v>
      </c>
      <c r="G4147" t="s">
        <v>429</v>
      </c>
      <c r="J4147" t="s">
        <v>426</v>
      </c>
      <c r="L4147" t="s">
        <v>421</v>
      </c>
      <c r="M4147" t="s">
        <v>424</v>
      </c>
      <c r="N4147" t="s">
        <v>423</v>
      </c>
    </row>
    <row r="4148" spans="1:14" ht="15" customHeight="1" x14ac:dyDescent="0.25">
      <c r="A4148" s="82">
        <v>46423</v>
      </c>
      <c r="C4148" t="s">
        <v>429</v>
      </c>
      <c r="D4148" t="s">
        <v>455</v>
      </c>
      <c r="G4148" t="s">
        <v>426</v>
      </c>
      <c r="J4148" t="s">
        <v>427</v>
      </c>
      <c r="L4148" t="s">
        <v>423</v>
      </c>
      <c r="M4148" t="s">
        <v>421</v>
      </c>
      <c r="N4148" t="s">
        <v>424</v>
      </c>
    </row>
    <row r="4149" spans="1:14" ht="15" customHeight="1" x14ac:dyDescent="0.25">
      <c r="A4149" s="82">
        <v>46424</v>
      </c>
      <c r="C4149" t="s">
        <v>429</v>
      </c>
      <c r="D4149" t="s">
        <v>428</v>
      </c>
      <c r="G4149" t="s">
        <v>426</v>
      </c>
      <c r="J4149" t="s">
        <v>455</v>
      </c>
      <c r="L4149" t="s">
        <v>423</v>
      </c>
      <c r="M4149" t="s">
        <v>421</v>
      </c>
      <c r="N4149" t="s">
        <v>424</v>
      </c>
    </row>
    <row r="4150" spans="1:14" ht="15" customHeight="1" x14ac:dyDescent="0.25">
      <c r="A4150" s="82">
        <v>46425</v>
      </c>
      <c r="C4150" t="s">
        <v>429</v>
      </c>
      <c r="D4150" t="s">
        <v>428</v>
      </c>
      <c r="G4150" t="s">
        <v>426</v>
      </c>
      <c r="J4150" t="s">
        <v>427</v>
      </c>
      <c r="L4150" t="s">
        <v>423</v>
      </c>
      <c r="M4150" t="s">
        <v>421</v>
      </c>
      <c r="N4150" t="s">
        <v>424</v>
      </c>
    </row>
    <row r="4151" spans="1:14" ht="15" customHeight="1" x14ac:dyDescent="0.25">
      <c r="A4151" s="82">
        <v>46426</v>
      </c>
      <c r="C4151" t="s">
        <v>429</v>
      </c>
      <c r="D4151" t="s">
        <v>428</v>
      </c>
      <c r="G4151" t="s">
        <v>426</v>
      </c>
      <c r="J4151" t="s">
        <v>455</v>
      </c>
      <c r="L4151" t="s">
        <v>423</v>
      </c>
      <c r="M4151" t="s">
        <v>421</v>
      </c>
      <c r="N4151" t="s">
        <v>424</v>
      </c>
    </row>
    <row r="4152" spans="1:14" ht="15" customHeight="1" x14ac:dyDescent="0.25">
      <c r="A4152" s="82">
        <v>46427</v>
      </c>
      <c r="C4152" t="s">
        <v>429</v>
      </c>
      <c r="D4152" t="s">
        <v>428</v>
      </c>
      <c r="G4152" t="s">
        <v>426</v>
      </c>
      <c r="J4152" t="s">
        <v>421</v>
      </c>
      <c r="L4152" t="s">
        <v>423</v>
      </c>
      <c r="M4152" t="s">
        <v>421</v>
      </c>
      <c r="N4152" t="s">
        <v>424</v>
      </c>
    </row>
    <row r="4153" spans="1:14" ht="15" customHeight="1" x14ac:dyDescent="0.25">
      <c r="A4153" s="82">
        <v>46428</v>
      </c>
      <c r="C4153" t="s">
        <v>429</v>
      </c>
      <c r="D4153" t="s">
        <v>428</v>
      </c>
      <c r="G4153" t="s">
        <v>426</v>
      </c>
      <c r="J4153" t="s">
        <v>421</v>
      </c>
      <c r="L4153" t="s">
        <v>423</v>
      </c>
      <c r="M4153" t="s">
        <v>421</v>
      </c>
      <c r="N4153" t="s">
        <v>424</v>
      </c>
    </row>
    <row r="4154" spans="1:14" ht="15" customHeight="1" x14ac:dyDescent="0.25">
      <c r="A4154" s="82">
        <v>46429</v>
      </c>
      <c r="C4154" t="s">
        <v>429</v>
      </c>
      <c r="D4154" t="s">
        <v>428</v>
      </c>
      <c r="G4154" t="s">
        <v>426</v>
      </c>
      <c r="J4154" t="s">
        <v>427</v>
      </c>
      <c r="L4154" t="s">
        <v>423</v>
      </c>
      <c r="M4154" t="s">
        <v>421</v>
      </c>
      <c r="N4154" t="s">
        <v>424</v>
      </c>
    </row>
    <row r="4155" spans="1:14" ht="15" customHeight="1" x14ac:dyDescent="0.25">
      <c r="A4155" s="82">
        <v>46430</v>
      </c>
      <c r="C4155" t="s">
        <v>426</v>
      </c>
      <c r="G4155" t="s">
        <v>427</v>
      </c>
      <c r="J4155" t="s">
        <v>455</v>
      </c>
      <c r="L4155" t="s">
        <v>424</v>
      </c>
      <c r="M4155" t="s">
        <v>423</v>
      </c>
      <c r="N4155" t="s">
        <v>421</v>
      </c>
    </row>
    <row r="4156" spans="1:14" ht="15" customHeight="1" x14ac:dyDescent="0.25">
      <c r="A4156" s="82">
        <v>46431</v>
      </c>
      <c r="C4156" t="s">
        <v>426</v>
      </c>
      <c r="G4156" t="s">
        <v>455</v>
      </c>
      <c r="J4156" t="s">
        <v>428</v>
      </c>
      <c r="L4156" t="s">
        <v>424</v>
      </c>
      <c r="M4156" t="s">
        <v>423</v>
      </c>
      <c r="N4156" t="s">
        <v>421</v>
      </c>
    </row>
    <row r="4157" spans="1:14" ht="15" customHeight="1" x14ac:dyDescent="0.25">
      <c r="A4157" s="82">
        <v>46432</v>
      </c>
      <c r="C4157" t="s">
        <v>426</v>
      </c>
      <c r="G4157" t="s">
        <v>427</v>
      </c>
      <c r="J4157" t="s">
        <v>428</v>
      </c>
      <c r="L4157" t="s">
        <v>424</v>
      </c>
      <c r="M4157" t="s">
        <v>423</v>
      </c>
      <c r="N4157" t="s">
        <v>421</v>
      </c>
    </row>
    <row r="4158" spans="1:14" ht="15" customHeight="1" x14ac:dyDescent="0.25">
      <c r="A4158" s="82">
        <v>46433</v>
      </c>
      <c r="C4158" t="s">
        <v>426</v>
      </c>
      <c r="G4158" t="s">
        <v>455</v>
      </c>
      <c r="J4158" t="s">
        <v>428</v>
      </c>
      <c r="L4158" t="s">
        <v>424</v>
      </c>
      <c r="M4158" t="s">
        <v>423</v>
      </c>
      <c r="N4158" t="s">
        <v>421</v>
      </c>
    </row>
    <row r="4159" spans="1:14" ht="15" customHeight="1" x14ac:dyDescent="0.25">
      <c r="A4159" s="82">
        <v>46434</v>
      </c>
      <c r="C4159" t="s">
        <v>426</v>
      </c>
      <c r="G4159" t="s">
        <v>421</v>
      </c>
      <c r="J4159" t="s">
        <v>428</v>
      </c>
      <c r="L4159" t="s">
        <v>424</v>
      </c>
      <c r="M4159" t="s">
        <v>423</v>
      </c>
      <c r="N4159" t="s">
        <v>421</v>
      </c>
    </row>
    <row r="4160" spans="1:14" ht="15" customHeight="1" x14ac:dyDescent="0.25">
      <c r="A4160" s="82">
        <v>46435</v>
      </c>
      <c r="C4160" t="s">
        <v>426</v>
      </c>
      <c r="G4160" t="s">
        <v>421</v>
      </c>
      <c r="J4160" t="s">
        <v>428</v>
      </c>
      <c r="L4160" t="s">
        <v>424</v>
      </c>
      <c r="M4160" t="s">
        <v>423</v>
      </c>
      <c r="N4160" t="s">
        <v>421</v>
      </c>
    </row>
    <row r="4161" spans="1:14" ht="15" customHeight="1" x14ac:dyDescent="0.25">
      <c r="A4161" s="82">
        <v>46436</v>
      </c>
      <c r="C4161" t="s">
        <v>426</v>
      </c>
      <c r="G4161" t="s">
        <v>427</v>
      </c>
      <c r="J4161" t="s">
        <v>428</v>
      </c>
      <c r="L4161" t="s">
        <v>424</v>
      </c>
      <c r="M4161" t="s">
        <v>423</v>
      </c>
      <c r="N4161" t="s">
        <v>421</v>
      </c>
    </row>
    <row r="4162" spans="1:14" ht="15" customHeight="1" x14ac:dyDescent="0.25">
      <c r="A4162" s="82">
        <v>46437</v>
      </c>
      <c r="C4162" t="s">
        <v>427</v>
      </c>
      <c r="G4162" t="s">
        <v>455</v>
      </c>
      <c r="L4162" t="s">
        <v>421</v>
      </c>
      <c r="M4162" t="s">
        <v>424</v>
      </c>
      <c r="N4162" t="s">
        <v>423</v>
      </c>
    </row>
    <row r="4163" spans="1:14" ht="15" customHeight="1" x14ac:dyDescent="0.25">
      <c r="A4163" s="82">
        <v>46438</v>
      </c>
      <c r="C4163" t="s">
        <v>455</v>
      </c>
      <c r="G4163" t="s">
        <v>428</v>
      </c>
      <c r="L4163" t="s">
        <v>421</v>
      </c>
      <c r="M4163" t="s">
        <v>424</v>
      </c>
      <c r="N4163" t="s">
        <v>423</v>
      </c>
    </row>
    <row r="4164" spans="1:14" ht="15" customHeight="1" x14ac:dyDescent="0.25">
      <c r="A4164" s="82">
        <v>46439</v>
      </c>
      <c r="C4164" t="s">
        <v>427</v>
      </c>
      <c r="G4164" t="s">
        <v>428</v>
      </c>
      <c r="L4164" t="s">
        <v>421</v>
      </c>
      <c r="M4164" t="s">
        <v>424</v>
      </c>
      <c r="N4164" t="s">
        <v>423</v>
      </c>
    </row>
    <row r="4165" spans="1:14" ht="15" customHeight="1" x14ac:dyDescent="0.25">
      <c r="A4165" s="82">
        <v>46440</v>
      </c>
      <c r="C4165" t="s">
        <v>455</v>
      </c>
      <c r="G4165" t="s">
        <v>428</v>
      </c>
      <c r="L4165" t="s">
        <v>421</v>
      </c>
      <c r="M4165" t="s">
        <v>424</v>
      </c>
      <c r="N4165" t="s">
        <v>423</v>
      </c>
    </row>
    <row r="4166" spans="1:14" ht="15" customHeight="1" x14ac:dyDescent="0.25">
      <c r="A4166" s="82">
        <v>46441</v>
      </c>
      <c r="C4166" t="s">
        <v>421</v>
      </c>
      <c r="G4166" t="s">
        <v>428</v>
      </c>
      <c r="L4166" t="s">
        <v>421</v>
      </c>
      <c r="M4166" t="s">
        <v>424</v>
      </c>
      <c r="N4166" t="s">
        <v>423</v>
      </c>
    </row>
    <row r="4167" spans="1:14" ht="15" customHeight="1" x14ac:dyDescent="0.25">
      <c r="A4167" s="82">
        <v>46442</v>
      </c>
      <c r="C4167" t="s">
        <v>421</v>
      </c>
      <c r="G4167" t="s">
        <v>428</v>
      </c>
      <c r="L4167" t="s">
        <v>421</v>
      </c>
      <c r="M4167" t="s">
        <v>424</v>
      </c>
      <c r="N4167" t="s">
        <v>423</v>
      </c>
    </row>
    <row r="4168" spans="1:14" ht="15" customHeight="1" x14ac:dyDescent="0.25">
      <c r="A4168" s="82">
        <v>46443</v>
      </c>
      <c r="C4168" t="s">
        <v>427</v>
      </c>
      <c r="G4168" t="s">
        <v>428</v>
      </c>
      <c r="L4168" t="s">
        <v>421</v>
      </c>
      <c r="M4168" t="s">
        <v>424</v>
      </c>
      <c r="N4168" t="s">
        <v>423</v>
      </c>
    </row>
    <row r="4169" spans="1:14" ht="15" customHeight="1" x14ac:dyDescent="0.25">
      <c r="A4169" s="82">
        <v>46444</v>
      </c>
      <c r="C4169" t="s">
        <v>455</v>
      </c>
      <c r="L4169" t="s">
        <v>423</v>
      </c>
      <c r="M4169" t="s">
        <v>421</v>
      </c>
    </row>
    <row r="4170" spans="1:14" ht="15" customHeight="1" x14ac:dyDescent="0.25">
      <c r="A4170" s="82">
        <v>46445</v>
      </c>
      <c r="C4170" t="s">
        <v>428</v>
      </c>
      <c r="L4170" t="s">
        <v>423</v>
      </c>
      <c r="M4170" t="s">
        <v>421</v>
      </c>
    </row>
    <row r="4171" spans="1:14" ht="15" customHeight="1" x14ac:dyDescent="0.25">
      <c r="A4171" s="82">
        <v>46446</v>
      </c>
      <c r="C4171" t="s">
        <v>428</v>
      </c>
      <c r="L4171" t="s">
        <v>423</v>
      </c>
      <c r="M4171" t="s">
        <v>421</v>
      </c>
    </row>
    <row r="4172" spans="1:14" ht="15" customHeight="1" x14ac:dyDescent="0.25">
      <c r="A4172" s="82">
        <v>46447</v>
      </c>
      <c r="C4172" t="s">
        <v>428</v>
      </c>
      <c r="L4172" t="s">
        <v>423</v>
      </c>
      <c r="M4172" t="s">
        <v>421</v>
      </c>
    </row>
    <row r="4173" spans="1:14" ht="15" customHeight="1" x14ac:dyDescent="0.25">
      <c r="A4173" s="82">
        <v>46448</v>
      </c>
      <c r="C4173" t="s">
        <v>428</v>
      </c>
      <c r="L4173" t="s">
        <v>423</v>
      </c>
      <c r="M4173" t="s">
        <v>421</v>
      </c>
    </row>
    <row r="4174" spans="1:14" ht="15" customHeight="1" x14ac:dyDescent="0.25">
      <c r="A4174" s="82">
        <v>46449</v>
      </c>
      <c r="C4174" t="s">
        <v>428</v>
      </c>
      <c r="L4174" t="s">
        <v>423</v>
      </c>
      <c r="M4174" t="s">
        <v>421</v>
      </c>
    </row>
    <row r="4175" spans="1:14" ht="15" customHeight="1" x14ac:dyDescent="0.25">
      <c r="A4175" s="82">
        <v>46450</v>
      </c>
      <c r="C4175" t="s">
        <v>428</v>
      </c>
      <c r="L4175" t="s">
        <v>423</v>
      </c>
      <c r="M4175" t="s">
        <v>421</v>
      </c>
    </row>
    <row r="4176" spans="1:14" ht="15" customHeight="1" x14ac:dyDescent="0.25">
      <c r="A4176" s="82">
        <v>46451</v>
      </c>
      <c r="L4176" t="s">
        <v>424</v>
      </c>
      <c r="M4176" t="s">
        <v>423</v>
      </c>
    </row>
    <row r="4177" spans="1:13" ht="15" customHeight="1" x14ac:dyDescent="0.25">
      <c r="A4177" s="82">
        <v>46452</v>
      </c>
      <c r="L4177" t="s">
        <v>424</v>
      </c>
      <c r="M4177" t="s">
        <v>423</v>
      </c>
    </row>
    <row r="4178" spans="1:13" ht="15" customHeight="1" x14ac:dyDescent="0.25">
      <c r="A4178" s="82">
        <v>46453</v>
      </c>
      <c r="L4178" t="s">
        <v>424</v>
      </c>
      <c r="M4178" t="s">
        <v>423</v>
      </c>
    </row>
    <row r="4179" spans="1:13" ht="15" customHeight="1" x14ac:dyDescent="0.25">
      <c r="A4179" s="82">
        <v>46454</v>
      </c>
      <c r="L4179" t="s">
        <v>424</v>
      </c>
      <c r="M4179" t="s">
        <v>423</v>
      </c>
    </row>
    <row r="4180" spans="1:13" ht="15" customHeight="1" x14ac:dyDescent="0.25">
      <c r="A4180" s="82">
        <v>46455</v>
      </c>
      <c r="L4180" t="s">
        <v>424</v>
      </c>
      <c r="M4180" t="s">
        <v>423</v>
      </c>
    </row>
    <row r="4181" spans="1:13" ht="15" customHeight="1" x14ac:dyDescent="0.25">
      <c r="A4181" s="82">
        <v>46456</v>
      </c>
      <c r="L4181" t="s">
        <v>424</v>
      </c>
      <c r="M4181" t="s">
        <v>423</v>
      </c>
    </row>
    <row r="4182" spans="1:13" ht="15" customHeight="1" x14ac:dyDescent="0.25">
      <c r="A4182" s="82">
        <v>46457</v>
      </c>
      <c r="L4182" t="s">
        <v>424</v>
      </c>
      <c r="M4182" t="s">
        <v>423</v>
      </c>
    </row>
    <row r="4183" spans="1:13" ht="15" customHeight="1" x14ac:dyDescent="0.25">
      <c r="A4183" s="82">
        <v>46458</v>
      </c>
      <c r="L4183" t="s">
        <v>421</v>
      </c>
      <c r="M4183" t="s">
        <v>424</v>
      </c>
    </row>
    <row r="4184" spans="1:13" ht="15" customHeight="1" x14ac:dyDescent="0.25">
      <c r="A4184" s="82">
        <v>46459</v>
      </c>
      <c r="L4184" t="s">
        <v>421</v>
      </c>
      <c r="M4184" t="s">
        <v>424</v>
      </c>
    </row>
    <row r="4185" spans="1:13" ht="15" customHeight="1" x14ac:dyDescent="0.25">
      <c r="A4185" s="82">
        <v>46460</v>
      </c>
      <c r="L4185" t="s">
        <v>421</v>
      </c>
      <c r="M4185" t="s">
        <v>424</v>
      </c>
    </row>
    <row r="4186" spans="1:13" ht="15" customHeight="1" x14ac:dyDescent="0.25">
      <c r="A4186" s="82">
        <v>46461</v>
      </c>
      <c r="L4186" t="s">
        <v>421</v>
      </c>
      <c r="M4186" t="s">
        <v>424</v>
      </c>
    </row>
    <row r="4187" spans="1:13" ht="15" customHeight="1" x14ac:dyDescent="0.25">
      <c r="A4187" s="82">
        <v>46462</v>
      </c>
      <c r="L4187" t="s">
        <v>421</v>
      </c>
      <c r="M4187" t="s">
        <v>424</v>
      </c>
    </row>
    <row r="4188" spans="1:13" ht="15" customHeight="1" x14ac:dyDescent="0.25">
      <c r="A4188" s="82">
        <v>46463</v>
      </c>
      <c r="L4188" t="s">
        <v>421</v>
      </c>
      <c r="M4188" t="s">
        <v>424</v>
      </c>
    </row>
    <row r="4189" spans="1:13" ht="15" customHeight="1" x14ac:dyDescent="0.25">
      <c r="A4189" s="82">
        <v>46464</v>
      </c>
      <c r="L4189" t="s">
        <v>421</v>
      </c>
      <c r="M4189" t="s">
        <v>424</v>
      </c>
    </row>
    <row r="4190" spans="1:13" ht="15" customHeight="1" x14ac:dyDescent="0.25">
      <c r="A4190" s="82">
        <v>46465</v>
      </c>
      <c r="L4190" t="s">
        <v>423</v>
      </c>
      <c r="M4190" t="s">
        <v>421</v>
      </c>
    </row>
    <row r="4191" spans="1:13" ht="15" customHeight="1" x14ac:dyDescent="0.25">
      <c r="A4191" s="82">
        <v>46466</v>
      </c>
      <c r="L4191" t="s">
        <v>423</v>
      </c>
      <c r="M4191" t="s">
        <v>421</v>
      </c>
    </row>
    <row r="4192" spans="1:13" ht="15" customHeight="1" x14ac:dyDescent="0.25">
      <c r="A4192" s="82">
        <v>46467</v>
      </c>
      <c r="L4192" t="s">
        <v>423</v>
      </c>
      <c r="M4192" t="s">
        <v>421</v>
      </c>
    </row>
    <row r="4193" spans="1:13" ht="15" customHeight="1" x14ac:dyDescent="0.25">
      <c r="A4193" s="82">
        <v>46468</v>
      </c>
      <c r="L4193" t="s">
        <v>423</v>
      </c>
      <c r="M4193" t="s">
        <v>421</v>
      </c>
    </row>
    <row r="4194" spans="1:13" ht="15" customHeight="1" x14ac:dyDescent="0.25">
      <c r="A4194" s="82">
        <v>46469</v>
      </c>
      <c r="L4194" t="s">
        <v>423</v>
      </c>
      <c r="M4194" t="s">
        <v>421</v>
      </c>
    </row>
    <row r="4195" spans="1:13" ht="15" customHeight="1" x14ac:dyDescent="0.25">
      <c r="A4195" s="82">
        <v>46470</v>
      </c>
      <c r="L4195" t="s">
        <v>423</v>
      </c>
      <c r="M4195" t="s">
        <v>421</v>
      </c>
    </row>
    <row r="4196" spans="1:13" ht="15" customHeight="1" x14ac:dyDescent="0.25">
      <c r="A4196" s="82">
        <v>46471</v>
      </c>
      <c r="L4196" t="s">
        <v>423</v>
      </c>
      <c r="M4196" t="s">
        <v>421</v>
      </c>
    </row>
    <row r="4197" spans="1:13" ht="15" customHeight="1" x14ac:dyDescent="0.25">
      <c r="A4197" s="82">
        <v>46472</v>
      </c>
      <c r="M4197" t="s">
        <v>423</v>
      </c>
    </row>
    <row r="4198" spans="1:13" ht="15" customHeight="1" x14ac:dyDescent="0.25">
      <c r="A4198" s="82">
        <v>46473</v>
      </c>
      <c r="M4198" t="s">
        <v>423</v>
      </c>
    </row>
    <row r="4199" spans="1:13" ht="15" customHeight="1" x14ac:dyDescent="0.25">
      <c r="A4199" s="82">
        <v>46474</v>
      </c>
      <c r="M4199" t="s">
        <v>423</v>
      </c>
    </row>
    <row r="4200" spans="1:13" ht="15" customHeight="1" x14ac:dyDescent="0.25">
      <c r="A4200" s="82">
        <v>46475</v>
      </c>
      <c r="M4200" t="s">
        <v>423</v>
      </c>
    </row>
    <row r="4201" spans="1:13" ht="15" customHeight="1" x14ac:dyDescent="0.25">
      <c r="A4201" s="82">
        <v>46476</v>
      </c>
      <c r="M4201" t="s">
        <v>423</v>
      </c>
    </row>
    <row r="4202" spans="1:13" ht="15" customHeight="1" x14ac:dyDescent="0.25">
      <c r="A4202" s="82">
        <v>46477</v>
      </c>
      <c r="M4202" t="s">
        <v>423</v>
      </c>
    </row>
    <row r="4203" spans="1:13" ht="15" customHeight="1" x14ac:dyDescent="0.25">
      <c r="A4203" s="82">
        <v>46478</v>
      </c>
      <c r="M4203" t="s">
        <v>423</v>
      </c>
    </row>
    <row r="4204" spans="1:13" ht="15" customHeight="1" x14ac:dyDescent="0.25">
      <c r="A4204" s="82">
        <v>46479</v>
      </c>
      <c r="M4204" t="s">
        <v>424</v>
      </c>
    </row>
    <row r="4205" spans="1:13" ht="15" customHeight="1" x14ac:dyDescent="0.25">
      <c r="A4205" s="82">
        <v>46480</v>
      </c>
      <c r="M4205" t="s">
        <v>424</v>
      </c>
    </row>
    <row r="4206" spans="1:13" ht="15" customHeight="1" x14ac:dyDescent="0.25">
      <c r="A4206" s="82">
        <v>46481</v>
      </c>
      <c r="M4206" t="s">
        <v>424</v>
      </c>
    </row>
    <row r="4207" spans="1:13" ht="15" customHeight="1" x14ac:dyDescent="0.25">
      <c r="A4207" s="82">
        <v>46482</v>
      </c>
      <c r="M4207" t="s">
        <v>424</v>
      </c>
    </row>
    <row r="4208" spans="1:13" ht="15" customHeight="1" x14ac:dyDescent="0.25">
      <c r="A4208" s="82">
        <v>46483</v>
      </c>
      <c r="M4208" t="s">
        <v>424</v>
      </c>
    </row>
    <row r="4209" spans="1:13" ht="15" customHeight="1" x14ac:dyDescent="0.25">
      <c r="A4209" s="82">
        <v>46484</v>
      </c>
      <c r="M4209" t="s">
        <v>424</v>
      </c>
    </row>
    <row r="4210" spans="1:13" ht="15" customHeight="1" x14ac:dyDescent="0.25">
      <c r="A4210" s="82">
        <v>46485</v>
      </c>
      <c r="M4210" t="s">
        <v>424</v>
      </c>
    </row>
    <row r="4211" spans="1:13" ht="15" customHeight="1" x14ac:dyDescent="0.25">
      <c r="A4211" s="82">
        <v>46486</v>
      </c>
      <c r="M4211" t="s">
        <v>421</v>
      </c>
    </row>
    <row r="4212" spans="1:13" ht="15" customHeight="1" x14ac:dyDescent="0.25">
      <c r="A4212" s="82">
        <v>46487</v>
      </c>
      <c r="M4212" t="s">
        <v>421</v>
      </c>
    </row>
    <row r="4213" spans="1:13" ht="15" customHeight="1" x14ac:dyDescent="0.25">
      <c r="A4213" s="82">
        <v>46488</v>
      </c>
      <c r="M4213" t="s">
        <v>421</v>
      </c>
    </row>
    <row r="4214" spans="1:13" ht="15" customHeight="1" x14ac:dyDescent="0.25">
      <c r="A4214" s="82">
        <v>46489</v>
      </c>
      <c r="M4214" t="s">
        <v>421</v>
      </c>
    </row>
    <row r="4215" spans="1:13" ht="15" customHeight="1" x14ac:dyDescent="0.25">
      <c r="A4215" s="82">
        <v>46490</v>
      </c>
      <c r="M4215" t="s">
        <v>421</v>
      </c>
    </row>
    <row r="4216" spans="1:13" ht="15" customHeight="1" x14ac:dyDescent="0.25">
      <c r="A4216" s="82">
        <v>46491</v>
      </c>
      <c r="M4216" t="s">
        <v>421</v>
      </c>
    </row>
    <row r="4217" spans="1:13" ht="15" customHeight="1" x14ac:dyDescent="0.25">
      <c r="A4217" s="82">
        <v>46492</v>
      </c>
      <c r="M4217" t="s">
        <v>421</v>
      </c>
    </row>
    <row r="4218" spans="1:13" ht="15" customHeight="1" x14ac:dyDescent="0.25">
      <c r="A4218" s="82">
        <v>46493</v>
      </c>
      <c r="M4218" t="s">
        <v>423</v>
      </c>
    </row>
    <row r="4219" spans="1:13" ht="15" customHeight="1" x14ac:dyDescent="0.25">
      <c r="A4219" s="82">
        <v>46494</v>
      </c>
      <c r="M4219" t="s">
        <v>423</v>
      </c>
    </row>
    <row r="4220" spans="1:13" ht="15" customHeight="1" x14ac:dyDescent="0.25">
      <c r="A4220" s="82">
        <v>46495</v>
      </c>
      <c r="M4220" t="s">
        <v>423</v>
      </c>
    </row>
    <row r="4221" spans="1:13" ht="15" customHeight="1" x14ac:dyDescent="0.25">
      <c r="A4221" s="82">
        <v>46496</v>
      </c>
      <c r="M4221" t="s">
        <v>423</v>
      </c>
    </row>
    <row r="4222" spans="1:13" ht="15" customHeight="1" x14ac:dyDescent="0.25">
      <c r="A4222" s="82">
        <v>46497</v>
      </c>
      <c r="M4222" t="s">
        <v>423</v>
      </c>
    </row>
    <row r="4223" spans="1:13" ht="15" customHeight="1" x14ac:dyDescent="0.25">
      <c r="A4223" s="82">
        <v>46498</v>
      </c>
      <c r="M4223" t="s">
        <v>423</v>
      </c>
    </row>
    <row r="4224" spans="1:13" ht="15" customHeight="1" x14ac:dyDescent="0.25">
      <c r="A4224" s="82">
        <v>46499</v>
      </c>
      <c r="M4224" t="s">
        <v>423</v>
      </c>
    </row>
    <row r="4225" spans="1:13" ht="15" customHeight="1" x14ac:dyDescent="0.25">
      <c r="A4225" s="82">
        <v>46500</v>
      </c>
      <c r="M4225" t="s">
        <v>428</v>
      </c>
    </row>
    <row r="4226" spans="1:13" ht="15" customHeight="1" x14ac:dyDescent="0.25">
      <c r="A4226" s="82">
        <v>46501</v>
      </c>
      <c r="M4226" t="s">
        <v>428</v>
      </c>
    </row>
    <row r="4227" spans="1:13" ht="15" customHeight="1" x14ac:dyDescent="0.25">
      <c r="A4227" s="82">
        <v>46502</v>
      </c>
      <c r="M4227" t="s">
        <v>428</v>
      </c>
    </row>
    <row r="4228" spans="1:13" ht="15" customHeight="1" x14ac:dyDescent="0.25">
      <c r="A4228" s="82">
        <v>46503</v>
      </c>
      <c r="M4228" t="s">
        <v>428</v>
      </c>
    </row>
    <row r="4229" spans="1:13" ht="15" customHeight="1" x14ac:dyDescent="0.25">
      <c r="A4229" s="82">
        <v>46504</v>
      </c>
      <c r="M4229" t="s">
        <v>428</v>
      </c>
    </row>
    <row r="4230" spans="1:13" ht="15" customHeight="1" x14ac:dyDescent="0.25">
      <c r="A4230" s="82">
        <v>46505</v>
      </c>
      <c r="M4230" t="s">
        <v>424</v>
      </c>
    </row>
    <row r="4231" spans="1:13" ht="15" customHeight="1" x14ac:dyDescent="0.25">
      <c r="A4231" s="82">
        <v>46506</v>
      </c>
      <c r="M4231" t="s">
        <v>424</v>
      </c>
    </row>
    <row r="4232" spans="1:13" ht="15" customHeight="1" x14ac:dyDescent="0.25">
      <c r="A4232" s="82">
        <v>46507</v>
      </c>
      <c r="M4232" t="s">
        <v>421</v>
      </c>
    </row>
    <row r="4233" spans="1:13" ht="15" customHeight="1" x14ac:dyDescent="0.25">
      <c r="A4233" s="82">
        <v>46508</v>
      </c>
      <c r="M4233" t="s">
        <v>421</v>
      </c>
    </row>
    <row r="4234" spans="1:13" ht="15" customHeight="1" x14ac:dyDescent="0.25">
      <c r="A4234" s="82">
        <v>46509</v>
      </c>
      <c r="M4234" t="s">
        <v>421</v>
      </c>
    </row>
    <row r="4235" spans="1:13" ht="15" customHeight="1" x14ac:dyDescent="0.25">
      <c r="A4235" s="82">
        <v>46510</v>
      </c>
      <c r="M4235" t="s">
        <v>421</v>
      </c>
    </row>
    <row r="4236" spans="1:13" ht="15" customHeight="1" x14ac:dyDescent="0.25">
      <c r="A4236" s="82">
        <v>46511</v>
      </c>
      <c r="M4236" t="s">
        <v>421</v>
      </c>
    </row>
    <row r="4237" spans="1:13" ht="15" customHeight="1" x14ac:dyDescent="0.25">
      <c r="A4237" s="82">
        <v>46512</v>
      </c>
      <c r="M4237" t="s">
        <v>421</v>
      </c>
    </row>
    <row r="4238" spans="1:13" ht="15" customHeight="1" x14ac:dyDescent="0.25">
      <c r="A4238" s="82">
        <v>46513</v>
      </c>
      <c r="M4238" t="s">
        <v>421</v>
      </c>
    </row>
    <row r="4239" spans="1:13" ht="15" customHeight="1" x14ac:dyDescent="0.25">
      <c r="A4239" s="82">
        <v>46514</v>
      </c>
      <c r="M4239" t="s">
        <v>423</v>
      </c>
    </row>
    <row r="4240" spans="1:13" ht="15" customHeight="1" x14ac:dyDescent="0.25">
      <c r="A4240" s="82">
        <v>46515</v>
      </c>
      <c r="M4240" t="s">
        <v>423</v>
      </c>
    </row>
    <row r="4241" spans="1:13" ht="15" customHeight="1" x14ac:dyDescent="0.25">
      <c r="A4241" s="82">
        <v>46516</v>
      </c>
      <c r="M4241" t="s">
        <v>423</v>
      </c>
    </row>
    <row r="4242" spans="1:13" ht="15" customHeight="1" x14ac:dyDescent="0.25">
      <c r="A4242" s="82">
        <v>46517</v>
      </c>
      <c r="M4242" t="s">
        <v>423</v>
      </c>
    </row>
    <row r="4243" spans="1:13" ht="15" customHeight="1" x14ac:dyDescent="0.25">
      <c r="A4243" s="82">
        <v>46518</v>
      </c>
      <c r="M4243" t="s">
        <v>423</v>
      </c>
    </row>
    <row r="4244" spans="1:13" ht="15" customHeight="1" x14ac:dyDescent="0.25">
      <c r="A4244" s="82">
        <v>46519</v>
      </c>
      <c r="M4244" t="s">
        <v>423</v>
      </c>
    </row>
    <row r="4245" spans="1:13" ht="15" customHeight="1" x14ac:dyDescent="0.25">
      <c r="A4245" s="82">
        <v>46520</v>
      </c>
      <c r="M4245" t="s">
        <v>423</v>
      </c>
    </row>
    <row r="4246" spans="1:13" ht="15" customHeight="1" x14ac:dyDescent="0.25">
      <c r="A4246" s="82">
        <v>46521</v>
      </c>
      <c r="M4246" t="s">
        <v>424</v>
      </c>
    </row>
    <row r="4247" spans="1:13" ht="15" customHeight="1" x14ac:dyDescent="0.25">
      <c r="A4247" s="82">
        <v>46522</v>
      </c>
      <c r="M4247" t="s">
        <v>424</v>
      </c>
    </row>
    <row r="4248" spans="1:13" ht="15" customHeight="1" x14ac:dyDescent="0.25">
      <c r="A4248" s="82">
        <v>46523</v>
      </c>
      <c r="M4248" t="s">
        <v>424</v>
      </c>
    </row>
    <row r="4249" spans="1:13" ht="15" customHeight="1" x14ac:dyDescent="0.25">
      <c r="A4249" s="82">
        <v>46524</v>
      </c>
      <c r="M4249" t="s">
        <v>424</v>
      </c>
    </row>
    <row r="4250" spans="1:13" ht="15" customHeight="1" x14ac:dyDescent="0.25">
      <c r="A4250" s="82">
        <v>46525</v>
      </c>
      <c r="M4250" t="s">
        <v>424</v>
      </c>
    </row>
    <row r="4251" spans="1:13" ht="15" customHeight="1" x14ac:dyDescent="0.25">
      <c r="A4251" s="82">
        <v>46526</v>
      </c>
      <c r="M4251" t="s">
        <v>424</v>
      </c>
    </row>
    <row r="4252" spans="1:13" ht="15" customHeight="1" x14ac:dyDescent="0.25">
      <c r="A4252" s="82">
        <v>46527</v>
      </c>
      <c r="M4252" t="s">
        <v>424</v>
      </c>
    </row>
    <row r="4253" spans="1:13" ht="15" customHeight="1" x14ac:dyDescent="0.25">
      <c r="A4253" s="82">
        <v>46528</v>
      </c>
      <c r="M4253" t="s">
        <v>421</v>
      </c>
    </row>
    <row r="4254" spans="1:13" ht="15" customHeight="1" x14ac:dyDescent="0.25">
      <c r="A4254" s="82">
        <v>46529</v>
      </c>
      <c r="M4254" t="s">
        <v>421</v>
      </c>
    </row>
    <row r="4255" spans="1:13" ht="15" customHeight="1" x14ac:dyDescent="0.25">
      <c r="A4255" s="82">
        <v>46530</v>
      </c>
      <c r="M4255" t="s">
        <v>421</v>
      </c>
    </row>
    <row r="4256" spans="1:13" ht="15" customHeight="1" x14ac:dyDescent="0.25">
      <c r="A4256" s="82">
        <v>46531</v>
      </c>
      <c r="M4256" t="s">
        <v>421</v>
      </c>
    </row>
    <row r="4257" spans="1:13" ht="15" customHeight="1" x14ac:dyDescent="0.25">
      <c r="A4257" s="82">
        <v>46532</v>
      </c>
      <c r="M4257" t="s">
        <v>421</v>
      </c>
    </row>
    <row r="4258" spans="1:13" ht="15" customHeight="1" x14ac:dyDescent="0.25">
      <c r="A4258" s="82">
        <v>46533</v>
      </c>
      <c r="M4258" t="s">
        <v>421</v>
      </c>
    </row>
    <row r="4259" spans="1:13" ht="15" customHeight="1" x14ac:dyDescent="0.25">
      <c r="A4259" s="82">
        <v>46534</v>
      </c>
      <c r="M4259" t="s">
        <v>421</v>
      </c>
    </row>
    <row r="4260" spans="1:13" ht="15" customHeight="1" x14ac:dyDescent="0.25">
      <c r="A4260" s="82">
        <v>46535</v>
      </c>
      <c r="M4260" t="s">
        <v>423</v>
      </c>
    </row>
    <row r="4261" spans="1:13" ht="15" customHeight="1" x14ac:dyDescent="0.25">
      <c r="A4261" s="82">
        <v>46536</v>
      </c>
      <c r="M4261" t="s">
        <v>423</v>
      </c>
    </row>
    <row r="4262" spans="1:13" ht="15" customHeight="1" x14ac:dyDescent="0.25">
      <c r="A4262" s="82">
        <v>46537</v>
      </c>
      <c r="M4262" t="s">
        <v>423</v>
      </c>
    </row>
    <row r="4263" spans="1:13" ht="15" customHeight="1" x14ac:dyDescent="0.25">
      <c r="A4263" s="82">
        <v>46538</v>
      </c>
      <c r="M4263" t="s">
        <v>423</v>
      </c>
    </row>
    <row r="4264" spans="1:13" ht="15" customHeight="1" x14ac:dyDescent="0.25">
      <c r="A4264" s="82">
        <v>46539</v>
      </c>
      <c r="M4264" t="s">
        <v>423</v>
      </c>
    </row>
    <row r="4265" spans="1:13" ht="15" customHeight="1" x14ac:dyDescent="0.25">
      <c r="A4265" s="82">
        <v>46540</v>
      </c>
      <c r="M4265" t="s">
        <v>423</v>
      </c>
    </row>
    <row r="4266" spans="1:13" ht="15" customHeight="1" x14ac:dyDescent="0.25">
      <c r="A4266" s="82">
        <v>46541</v>
      </c>
      <c r="M4266" t="s">
        <v>423</v>
      </c>
    </row>
    <row r="4267" spans="1:13" ht="15" customHeight="1" x14ac:dyDescent="0.25">
      <c r="A4267" s="82">
        <v>46542</v>
      </c>
      <c r="M4267" t="s">
        <v>424</v>
      </c>
    </row>
    <row r="4268" spans="1:13" ht="15" customHeight="1" x14ac:dyDescent="0.25">
      <c r="A4268" s="82">
        <v>46543</v>
      </c>
      <c r="M4268" t="s">
        <v>424</v>
      </c>
    </row>
    <row r="4269" spans="1:13" ht="15" customHeight="1" x14ac:dyDescent="0.25">
      <c r="A4269" s="82">
        <v>46544</v>
      </c>
      <c r="M4269" t="s">
        <v>424</v>
      </c>
    </row>
    <row r="4270" spans="1:13" ht="15" customHeight="1" x14ac:dyDescent="0.25">
      <c r="A4270" s="82">
        <v>46545</v>
      </c>
      <c r="M4270" t="s">
        <v>424</v>
      </c>
    </row>
    <row r="4271" spans="1:13" ht="15" customHeight="1" x14ac:dyDescent="0.25">
      <c r="A4271" s="82">
        <v>46546</v>
      </c>
      <c r="M4271" t="s">
        <v>424</v>
      </c>
    </row>
    <row r="4272" spans="1:13" ht="15" customHeight="1" x14ac:dyDescent="0.25">
      <c r="A4272" s="82">
        <v>46547</v>
      </c>
      <c r="M4272" t="s">
        <v>424</v>
      </c>
    </row>
    <row r="4273" spans="1:13" ht="15" customHeight="1" x14ac:dyDescent="0.25">
      <c r="A4273" s="82">
        <v>46548</v>
      </c>
      <c r="M4273" t="s">
        <v>424</v>
      </c>
    </row>
    <row r="4274" spans="1:13" ht="15" customHeight="1" x14ac:dyDescent="0.25">
      <c r="A4274" s="82">
        <v>46549</v>
      </c>
      <c r="M4274" t="s">
        <v>421</v>
      </c>
    </row>
    <row r="4275" spans="1:13" ht="15" customHeight="1" x14ac:dyDescent="0.25">
      <c r="A4275" s="82">
        <v>46550</v>
      </c>
      <c r="M4275" t="s">
        <v>421</v>
      </c>
    </row>
    <row r="4276" spans="1:13" ht="15" customHeight="1" x14ac:dyDescent="0.25">
      <c r="A4276" s="82">
        <v>46551</v>
      </c>
      <c r="M4276" t="s">
        <v>421</v>
      </c>
    </row>
    <row r="4277" spans="1:13" ht="15" customHeight="1" x14ac:dyDescent="0.25">
      <c r="A4277" s="82">
        <v>46552</v>
      </c>
      <c r="M4277" t="s">
        <v>421</v>
      </c>
    </row>
    <row r="4278" spans="1:13" ht="15" customHeight="1" x14ac:dyDescent="0.25">
      <c r="A4278" s="82">
        <v>46553</v>
      </c>
      <c r="M4278" t="s">
        <v>421</v>
      </c>
    </row>
    <row r="4279" spans="1:13" ht="15" customHeight="1" x14ac:dyDescent="0.25">
      <c r="A4279" s="82">
        <v>46554</v>
      </c>
      <c r="M4279" t="s">
        <v>421</v>
      </c>
    </row>
    <row r="4280" spans="1:13" ht="15" customHeight="1" x14ac:dyDescent="0.25">
      <c r="A4280" s="82">
        <v>46555</v>
      </c>
      <c r="M4280" t="s">
        <v>421</v>
      </c>
    </row>
    <row r="4281" spans="1:13" ht="15" customHeight="1" x14ac:dyDescent="0.25">
      <c r="A4281" s="82">
        <v>46556</v>
      </c>
      <c r="M4281" t="s">
        <v>423</v>
      </c>
    </row>
    <row r="4282" spans="1:13" ht="15" customHeight="1" x14ac:dyDescent="0.25">
      <c r="A4282" s="82">
        <v>46557</v>
      </c>
      <c r="M4282" t="s">
        <v>423</v>
      </c>
    </row>
    <row r="4283" spans="1:13" ht="15" customHeight="1" x14ac:dyDescent="0.25">
      <c r="A4283" s="82">
        <v>46558</v>
      </c>
      <c r="M4283" t="s">
        <v>423</v>
      </c>
    </row>
    <row r="4284" spans="1:13" ht="15" customHeight="1" x14ac:dyDescent="0.25">
      <c r="A4284" s="82">
        <v>46559</v>
      </c>
      <c r="M4284" t="s">
        <v>423</v>
      </c>
    </row>
    <row r="4285" spans="1:13" ht="15" customHeight="1" x14ac:dyDescent="0.25">
      <c r="A4285" s="82">
        <v>46560</v>
      </c>
      <c r="M4285" t="s">
        <v>423</v>
      </c>
    </row>
    <row r="4286" spans="1:13" ht="15" customHeight="1" x14ac:dyDescent="0.25">
      <c r="A4286" s="82">
        <v>46561</v>
      </c>
      <c r="M4286" t="s">
        <v>423</v>
      </c>
    </row>
    <row r="4287" spans="1:13" ht="15" customHeight="1" x14ac:dyDescent="0.25">
      <c r="A4287" s="82">
        <v>46562</v>
      </c>
      <c r="M4287" t="s">
        <v>423</v>
      </c>
    </row>
    <row r="4288" spans="1:13" ht="15" customHeight="1" x14ac:dyDescent="0.25">
      <c r="A4288" s="82">
        <v>46563</v>
      </c>
      <c r="M4288" t="s">
        <v>424</v>
      </c>
    </row>
    <row r="4289" spans="1:13" ht="15" customHeight="1" x14ac:dyDescent="0.25">
      <c r="A4289" s="82">
        <v>46564</v>
      </c>
      <c r="M4289" t="s">
        <v>424</v>
      </c>
    </row>
    <row r="4290" spans="1:13" ht="15" customHeight="1" x14ac:dyDescent="0.25">
      <c r="A4290" s="82">
        <v>46565</v>
      </c>
      <c r="M4290" t="s">
        <v>424</v>
      </c>
    </row>
    <row r="4291" spans="1:13" ht="15" customHeight="1" x14ac:dyDescent="0.25">
      <c r="A4291" s="82">
        <v>46566</v>
      </c>
      <c r="M4291" t="s">
        <v>424</v>
      </c>
    </row>
    <row r="4292" spans="1:13" ht="15" customHeight="1" x14ac:dyDescent="0.25">
      <c r="A4292" s="82">
        <v>46567</v>
      </c>
      <c r="M4292" t="s">
        <v>424</v>
      </c>
    </row>
    <row r="4293" spans="1:13" ht="15" customHeight="1" x14ac:dyDescent="0.25">
      <c r="A4293" s="82">
        <v>46568</v>
      </c>
      <c r="M4293" t="s">
        <v>424</v>
      </c>
    </row>
    <row r="4294" spans="1:13" ht="15" customHeight="1" x14ac:dyDescent="0.25">
      <c r="A4294" s="82">
        <v>46569</v>
      </c>
      <c r="M4294" t="s">
        <v>424</v>
      </c>
    </row>
    <row r="4295" spans="1:13" ht="15" customHeight="1" x14ac:dyDescent="0.25">
      <c r="A4295" s="82">
        <v>46570</v>
      </c>
      <c r="M4295" t="s">
        <v>421</v>
      </c>
    </row>
    <row r="4296" spans="1:13" ht="15" customHeight="1" x14ac:dyDescent="0.25">
      <c r="A4296" s="82">
        <v>46571</v>
      </c>
      <c r="M4296" t="s">
        <v>421</v>
      </c>
    </row>
    <row r="4297" spans="1:13" ht="15" customHeight="1" x14ac:dyDescent="0.25">
      <c r="A4297" s="82">
        <v>46572</v>
      </c>
      <c r="M4297" t="s">
        <v>421</v>
      </c>
    </row>
    <row r="4298" spans="1:13" ht="15" customHeight="1" x14ac:dyDescent="0.25">
      <c r="A4298" s="82">
        <v>46573</v>
      </c>
      <c r="M4298" t="s">
        <v>421</v>
      </c>
    </row>
    <row r="4299" spans="1:13" ht="15" customHeight="1" x14ac:dyDescent="0.25">
      <c r="A4299" s="82">
        <v>46574</v>
      </c>
      <c r="M4299" t="s">
        <v>421</v>
      </c>
    </row>
    <row r="4300" spans="1:13" ht="15" customHeight="1" x14ac:dyDescent="0.25">
      <c r="A4300" s="82">
        <v>46575</v>
      </c>
      <c r="M4300" t="s">
        <v>421</v>
      </c>
    </row>
    <row r="4301" spans="1:13" ht="15" customHeight="1" x14ac:dyDescent="0.25">
      <c r="A4301" s="82">
        <v>46576</v>
      </c>
      <c r="M4301" t="s">
        <v>421</v>
      </c>
    </row>
    <row r="4302" spans="1:13" ht="15" customHeight="1" x14ac:dyDescent="0.25">
      <c r="A4302" s="82">
        <v>46577</v>
      </c>
      <c r="M4302" t="s">
        <v>423</v>
      </c>
    </row>
    <row r="4303" spans="1:13" ht="15" customHeight="1" x14ac:dyDescent="0.25">
      <c r="A4303" s="82">
        <v>46578</v>
      </c>
      <c r="M4303" t="s">
        <v>423</v>
      </c>
    </row>
    <row r="4304" spans="1:13" ht="15" customHeight="1" x14ac:dyDescent="0.25">
      <c r="A4304" s="82">
        <v>46579</v>
      </c>
      <c r="M4304" t="s">
        <v>423</v>
      </c>
    </row>
    <row r="4305" spans="1:13" ht="15" customHeight="1" x14ac:dyDescent="0.25">
      <c r="A4305" s="82">
        <v>46580</v>
      </c>
      <c r="M4305" t="s">
        <v>423</v>
      </c>
    </row>
    <row r="4306" spans="1:13" ht="15" customHeight="1" x14ac:dyDescent="0.25">
      <c r="A4306" s="82">
        <v>46581</v>
      </c>
      <c r="M4306" t="s">
        <v>423</v>
      </c>
    </row>
    <row r="4307" spans="1:13" ht="15" customHeight="1" x14ac:dyDescent="0.25">
      <c r="A4307" s="82">
        <v>46582</v>
      </c>
      <c r="M4307" t="s">
        <v>423</v>
      </c>
    </row>
    <row r="4308" spans="1:13" ht="15" customHeight="1" x14ac:dyDescent="0.25">
      <c r="A4308" s="82">
        <v>46583</v>
      </c>
      <c r="M4308" t="s">
        <v>423</v>
      </c>
    </row>
    <row r="4309" spans="1:13" ht="15" customHeight="1" x14ac:dyDescent="0.25">
      <c r="A4309" s="82">
        <v>46584</v>
      </c>
      <c r="M4309" t="s">
        <v>428</v>
      </c>
    </row>
    <row r="4310" spans="1:13" ht="15" customHeight="1" x14ac:dyDescent="0.25">
      <c r="A4310" s="82">
        <v>46585</v>
      </c>
      <c r="M4310" t="s">
        <v>428</v>
      </c>
    </row>
    <row r="4311" spans="1:13" ht="15" customHeight="1" x14ac:dyDescent="0.25">
      <c r="A4311" s="82">
        <v>46586</v>
      </c>
      <c r="M4311" t="s">
        <v>428</v>
      </c>
    </row>
    <row r="4312" spans="1:13" ht="15" customHeight="1" x14ac:dyDescent="0.25">
      <c r="A4312" s="82">
        <v>46587</v>
      </c>
      <c r="M4312" t="s">
        <v>428</v>
      </c>
    </row>
    <row r="4313" spans="1:13" ht="15" customHeight="1" x14ac:dyDescent="0.25">
      <c r="A4313" s="82">
        <v>46588</v>
      </c>
      <c r="M4313" t="s">
        <v>428</v>
      </c>
    </row>
    <row r="4314" spans="1:13" ht="15" customHeight="1" x14ac:dyDescent="0.25">
      <c r="A4314" s="82">
        <v>46589</v>
      </c>
      <c r="M4314" t="s">
        <v>424</v>
      </c>
    </row>
    <row r="4315" spans="1:13" ht="15" customHeight="1" x14ac:dyDescent="0.25">
      <c r="A4315" s="82">
        <v>46590</v>
      </c>
      <c r="M4315" t="s">
        <v>424</v>
      </c>
    </row>
    <row r="4316" spans="1:13" ht="15" customHeight="1" x14ac:dyDescent="0.25">
      <c r="A4316" s="82">
        <v>46591</v>
      </c>
      <c r="M4316" t="s">
        <v>421</v>
      </c>
    </row>
    <row r="4317" spans="1:13" ht="15" customHeight="1" x14ac:dyDescent="0.25">
      <c r="A4317" s="82">
        <v>46592</v>
      </c>
      <c r="M4317" t="s">
        <v>421</v>
      </c>
    </row>
    <row r="4318" spans="1:13" ht="15" customHeight="1" x14ac:dyDescent="0.25">
      <c r="A4318" s="82">
        <v>46593</v>
      </c>
      <c r="M4318" t="s">
        <v>421</v>
      </c>
    </row>
    <row r="4319" spans="1:13" ht="15" customHeight="1" x14ac:dyDescent="0.25">
      <c r="A4319" s="82">
        <v>46594</v>
      </c>
      <c r="M4319" t="s">
        <v>421</v>
      </c>
    </row>
    <row r="4320" spans="1:13" ht="15" customHeight="1" x14ac:dyDescent="0.25">
      <c r="A4320" s="82">
        <v>46595</v>
      </c>
      <c r="M4320" t="s">
        <v>421</v>
      </c>
    </row>
    <row r="4321" spans="1:13" ht="15" customHeight="1" x14ac:dyDescent="0.25">
      <c r="A4321" s="82">
        <v>46596</v>
      </c>
      <c r="M4321" t="s">
        <v>421</v>
      </c>
    </row>
    <row r="4322" spans="1:13" ht="15" customHeight="1" x14ac:dyDescent="0.25">
      <c r="A4322" s="82">
        <v>46597</v>
      </c>
      <c r="M4322" t="s">
        <v>421</v>
      </c>
    </row>
    <row r="4323" spans="1:13" ht="15" customHeight="1" x14ac:dyDescent="0.25">
      <c r="A4323" s="82">
        <v>46598</v>
      </c>
      <c r="M4323" t="s">
        <v>423</v>
      </c>
    </row>
    <row r="4324" spans="1:13" ht="15" customHeight="1" x14ac:dyDescent="0.25">
      <c r="A4324" s="82">
        <v>46599</v>
      </c>
      <c r="M4324" t="s">
        <v>423</v>
      </c>
    </row>
    <row r="4325" spans="1:13" ht="15" customHeight="1" x14ac:dyDescent="0.25">
      <c r="A4325" s="82">
        <v>46600</v>
      </c>
      <c r="M4325" t="s">
        <v>423</v>
      </c>
    </row>
    <row r="4326" spans="1:13" ht="15" customHeight="1" x14ac:dyDescent="0.25">
      <c r="A4326" s="82">
        <v>46601</v>
      </c>
      <c r="M4326" t="s">
        <v>423</v>
      </c>
    </row>
    <row r="4327" spans="1:13" ht="15" customHeight="1" x14ac:dyDescent="0.25">
      <c r="A4327" s="82">
        <v>46602</v>
      </c>
      <c r="M4327" t="s">
        <v>423</v>
      </c>
    </row>
    <row r="4328" spans="1:13" ht="15" customHeight="1" x14ac:dyDescent="0.25">
      <c r="A4328" s="82">
        <v>46603</v>
      </c>
      <c r="M4328" t="s">
        <v>423</v>
      </c>
    </row>
    <row r="4329" spans="1:13" ht="15" customHeight="1" x14ac:dyDescent="0.25">
      <c r="A4329" s="82">
        <v>46604</v>
      </c>
      <c r="M4329" t="s">
        <v>423</v>
      </c>
    </row>
    <row r="4330" spans="1:13" ht="15" customHeight="1" x14ac:dyDescent="0.25">
      <c r="A4330" s="82">
        <v>46605</v>
      </c>
      <c r="M4330" t="s">
        <v>424</v>
      </c>
    </row>
    <row r="4331" spans="1:13" ht="15" customHeight="1" x14ac:dyDescent="0.25">
      <c r="A4331" s="82">
        <v>46606</v>
      </c>
      <c r="M4331" t="s">
        <v>424</v>
      </c>
    </row>
    <row r="4332" spans="1:13" ht="15" customHeight="1" x14ac:dyDescent="0.25">
      <c r="A4332" s="82">
        <v>46607</v>
      </c>
      <c r="M4332" t="s">
        <v>424</v>
      </c>
    </row>
    <row r="4333" spans="1:13" ht="15" customHeight="1" x14ac:dyDescent="0.25">
      <c r="A4333" s="82">
        <v>46608</v>
      </c>
      <c r="M4333" t="s">
        <v>424</v>
      </c>
    </row>
    <row r="4334" spans="1:13" ht="15" customHeight="1" x14ac:dyDescent="0.25">
      <c r="A4334" s="82">
        <v>46609</v>
      </c>
      <c r="M4334" t="s">
        <v>424</v>
      </c>
    </row>
    <row r="4335" spans="1:13" ht="15" customHeight="1" x14ac:dyDescent="0.25">
      <c r="A4335" s="82">
        <v>46610</v>
      </c>
      <c r="M4335" t="s">
        <v>424</v>
      </c>
    </row>
    <row r="4336" spans="1:13" ht="15" customHeight="1" x14ac:dyDescent="0.25">
      <c r="A4336" s="82">
        <v>46611</v>
      </c>
      <c r="M4336" t="s">
        <v>424</v>
      </c>
    </row>
    <row r="4337" spans="1:13" ht="15" customHeight="1" x14ac:dyDescent="0.25">
      <c r="A4337" s="82">
        <v>46612</v>
      </c>
      <c r="M4337" t="s">
        <v>421</v>
      </c>
    </row>
    <row r="4338" spans="1:13" ht="15" customHeight="1" x14ac:dyDescent="0.25">
      <c r="A4338" s="82">
        <v>46613</v>
      </c>
      <c r="M4338" t="s">
        <v>421</v>
      </c>
    </row>
    <row r="4339" spans="1:13" ht="15" customHeight="1" x14ac:dyDescent="0.25">
      <c r="A4339" s="82">
        <v>46614</v>
      </c>
      <c r="M4339" t="s">
        <v>421</v>
      </c>
    </row>
    <row r="4340" spans="1:13" ht="15" customHeight="1" x14ac:dyDescent="0.25">
      <c r="A4340" s="82">
        <v>46615</v>
      </c>
      <c r="M4340" t="s">
        <v>421</v>
      </c>
    </row>
    <row r="4341" spans="1:13" ht="15" customHeight="1" x14ac:dyDescent="0.25">
      <c r="A4341" s="82">
        <v>46616</v>
      </c>
      <c r="M4341" t="s">
        <v>421</v>
      </c>
    </row>
    <row r="4342" spans="1:13" ht="15" customHeight="1" x14ac:dyDescent="0.25">
      <c r="A4342" s="82">
        <v>46617</v>
      </c>
      <c r="M4342" t="s">
        <v>421</v>
      </c>
    </row>
    <row r="4343" spans="1:13" ht="15" customHeight="1" x14ac:dyDescent="0.25">
      <c r="A4343" s="82">
        <v>46618</v>
      </c>
      <c r="M4343" t="s">
        <v>421</v>
      </c>
    </row>
    <row r="4344" spans="1:13" ht="15" customHeight="1" x14ac:dyDescent="0.25">
      <c r="A4344" s="82">
        <v>46619</v>
      </c>
      <c r="M4344" t="s">
        <v>423</v>
      </c>
    </row>
    <row r="4345" spans="1:13" ht="15" customHeight="1" x14ac:dyDescent="0.25">
      <c r="A4345" s="82">
        <v>46620</v>
      </c>
      <c r="M4345" t="s">
        <v>423</v>
      </c>
    </row>
    <row r="4346" spans="1:13" ht="15" customHeight="1" x14ac:dyDescent="0.25">
      <c r="A4346" s="82">
        <v>46621</v>
      </c>
      <c r="M4346" t="s">
        <v>423</v>
      </c>
    </row>
    <row r="4347" spans="1:13" ht="15" customHeight="1" x14ac:dyDescent="0.25">
      <c r="A4347" s="82">
        <v>46622</v>
      </c>
      <c r="M4347" t="s">
        <v>423</v>
      </c>
    </row>
    <row r="4348" spans="1:13" ht="15" customHeight="1" x14ac:dyDescent="0.25">
      <c r="A4348" s="82">
        <v>46623</v>
      </c>
      <c r="M4348" t="s">
        <v>423</v>
      </c>
    </row>
    <row r="4349" spans="1:13" ht="15" customHeight="1" x14ac:dyDescent="0.25">
      <c r="A4349" s="82">
        <v>46624</v>
      </c>
      <c r="M4349" t="s">
        <v>423</v>
      </c>
    </row>
    <row r="4350" spans="1:13" ht="15" customHeight="1" x14ac:dyDescent="0.25">
      <c r="A4350" s="82">
        <v>46625</v>
      </c>
      <c r="M4350" t="s">
        <v>423</v>
      </c>
    </row>
    <row r="4351" spans="1:13" ht="15" customHeight="1" x14ac:dyDescent="0.25">
      <c r="A4351" s="82">
        <v>46626</v>
      </c>
      <c r="M4351" t="s">
        <v>424</v>
      </c>
    </row>
    <row r="4352" spans="1:13" ht="15" customHeight="1" x14ac:dyDescent="0.25">
      <c r="A4352" s="82">
        <v>46627</v>
      </c>
      <c r="M4352" t="s">
        <v>424</v>
      </c>
    </row>
    <row r="4353" spans="1:13" ht="15" customHeight="1" x14ac:dyDescent="0.25">
      <c r="A4353" s="82">
        <v>46628</v>
      </c>
      <c r="M4353" t="s">
        <v>424</v>
      </c>
    </row>
    <row r="4354" spans="1:13" ht="15" customHeight="1" x14ac:dyDescent="0.25">
      <c r="A4354" s="82">
        <v>46629</v>
      </c>
      <c r="M4354" t="s">
        <v>424</v>
      </c>
    </row>
    <row r="4355" spans="1:13" ht="15" customHeight="1" x14ac:dyDescent="0.25">
      <c r="A4355" s="82">
        <v>46630</v>
      </c>
      <c r="M4355" t="s">
        <v>424</v>
      </c>
    </row>
    <row r="4356" spans="1:13" ht="15" customHeight="1" x14ac:dyDescent="0.25">
      <c r="A4356" s="82">
        <v>46631</v>
      </c>
      <c r="M4356" t="s">
        <v>424</v>
      </c>
    </row>
    <row r="4357" spans="1:13" ht="15" customHeight="1" x14ac:dyDescent="0.25">
      <c r="A4357" s="82">
        <v>46632</v>
      </c>
      <c r="M4357" t="s">
        <v>424</v>
      </c>
    </row>
    <row r="4358" spans="1:13" ht="15" customHeight="1" x14ac:dyDescent="0.25">
      <c r="A4358" s="82">
        <v>46633</v>
      </c>
      <c r="M4358" t="s">
        <v>421</v>
      </c>
    </row>
    <row r="4359" spans="1:13" ht="15" customHeight="1" x14ac:dyDescent="0.25">
      <c r="A4359" s="82">
        <v>46634</v>
      </c>
      <c r="M4359" t="s">
        <v>421</v>
      </c>
    </row>
    <row r="4360" spans="1:13" ht="15" customHeight="1" x14ac:dyDescent="0.25">
      <c r="A4360" s="82">
        <v>46635</v>
      </c>
      <c r="M4360" t="s">
        <v>421</v>
      </c>
    </row>
    <row r="4361" spans="1:13" ht="15" customHeight="1" x14ac:dyDescent="0.25">
      <c r="A4361" s="82">
        <v>46636</v>
      </c>
      <c r="M4361" t="s">
        <v>421</v>
      </c>
    </row>
    <row r="4362" spans="1:13" ht="15" customHeight="1" x14ac:dyDescent="0.25">
      <c r="A4362" s="82">
        <v>46637</v>
      </c>
      <c r="M4362" t="s">
        <v>421</v>
      </c>
    </row>
    <row r="4363" spans="1:13" ht="15" customHeight="1" x14ac:dyDescent="0.25">
      <c r="A4363" s="82">
        <v>46638</v>
      </c>
      <c r="M4363" t="s">
        <v>421</v>
      </c>
    </row>
    <row r="4364" spans="1:13" ht="15" customHeight="1" x14ac:dyDescent="0.25">
      <c r="A4364" s="82">
        <v>46639</v>
      </c>
      <c r="M4364" t="s">
        <v>421</v>
      </c>
    </row>
    <row r="4365" spans="1:13" ht="15" customHeight="1" x14ac:dyDescent="0.25">
      <c r="A4365" s="82">
        <v>46640</v>
      </c>
      <c r="M4365" t="s">
        <v>423</v>
      </c>
    </row>
    <row r="4366" spans="1:13" ht="15" customHeight="1" x14ac:dyDescent="0.25">
      <c r="A4366" s="82">
        <v>46641</v>
      </c>
      <c r="M4366" t="s">
        <v>423</v>
      </c>
    </row>
    <row r="4367" spans="1:13" ht="15" customHeight="1" x14ac:dyDescent="0.25">
      <c r="A4367" s="82">
        <v>46642</v>
      </c>
      <c r="M4367" t="s">
        <v>423</v>
      </c>
    </row>
    <row r="4368" spans="1:13" ht="15" customHeight="1" x14ac:dyDescent="0.25">
      <c r="A4368" s="82">
        <v>46643</v>
      </c>
      <c r="M4368" t="s">
        <v>423</v>
      </c>
    </row>
    <row r="4369" spans="1:13" ht="15" customHeight="1" x14ac:dyDescent="0.25">
      <c r="A4369" s="82">
        <v>46644</v>
      </c>
      <c r="M4369" t="s">
        <v>423</v>
      </c>
    </row>
    <row r="4370" spans="1:13" ht="15" customHeight="1" x14ac:dyDescent="0.25">
      <c r="A4370" s="82">
        <v>46645</v>
      </c>
      <c r="M4370" t="s">
        <v>423</v>
      </c>
    </row>
    <row r="4371" spans="1:13" ht="15" customHeight="1" x14ac:dyDescent="0.25">
      <c r="A4371" s="82">
        <v>46646</v>
      </c>
      <c r="M4371" t="s">
        <v>423</v>
      </c>
    </row>
    <row r="4372" spans="1:13" ht="15" customHeight="1" x14ac:dyDescent="0.25">
      <c r="A4372" s="82">
        <v>46647</v>
      </c>
      <c r="M4372" t="s">
        <v>424</v>
      </c>
    </row>
    <row r="4373" spans="1:13" ht="15" customHeight="1" x14ac:dyDescent="0.25">
      <c r="A4373" s="82">
        <v>46648</v>
      </c>
      <c r="M4373" t="s">
        <v>424</v>
      </c>
    </row>
    <row r="4374" spans="1:13" ht="15" customHeight="1" x14ac:dyDescent="0.25">
      <c r="A4374" s="82">
        <v>46649</v>
      </c>
      <c r="M4374" t="s">
        <v>424</v>
      </c>
    </row>
    <row r="4375" spans="1:13" ht="15" customHeight="1" x14ac:dyDescent="0.25">
      <c r="A4375" s="82">
        <v>46650</v>
      </c>
      <c r="M4375" t="s">
        <v>424</v>
      </c>
    </row>
    <row r="4376" spans="1:13" ht="15" customHeight="1" x14ac:dyDescent="0.25">
      <c r="A4376" s="82">
        <v>46651</v>
      </c>
      <c r="M4376" t="s">
        <v>424</v>
      </c>
    </row>
    <row r="4377" spans="1:13" ht="15" customHeight="1" x14ac:dyDescent="0.25">
      <c r="A4377" s="82">
        <v>46652</v>
      </c>
      <c r="M4377" t="s">
        <v>424</v>
      </c>
    </row>
    <row r="4378" spans="1:13" ht="15" customHeight="1" x14ac:dyDescent="0.25">
      <c r="A4378" s="82">
        <v>46653</v>
      </c>
      <c r="M4378" t="s">
        <v>424</v>
      </c>
    </row>
    <row r="4379" spans="1:13" ht="15" customHeight="1" x14ac:dyDescent="0.25">
      <c r="A4379" s="82">
        <v>46654</v>
      </c>
      <c r="M4379" t="s">
        <v>421</v>
      </c>
    </row>
    <row r="4380" spans="1:13" ht="15" customHeight="1" x14ac:dyDescent="0.25">
      <c r="A4380" s="82">
        <v>46655</v>
      </c>
      <c r="M4380" t="s">
        <v>421</v>
      </c>
    </row>
    <row r="4381" spans="1:13" ht="15" customHeight="1" x14ac:dyDescent="0.25">
      <c r="A4381" s="82">
        <v>46656</v>
      </c>
      <c r="M4381" t="s">
        <v>421</v>
      </c>
    </row>
    <row r="4382" spans="1:13" ht="15" customHeight="1" x14ac:dyDescent="0.25">
      <c r="A4382" s="82">
        <v>46657</v>
      </c>
      <c r="M4382" t="s">
        <v>421</v>
      </c>
    </row>
    <row r="4383" spans="1:13" ht="15" customHeight="1" x14ac:dyDescent="0.25">
      <c r="A4383" s="82">
        <v>46658</v>
      </c>
      <c r="M4383" t="s">
        <v>421</v>
      </c>
    </row>
    <row r="4384" spans="1:13" ht="15" customHeight="1" x14ac:dyDescent="0.25">
      <c r="A4384" s="82">
        <v>46659</v>
      </c>
      <c r="M4384" t="s">
        <v>421</v>
      </c>
    </row>
    <row r="4385" spans="1:13" ht="15" customHeight="1" x14ac:dyDescent="0.25">
      <c r="A4385" s="82">
        <v>46660</v>
      </c>
      <c r="M4385" t="s">
        <v>421</v>
      </c>
    </row>
    <row r="4386" spans="1:13" ht="15" customHeight="1" x14ac:dyDescent="0.25">
      <c r="A4386" s="82">
        <v>46661</v>
      </c>
      <c r="M4386" t="s">
        <v>423</v>
      </c>
    </row>
    <row r="4387" spans="1:13" ht="15" customHeight="1" x14ac:dyDescent="0.25">
      <c r="A4387" s="82">
        <v>46662</v>
      </c>
      <c r="M4387" t="s">
        <v>423</v>
      </c>
    </row>
    <row r="4388" spans="1:13" ht="15" customHeight="1" x14ac:dyDescent="0.25">
      <c r="A4388" s="82">
        <v>46663</v>
      </c>
      <c r="M4388" t="s">
        <v>423</v>
      </c>
    </row>
    <row r="4389" spans="1:13" ht="15" customHeight="1" x14ac:dyDescent="0.25">
      <c r="A4389" s="82">
        <v>46664</v>
      </c>
      <c r="M4389" t="s">
        <v>423</v>
      </c>
    </row>
    <row r="4390" spans="1:13" ht="15" customHeight="1" x14ac:dyDescent="0.25">
      <c r="A4390" s="82">
        <v>46665</v>
      </c>
      <c r="M4390" t="s">
        <v>423</v>
      </c>
    </row>
    <row r="4391" spans="1:13" ht="15" customHeight="1" x14ac:dyDescent="0.25">
      <c r="A4391" s="82">
        <v>46666</v>
      </c>
      <c r="M4391" t="s">
        <v>423</v>
      </c>
    </row>
    <row r="4392" spans="1:13" ht="15" customHeight="1" x14ac:dyDescent="0.25">
      <c r="A4392" s="82">
        <v>46667</v>
      </c>
      <c r="M4392" t="s">
        <v>423</v>
      </c>
    </row>
    <row r="4393" spans="1:13" ht="15" customHeight="1" x14ac:dyDescent="0.25">
      <c r="A4393" s="82">
        <v>46668</v>
      </c>
      <c r="M4393" t="s">
        <v>428</v>
      </c>
    </row>
    <row r="4394" spans="1:13" ht="15" customHeight="1" x14ac:dyDescent="0.25">
      <c r="A4394" s="82">
        <v>46669</v>
      </c>
      <c r="M4394" t="s">
        <v>428</v>
      </c>
    </row>
    <row r="4395" spans="1:13" ht="15" customHeight="1" x14ac:dyDescent="0.25">
      <c r="A4395" s="82">
        <v>46670</v>
      </c>
      <c r="M4395" t="s">
        <v>428</v>
      </c>
    </row>
    <row r="4396" spans="1:13" ht="15" customHeight="1" x14ac:dyDescent="0.25">
      <c r="A4396" s="82">
        <v>46671</v>
      </c>
      <c r="M4396" t="s">
        <v>428</v>
      </c>
    </row>
    <row r="4397" spans="1:13" ht="15" customHeight="1" x14ac:dyDescent="0.25">
      <c r="A4397" s="82">
        <v>46672</v>
      </c>
      <c r="M4397" t="s">
        <v>428</v>
      </c>
    </row>
    <row r="4398" spans="1:13" ht="15" customHeight="1" x14ac:dyDescent="0.25">
      <c r="A4398" s="82">
        <v>46673</v>
      </c>
      <c r="M4398" t="s">
        <v>424</v>
      </c>
    </row>
    <row r="4399" spans="1:13" ht="15" customHeight="1" x14ac:dyDescent="0.25">
      <c r="A4399" s="82">
        <v>46674</v>
      </c>
      <c r="M4399" t="s">
        <v>424</v>
      </c>
    </row>
    <row r="4400" spans="1:13" ht="15" customHeight="1" x14ac:dyDescent="0.25">
      <c r="A4400" s="82">
        <v>46675</v>
      </c>
      <c r="M4400" t="s">
        <v>421</v>
      </c>
    </row>
    <row r="4401" spans="1:13" ht="15" customHeight="1" x14ac:dyDescent="0.25">
      <c r="A4401" s="82">
        <v>46676</v>
      </c>
      <c r="M4401" t="s">
        <v>421</v>
      </c>
    </row>
    <row r="4402" spans="1:13" ht="15" customHeight="1" x14ac:dyDescent="0.25">
      <c r="A4402" s="82">
        <v>46677</v>
      </c>
      <c r="M4402" t="s">
        <v>421</v>
      </c>
    </row>
    <row r="4403" spans="1:13" ht="15" customHeight="1" x14ac:dyDescent="0.25">
      <c r="A4403" s="82">
        <v>46678</v>
      </c>
      <c r="M4403" t="s">
        <v>421</v>
      </c>
    </row>
    <row r="4404" spans="1:13" ht="15" customHeight="1" x14ac:dyDescent="0.25">
      <c r="A4404" s="82">
        <v>46679</v>
      </c>
      <c r="M4404" t="s">
        <v>421</v>
      </c>
    </row>
    <row r="4405" spans="1:13" ht="15" customHeight="1" x14ac:dyDescent="0.25">
      <c r="A4405" s="82">
        <v>46680</v>
      </c>
      <c r="M4405" t="s">
        <v>421</v>
      </c>
    </row>
    <row r="4406" spans="1:13" ht="15" customHeight="1" x14ac:dyDescent="0.25">
      <c r="A4406" s="82">
        <v>46681</v>
      </c>
      <c r="M4406" t="s">
        <v>421</v>
      </c>
    </row>
    <row r="4407" spans="1:13" ht="15" customHeight="1" x14ac:dyDescent="0.25">
      <c r="A4407" s="82">
        <v>46682</v>
      </c>
      <c r="M4407" t="s">
        <v>423</v>
      </c>
    </row>
    <row r="4408" spans="1:13" ht="15" customHeight="1" x14ac:dyDescent="0.25">
      <c r="A4408" s="82">
        <v>46683</v>
      </c>
      <c r="M4408" t="s">
        <v>423</v>
      </c>
    </row>
    <row r="4409" spans="1:13" ht="15" customHeight="1" x14ac:dyDescent="0.25">
      <c r="A4409" s="82">
        <v>46684</v>
      </c>
      <c r="M4409" t="s">
        <v>423</v>
      </c>
    </row>
    <row r="4410" spans="1:13" ht="15" customHeight="1" x14ac:dyDescent="0.25">
      <c r="A4410" s="82">
        <v>46685</v>
      </c>
      <c r="M4410" t="s">
        <v>423</v>
      </c>
    </row>
    <row r="4411" spans="1:13" ht="15" customHeight="1" x14ac:dyDescent="0.25">
      <c r="A4411" s="82">
        <v>46686</v>
      </c>
      <c r="M4411" t="s">
        <v>423</v>
      </c>
    </row>
    <row r="4412" spans="1:13" ht="15" customHeight="1" x14ac:dyDescent="0.25">
      <c r="A4412" s="82">
        <v>46687</v>
      </c>
      <c r="M4412" t="s">
        <v>423</v>
      </c>
    </row>
    <row r="4413" spans="1:13" ht="15" customHeight="1" x14ac:dyDescent="0.25">
      <c r="A4413" s="82">
        <v>46688</v>
      </c>
      <c r="M4413" t="s">
        <v>423</v>
      </c>
    </row>
    <row r="4414" spans="1:13" ht="15" customHeight="1" x14ac:dyDescent="0.25">
      <c r="A4414" s="82">
        <v>46689</v>
      </c>
      <c r="M4414" t="s">
        <v>424</v>
      </c>
    </row>
    <row r="4415" spans="1:13" ht="15" customHeight="1" x14ac:dyDescent="0.25">
      <c r="A4415" s="82">
        <v>46690</v>
      </c>
      <c r="M4415" t="s">
        <v>424</v>
      </c>
    </row>
    <row r="4416" spans="1:13" ht="15" customHeight="1" x14ac:dyDescent="0.25">
      <c r="A4416" s="82">
        <v>46691</v>
      </c>
      <c r="M4416" t="s">
        <v>424</v>
      </c>
    </row>
    <row r="4417" spans="1:13" ht="15" customHeight="1" x14ac:dyDescent="0.25">
      <c r="A4417" s="82">
        <v>46692</v>
      </c>
      <c r="M4417" t="s">
        <v>424</v>
      </c>
    </row>
    <row r="4418" spans="1:13" ht="15" customHeight="1" x14ac:dyDescent="0.25">
      <c r="A4418" s="82">
        <v>46693</v>
      </c>
      <c r="M4418" t="s">
        <v>424</v>
      </c>
    </row>
    <row r="4419" spans="1:13" ht="15" customHeight="1" x14ac:dyDescent="0.25">
      <c r="A4419" s="82">
        <v>46694</v>
      </c>
      <c r="M4419" t="s">
        <v>424</v>
      </c>
    </row>
    <row r="4420" spans="1:13" ht="15" customHeight="1" x14ac:dyDescent="0.25">
      <c r="A4420" s="82">
        <v>46695</v>
      </c>
      <c r="M4420" t="s">
        <v>424</v>
      </c>
    </row>
    <row r="4421" spans="1:13" ht="15" customHeight="1" x14ac:dyDescent="0.25">
      <c r="A4421" s="82">
        <v>46696</v>
      </c>
      <c r="M4421" t="s">
        <v>421</v>
      </c>
    </row>
    <row r="4422" spans="1:13" ht="15" customHeight="1" x14ac:dyDescent="0.25">
      <c r="A4422" s="82">
        <v>46697</v>
      </c>
      <c r="M4422" t="s">
        <v>421</v>
      </c>
    </row>
    <row r="4423" spans="1:13" ht="15" customHeight="1" x14ac:dyDescent="0.25">
      <c r="A4423" s="82">
        <v>46698</v>
      </c>
      <c r="M4423" t="s">
        <v>421</v>
      </c>
    </row>
    <row r="4424" spans="1:13" ht="15" customHeight="1" x14ac:dyDescent="0.25">
      <c r="A4424" s="82">
        <v>46699</v>
      </c>
      <c r="M4424" t="s">
        <v>421</v>
      </c>
    </row>
    <row r="4425" spans="1:13" ht="15" customHeight="1" x14ac:dyDescent="0.25">
      <c r="A4425" s="82">
        <v>46700</v>
      </c>
      <c r="M4425" t="s">
        <v>421</v>
      </c>
    </row>
    <row r="4426" spans="1:13" ht="15" customHeight="1" x14ac:dyDescent="0.25">
      <c r="A4426" s="82">
        <v>46701</v>
      </c>
      <c r="M4426" t="s">
        <v>421</v>
      </c>
    </row>
    <row r="4427" spans="1:13" ht="15" customHeight="1" x14ac:dyDescent="0.25">
      <c r="A4427" s="82">
        <v>46702</v>
      </c>
      <c r="M4427" t="s">
        <v>421</v>
      </c>
    </row>
    <row r="4428" spans="1:13" ht="15" customHeight="1" x14ac:dyDescent="0.25">
      <c r="A4428" s="82">
        <v>46703</v>
      </c>
      <c r="M4428" t="s">
        <v>423</v>
      </c>
    </row>
    <row r="4429" spans="1:13" ht="15" customHeight="1" x14ac:dyDescent="0.25">
      <c r="A4429" s="82">
        <v>46704</v>
      </c>
      <c r="M4429" t="s">
        <v>423</v>
      </c>
    </row>
    <row r="4430" spans="1:13" ht="15" customHeight="1" x14ac:dyDescent="0.25">
      <c r="A4430" s="82">
        <v>46705</v>
      </c>
      <c r="M4430" t="s">
        <v>423</v>
      </c>
    </row>
    <row r="4431" spans="1:13" ht="15" customHeight="1" x14ac:dyDescent="0.25">
      <c r="A4431" s="82">
        <v>46706</v>
      </c>
      <c r="M4431" t="s">
        <v>423</v>
      </c>
    </row>
    <row r="4432" spans="1:13" ht="15" customHeight="1" x14ac:dyDescent="0.25">
      <c r="A4432" s="82">
        <v>46707</v>
      </c>
      <c r="M4432" t="s">
        <v>423</v>
      </c>
    </row>
    <row r="4433" spans="1:13" ht="15" customHeight="1" x14ac:dyDescent="0.25">
      <c r="A4433" s="82">
        <v>46708</v>
      </c>
      <c r="M4433" t="s">
        <v>423</v>
      </c>
    </row>
    <row r="4434" spans="1:13" ht="15" customHeight="1" x14ac:dyDescent="0.25">
      <c r="A4434" s="82">
        <v>46709</v>
      </c>
      <c r="M4434" t="s">
        <v>423</v>
      </c>
    </row>
    <row r="4435" spans="1:13" ht="15" customHeight="1" x14ac:dyDescent="0.25">
      <c r="A4435" s="82">
        <v>46710</v>
      </c>
      <c r="M4435" t="s">
        <v>424</v>
      </c>
    </row>
    <row r="4436" spans="1:13" ht="15" customHeight="1" x14ac:dyDescent="0.25">
      <c r="A4436" s="82">
        <v>46711</v>
      </c>
      <c r="M4436" t="s">
        <v>424</v>
      </c>
    </row>
    <row r="4437" spans="1:13" ht="15" customHeight="1" x14ac:dyDescent="0.25">
      <c r="A4437" s="82">
        <v>46712</v>
      </c>
      <c r="M4437" t="s">
        <v>424</v>
      </c>
    </row>
    <row r="4438" spans="1:13" ht="15" customHeight="1" x14ac:dyDescent="0.25">
      <c r="A4438" s="82">
        <v>46713</v>
      </c>
      <c r="M4438" t="s">
        <v>424</v>
      </c>
    </row>
    <row r="4439" spans="1:13" ht="15" customHeight="1" x14ac:dyDescent="0.25">
      <c r="A4439" s="82">
        <v>46714</v>
      </c>
      <c r="M4439" t="s">
        <v>424</v>
      </c>
    </row>
    <row r="4440" spans="1:13" ht="15" customHeight="1" x14ac:dyDescent="0.25">
      <c r="A4440" s="82">
        <v>46715</v>
      </c>
      <c r="M4440" t="s">
        <v>424</v>
      </c>
    </row>
    <row r="4441" spans="1:13" ht="15" customHeight="1" x14ac:dyDescent="0.25">
      <c r="A4441" s="82">
        <v>46716</v>
      </c>
      <c r="M4441" t="s">
        <v>424</v>
      </c>
    </row>
    <row r="4442" spans="1:13" ht="15" customHeight="1" x14ac:dyDescent="0.25">
      <c r="A4442" s="82">
        <v>46717</v>
      </c>
      <c r="M4442" t="s">
        <v>421</v>
      </c>
    </row>
    <row r="4443" spans="1:13" ht="15" customHeight="1" x14ac:dyDescent="0.25">
      <c r="A4443" s="82">
        <v>46718</v>
      </c>
      <c r="M4443" t="s">
        <v>421</v>
      </c>
    </row>
    <row r="4444" spans="1:13" ht="15" customHeight="1" x14ac:dyDescent="0.25">
      <c r="A4444" s="82">
        <v>46719</v>
      </c>
      <c r="M4444" t="s">
        <v>421</v>
      </c>
    </row>
    <row r="4445" spans="1:13" ht="15" customHeight="1" x14ac:dyDescent="0.25">
      <c r="A4445" s="82">
        <v>46720</v>
      </c>
      <c r="M4445" t="s">
        <v>421</v>
      </c>
    </row>
    <row r="4446" spans="1:13" ht="15" customHeight="1" x14ac:dyDescent="0.25">
      <c r="A4446" s="82">
        <v>46721</v>
      </c>
      <c r="M4446" t="s">
        <v>421</v>
      </c>
    </row>
    <row r="4447" spans="1:13" ht="15" customHeight="1" x14ac:dyDescent="0.25">
      <c r="A4447" s="82">
        <v>46722</v>
      </c>
      <c r="M4447" t="s">
        <v>421</v>
      </c>
    </row>
    <row r="4448" spans="1:13" ht="15" customHeight="1" x14ac:dyDescent="0.25">
      <c r="A4448" s="82">
        <v>46723</v>
      </c>
      <c r="M4448" t="s">
        <v>421</v>
      </c>
    </row>
    <row r="4449" spans="1:13" ht="15" customHeight="1" x14ac:dyDescent="0.25">
      <c r="A4449" s="82">
        <v>46724</v>
      </c>
      <c r="M4449" t="s">
        <v>423</v>
      </c>
    </row>
    <row r="4450" spans="1:13" ht="15" customHeight="1" x14ac:dyDescent="0.25">
      <c r="A4450" s="82">
        <v>46725</v>
      </c>
      <c r="M4450" t="s">
        <v>423</v>
      </c>
    </row>
    <row r="4451" spans="1:13" ht="15" customHeight="1" x14ac:dyDescent="0.25">
      <c r="A4451" s="82">
        <v>46726</v>
      </c>
      <c r="M4451" t="s">
        <v>423</v>
      </c>
    </row>
    <row r="4452" spans="1:13" ht="15" customHeight="1" x14ac:dyDescent="0.25">
      <c r="A4452" s="82">
        <v>46727</v>
      </c>
      <c r="M4452" t="s">
        <v>423</v>
      </c>
    </row>
    <row r="4453" spans="1:13" ht="15" customHeight="1" x14ac:dyDescent="0.25">
      <c r="A4453" s="82">
        <v>46728</v>
      </c>
      <c r="M4453" t="s">
        <v>423</v>
      </c>
    </row>
    <row r="4454" spans="1:13" ht="15" customHeight="1" x14ac:dyDescent="0.25">
      <c r="A4454" s="82">
        <v>46729</v>
      </c>
      <c r="M4454" t="s">
        <v>423</v>
      </c>
    </row>
    <row r="4455" spans="1:13" ht="15" customHeight="1" x14ac:dyDescent="0.25">
      <c r="A4455" s="82">
        <v>46730</v>
      </c>
      <c r="M4455" t="s">
        <v>423</v>
      </c>
    </row>
    <row r="4456" spans="1:13" ht="15" customHeight="1" x14ac:dyDescent="0.25">
      <c r="A4456" s="82">
        <v>46731</v>
      </c>
      <c r="M4456" t="s">
        <v>424</v>
      </c>
    </row>
    <row r="4457" spans="1:13" ht="15" customHeight="1" x14ac:dyDescent="0.25">
      <c r="A4457" s="82">
        <v>46732</v>
      </c>
      <c r="M4457" t="s">
        <v>424</v>
      </c>
    </row>
    <row r="4458" spans="1:13" ht="15" customHeight="1" x14ac:dyDescent="0.25">
      <c r="A4458" s="82">
        <v>46733</v>
      </c>
      <c r="M4458" t="s">
        <v>424</v>
      </c>
    </row>
    <row r="4459" spans="1:13" ht="15" customHeight="1" x14ac:dyDescent="0.25">
      <c r="A4459" s="82">
        <v>46734</v>
      </c>
      <c r="M4459" t="s">
        <v>424</v>
      </c>
    </row>
    <row r="4460" spans="1:13" ht="15" customHeight="1" x14ac:dyDescent="0.25">
      <c r="A4460" s="82">
        <v>46735</v>
      </c>
      <c r="M4460" t="s">
        <v>424</v>
      </c>
    </row>
    <row r="4461" spans="1:13" ht="15" customHeight="1" x14ac:dyDescent="0.25">
      <c r="A4461" s="82">
        <v>46736</v>
      </c>
      <c r="M4461" t="s">
        <v>424</v>
      </c>
    </row>
    <row r="4462" spans="1:13" ht="15" customHeight="1" x14ac:dyDescent="0.25">
      <c r="A4462" s="82">
        <v>46737</v>
      </c>
      <c r="M4462" t="s">
        <v>424</v>
      </c>
    </row>
    <row r="4463" spans="1:13" ht="15" customHeight="1" x14ac:dyDescent="0.25">
      <c r="A4463" s="82">
        <v>46738</v>
      </c>
      <c r="M4463" t="s">
        <v>421</v>
      </c>
    </row>
    <row r="4464" spans="1:13" ht="15" customHeight="1" x14ac:dyDescent="0.25">
      <c r="A4464" s="82">
        <v>46739</v>
      </c>
      <c r="M4464" t="s">
        <v>421</v>
      </c>
    </row>
    <row r="4465" spans="1:13" ht="15" customHeight="1" x14ac:dyDescent="0.25">
      <c r="A4465" s="82">
        <v>46740</v>
      </c>
      <c r="M4465" t="s">
        <v>421</v>
      </c>
    </row>
    <row r="4466" spans="1:13" ht="15" customHeight="1" x14ac:dyDescent="0.25">
      <c r="A4466" s="82">
        <v>46741</v>
      </c>
      <c r="M4466" t="s">
        <v>421</v>
      </c>
    </row>
    <row r="4467" spans="1:13" ht="15" customHeight="1" x14ac:dyDescent="0.25">
      <c r="A4467" s="82">
        <v>46742</v>
      </c>
      <c r="M4467" t="s">
        <v>421</v>
      </c>
    </row>
    <row r="4468" spans="1:13" ht="15" customHeight="1" x14ac:dyDescent="0.25">
      <c r="A4468" s="82">
        <v>46743</v>
      </c>
      <c r="M4468" t="s">
        <v>421</v>
      </c>
    </row>
    <row r="4469" spans="1:13" ht="15" customHeight="1" x14ac:dyDescent="0.25">
      <c r="A4469" s="82">
        <v>46744</v>
      </c>
      <c r="M4469" t="s">
        <v>421</v>
      </c>
    </row>
    <row r="4470" spans="1:13" ht="15" customHeight="1" x14ac:dyDescent="0.25">
      <c r="A4470" s="82">
        <v>46745</v>
      </c>
      <c r="M4470" t="s">
        <v>423</v>
      </c>
    </row>
    <row r="4471" spans="1:13" ht="15" customHeight="1" x14ac:dyDescent="0.25">
      <c r="A4471" s="82">
        <v>46746</v>
      </c>
      <c r="M4471" t="s">
        <v>423</v>
      </c>
    </row>
    <row r="4472" spans="1:13" ht="15" customHeight="1" x14ac:dyDescent="0.25">
      <c r="A4472" s="82">
        <v>46747</v>
      </c>
      <c r="M4472" t="s">
        <v>423</v>
      </c>
    </row>
    <row r="4473" spans="1:13" ht="15" customHeight="1" x14ac:dyDescent="0.25">
      <c r="A4473" s="82">
        <v>46748</v>
      </c>
      <c r="M4473" t="s">
        <v>423</v>
      </c>
    </row>
    <row r="4474" spans="1:13" ht="15" customHeight="1" x14ac:dyDescent="0.25">
      <c r="A4474" s="82">
        <v>46749</v>
      </c>
      <c r="M4474" t="s">
        <v>423</v>
      </c>
    </row>
    <row r="4475" spans="1:13" ht="15" customHeight="1" x14ac:dyDescent="0.25">
      <c r="A4475" s="82">
        <v>46750</v>
      </c>
      <c r="M4475" t="s">
        <v>423</v>
      </c>
    </row>
    <row r="4476" spans="1:13" ht="15" customHeight="1" x14ac:dyDescent="0.25">
      <c r="A4476" s="82">
        <v>46751</v>
      </c>
      <c r="M4476" t="s">
        <v>423</v>
      </c>
    </row>
    <row r="4477" spans="1:13" ht="15" customHeight="1" x14ac:dyDescent="0.25">
      <c r="A4477" s="82">
        <v>46752</v>
      </c>
      <c r="M4477" t="s">
        <v>428</v>
      </c>
    </row>
    <row r="4478" spans="1:13" ht="15" customHeight="1" x14ac:dyDescent="0.25">
      <c r="A4478" s="82">
        <v>46753</v>
      </c>
      <c r="M4478" t="s">
        <v>428</v>
      </c>
    </row>
    <row r="4479" spans="1:13" ht="15" customHeight="1" x14ac:dyDescent="0.25">
      <c r="A4479" s="82">
        <v>46754</v>
      </c>
      <c r="M4479" t="s">
        <v>428</v>
      </c>
    </row>
    <row r="4480" spans="1:13" ht="15" customHeight="1" x14ac:dyDescent="0.25">
      <c r="A4480" s="82">
        <v>46755</v>
      </c>
      <c r="M4480" t="s">
        <v>428</v>
      </c>
    </row>
    <row r="4481" spans="1:13" ht="15" customHeight="1" x14ac:dyDescent="0.25">
      <c r="A4481" s="82">
        <v>46756</v>
      </c>
      <c r="M4481" t="s">
        <v>428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382e9a-cb37-4760-ac0d-0a5442426a51" xsi:nil="true"/>
    <lcf76f155ced4ddcb4097134ff3c332f xmlns="929e9cb9-fc9f-4af9-9886-60e79e03eff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DA69E39F6E7B409BEA5AFB2CE5808C" ma:contentTypeVersion="13" ma:contentTypeDescription="Create a new document." ma:contentTypeScope="" ma:versionID="695c46014c9f86834558267b7d643ddf">
  <xsd:schema xmlns:xsd="http://www.w3.org/2001/XMLSchema" xmlns:xs="http://www.w3.org/2001/XMLSchema" xmlns:p="http://schemas.microsoft.com/office/2006/metadata/properties" xmlns:ns2="929e9cb9-fc9f-4af9-9886-60e79e03effd" xmlns:ns3="c3382e9a-cb37-4760-ac0d-0a5442426a51" targetNamespace="http://schemas.microsoft.com/office/2006/metadata/properties" ma:root="true" ma:fieldsID="a19b236d19b9182e70d80c1896ca46c6" ns2:_="" ns3:_="">
    <xsd:import namespace="929e9cb9-fc9f-4af9-9886-60e79e03effd"/>
    <xsd:import namespace="c3382e9a-cb37-4760-ac0d-0a5442426a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e9cb9-fc9f-4af9-9886-60e79e03ef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c091ea1-7327-4df5-bcba-ccdb360ab0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382e9a-cb37-4760-ac0d-0a5442426a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4b7412d-f700-4d95-bb17-0d6d6601bbcd}" ma:internalName="TaxCatchAll" ma:showField="CatchAllData" ma:web="c3382e9a-cb37-4760-ac0d-0a5442426a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835973-6F00-47A2-8E6F-645B0415A3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194DA0-258A-4AB6-9C3D-F10C6F0A46D5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c3382e9a-cb37-4760-ac0d-0a5442426a51"/>
    <ds:schemaRef ds:uri="929e9cb9-fc9f-4af9-9886-60e79e03effd"/>
  </ds:schemaRefs>
</ds:datastoreItem>
</file>

<file path=customXml/itemProps3.xml><?xml version="1.0" encoding="utf-8"?>
<ds:datastoreItem xmlns:ds="http://schemas.openxmlformats.org/officeDocument/2006/customXml" ds:itemID="{8E456C96-FCD7-4B1A-8AC6-910A340296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9e9cb9-fc9f-4af9-9886-60e79e03effd"/>
    <ds:schemaRef ds:uri="c3382e9a-cb37-4760-ac0d-0a5442426a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Capacidade UAS-CUAS</vt:lpstr>
      <vt:lpstr>Análise</vt:lpstr>
      <vt:lpstr>Serviços</vt:lpstr>
      <vt:lpstr>Análise Serviços</vt:lpstr>
      <vt:lpstr>Nomeação UAS-CUAS</vt:lpstr>
      <vt:lpstr>EscalaPelotoes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Santiago Estêvão</cp:lastModifiedBy>
  <cp:revision>2</cp:revision>
  <dcterms:created xsi:type="dcterms:W3CDTF">2026-07-10T19:28:06Z</dcterms:created>
  <dcterms:modified xsi:type="dcterms:W3CDTF">2026-09-02T12:26:53Z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0x01010023DA69E39F6E7B409BEA5AFB2CE5808C</vt:lpwstr>
  </property>
  <property fmtid="{D5CDD505-2E9C-101B-9397-08002B2CF9AE}" pid="4" name="MediaServiceImageTags">
    <vt:lpwstr/>
  </property>
  <property fmtid="{D5CDD505-2E9C-101B-9397-08002B2CF9AE}" pid="5" name="TemplateUrl">
    <vt:lpwstr/>
  </property>
  <property fmtid="{D5CDD505-2E9C-101B-9397-08002B2CF9AE}" pid="6" name="TriggerFlowInfo">
    <vt:lpwstr/>
  </property>
  <property fmtid="{D5CDD505-2E9C-101B-9397-08002B2CF9AE}" pid="7" name="_ExtendedDescription">
    <vt:lpwstr/>
  </property>
  <property fmtid="{D5CDD505-2E9C-101B-9397-08002B2CF9AE}" pid="8" name="xd_ProgID">
    <vt:lpwstr/>
  </property>
  <property fmtid="{D5CDD505-2E9C-101B-9397-08002B2CF9AE}" pid="9" name="xd_Signature">
    <vt:bool>false</vt:bool>
  </property>
</Properties>
</file>